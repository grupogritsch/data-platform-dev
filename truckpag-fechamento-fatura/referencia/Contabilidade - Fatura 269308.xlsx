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1 - Abastecimento TruckPag\2026\08.26\08.08 - 16.08\"/>
    </mc:Choice>
  </mc:AlternateContent>
  <xr:revisionPtr revIDLastSave="0" documentId="13_ncr:1_{A5736A8A-F4F1-48BE-85C4-0B4CF74CE07C}" xr6:coauthVersionLast="47" xr6:coauthVersionMax="47" xr10:uidLastSave="{00000000-0000-0000-0000-000000000000}"/>
  <bookViews>
    <workbookView xWindow="-21720" yWindow="-120" windowWidth="21840" windowHeight="13140" firstSheet="2" activeTab="4" xr2:uid="{A72B5137-E4DD-4057-B282-9D6B575770B4}"/>
  </bookViews>
  <sheets>
    <sheet name="Resumo" sheetId="4" r:id="rId1"/>
    <sheet name="Contabilidade" sheetId="1" r:id="rId2"/>
    <sheet name="Relatorio" sheetId="3" r:id="rId3"/>
    <sheet name="Rateio por Garagem" sheetId="5" r:id="rId4"/>
    <sheet name="Rateio por Posto" sheetId="6" r:id="rId5"/>
  </sheets>
  <definedNames>
    <definedName name="_xlnm._FilterDatabase" localSheetId="1" hidden="1">Contabilidade!$A$1:$AE$1274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08" i="6" l="1"/>
  <c r="I208" i="6"/>
  <c r="J196" i="6" s="1"/>
  <c r="H208" i="6"/>
  <c r="J194" i="6"/>
  <c r="G208" i="6"/>
  <c r="F208" i="6"/>
  <c r="E208" i="6"/>
  <c r="D208" i="6"/>
  <c r="C208" i="6"/>
  <c r="G207" i="6"/>
  <c r="F207" i="6"/>
  <c r="H207" i="6" s="1"/>
  <c r="D207" i="6"/>
  <c r="C207" i="6"/>
  <c r="E207" i="6" s="1"/>
  <c r="I207" i="6" s="1"/>
  <c r="B207" i="6"/>
  <c r="J206" i="6"/>
  <c r="H206" i="6"/>
  <c r="I206" i="6" s="1"/>
  <c r="G206" i="6"/>
  <c r="F206" i="6"/>
  <c r="D206" i="6"/>
  <c r="C206" i="6"/>
  <c r="E206" i="6" s="1"/>
  <c r="B206" i="6"/>
  <c r="H205" i="6"/>
  <c r="G205" i="6"/>
  <c r="F205" i="6"/>
  <c r="E205" i="6"/>
  <c r="I205" i="6" s="1"/>
  <c r="D205" i="6"/>
  <c r="C205" i="6"/>
  <c r="B205" i="6"/>
  <c r="G204" i="6"/>
  <c r="F204" i="6"/>
  <c r="H204" i="6" s="1"/>
  <c r="D204" i="6"/>
  <c r="E204" i="6" s="1"/>
  <c r="I204" i="6" s="1"/>
  <c r="C204" i="6"/>
  <c r="B204" i="6"/>
  <c r="J203" i="6"/>
  <c r="G203" i="6"/>
  <c r="F203" i="6"/>
  <c r="H203" i="6" s="1"/>
  <c r="D203" i="6"/>
  <c r="C203" i="6"/>
  <c r="E203" i="6" s="1"/>
  <c r="I203" i="6" s="1"/>
  <c r="B203" i="6"/>
  <c r="H202" i="6"/>
  <c r="G202" i="6"/>
  <c r="F202" i="6"/>
  <c r="D202" i="6"/>
  <c r="C202" i="6"/>
  <c r="E202" i="6" s="1"/>
  <c r="I202" i="6" s="1"/>
  <c r="B202" i="6"/>
  <c r="J201" i="6"/>
  <c r="H201" i="6"/>
  <c r="I201" i="6" s="1"/>
  <c r="G201" i="6"/>
  <c r="F201" i="6"/>
  <c r="E201" i="6"/>
  <c r="D201" i="6"/>
  <c r="C201" i="6"/>
  <c r="B201" i="6"/>
  <c r="G200" i="6"/>
  <c r="F200" i="6"/>
  <c r="H200" i="6" s="1"/>
  <c r="E200" i="6"/>
  <c r="I200" i="6" s="1"/>
  <c r="D200" i="6"/>
  <c r="C200" i="6"/>
  <c r="B200" i="6"/>
  <c r="G199" i="6"/>
  <c r="F199" i="6"/>
  <c r="H199" i="6" s="1"/>
  <c r="D199" i="6"/>
  <c r="C199" i="6"/>
  <c r="E199" i="6" s="1"/>
  <c r="B199" i="6"/>
  <c r="H198" i="6"/>
  <c r="I198" i="6" s="1"/>
  <c r="G198" i="6"/>
  <c r="F198" i="6"/>
  <c r="D198" i="6"/>
  <c r="C198" i="6"/>
  <c r="E198" i="6" s="1"/>
  <c r="B198" i="6"/>
  <c r="J197" i="6"/>
  <c r="G197" i="6"/>
  <c r="F197" i="6"/>
  <c r="H197" i="6" s="1"/>
  <c r="E197" i="6"/>
  <c r="D197" i="6"/>
  <c r="C197" i="6"/>
  <c r="B197" i="6"/>
  <c r="G196" i="6"/>
  <c r="F196" i="6"/>
  <c r="H196" i="6" s="1"/>
  <c r="D196" i="6"/>
  <c r="C196" i="6"/>
  <c r="E196" i="6" s="1"/>
  <c r="I196" i="6" s="1"/>
  <c r="B196" i="6"/>
  <c r="G195" i="6"/>
  <c r="F195" i="6"/>
  <c r="H195" i="6" s="1"/>
  <c r="D195" i="6"/>
  <c r="C195" i="6"/>
  <c r="B195" i="6"/>
  <c r="H194" i="6"/>
  <c r="G194" i="6"/>
  <c r="F194" i="6"/>
  <c r="D194" i="6"/>
  <c r="C194" i="6"/>
  <c r="E194" i="6" s="1"/>
  <c r="I194" i="6" s="1"/>
  <c r="B194" i="6"/>
  <c r="G193" i="6"/>
  <c r="F193" i="6"/>
  <c r="H193" i="6" s="1"/>
  <c r="E193" i="6"/>
  <c r="I193" i="6" s="1"/>
  <c r="D193" i="6"/>
  <c r="C193" i="6"/>
  <c r="B193" i="6"/>
  <c r="J192" i="6"/>
  <c r="G192" i="6"/>
  <c r="F192" i="6"/>
  <c r="H192" i="6" s="1"/>
  <c r="I192" i="6" s="1"/>
  <c r="D192" i="6"/>
  <c r="C192" i="6"/>
  <c r="E192" i="6" s="1"/>
  <c r="B192" i="6"/>
  <c r="G191" i="6"/>
  <c r="F191" i="6"/>
  <c r="H191" i="6" s="1"/>
  <c r="D191" i="6"/>
  <c r="C191" i="6"/>
  <c r="E191" i="6" s="1"/>
  <c r="I191" i="6" s="1"/>
  <c r="B191" i="6"/>
  <c r="I190" i="6"/>
  <c r="H190" i="6"/>
  <c r="G190" i="6"/>
  <c r="F190" i="6"/>
  <c r="D190" i="6"/>
  <c r="C190" i="6"/>
  <c r="E190" i="6" s="1"/>
  <c r="B190" i="6"/>
  <c r="G189" i="6"/>
  <c r="F189" i="6"/>
  <c r="H189" i="6" s="1"/>
  <c r="E189" i="6"/>
  <c r="I189" i="6" s="1"/>
  <c r="D189" i="6"/>
  <c r="C189" i="6"/>
  <c r="B189" i="6"/>
  <c r="J188" i="6"/>
  <c r="G188" i="6"/>
  <c r="F188" i="6"/>
  <c r="H188" i="6" s="1"/>
  <c r="D188" i="6"/>
  <c r="C188" i="6"/>
  <c r="E188" i="6" s="1"/>
  <c r="I188" i="6" s="1"/>
  <c r="B188" i="6"/>
  <c r="J187" i="6"/>
  <c r="G187" i="6"/>
  <c r="F187" i="6"/>
  <c r="H187" i="6" s="1"/>
  <c r="D187" i="6"/>
  <c r="C187" i="6"/>
  <c r="E187" i="6" s="1"/>
  <c r="I187" i="6" s="1"/>
  <c r="B187" i="6"/>
  <c r="J186" i="6"/>
  <c r="H186" i="6"/>
  <c r="G186" i="6"/>
  <c r="F186" i="6"/>
  <c r="D186" i="6"/>
  <c r="C186" i="6"/>
  <c r="E186" i="6" s="1"/>
  <c r="I186" i="6" s="1"/>
  <c r="B186" i="6"/>
  <c r="G185" i="6"/>
  <c r="H185" i="6" s="1"/>
  <c r="F185" i="6"/>
  <c r="E185" i="6"/>
  <c r="I185" i="6" s="1"/>
  <c r="D185" i="6"/>
  <c r="C185" i="6"/>
  <c r="B185" i="6"/>
  <c r="G184" i="6"/>
  <c r="F184" i="6"/>
  <c r="D184" i="6"/>
  <c r="C184" i="6"/>
  <c r="E184" i="6" s="1"/>
  <c r="B184" i="6"/>
  <c r="G183" i="6"/>
  <c r="F183" i="6"/>
  <c r="H183" i="6" s="1"/>
  <c r="D183" i="6"/>
  <c r="C183" i="6"/>
  <c r="B183" i="6"/>
  <c r="H182" i="6"/>
  <c r="G182" i="6"/>
  <c r="F182" i="6"/>
  <c r="D182" i="6"/>
  <c r="C182" i="6"/>
  <c r="E182" i="6" s="1"/>
  <c r="I182" i="6" s="1"/>
  <c r="B182" i="6"/>
  <c r="H181" i="6"/>
  <c r="I181" i="6" s="1"/>
  <c r="G181" i="6"/>
  <c r="F181" i="6"/>
  <c r="E181" i="6"/>
  <c r="D181" i="6"/>
  <c r="C181" i="6"/>
  <c r="B181" i="6"/>
  <c r="G180" i="6"/>
  <c r="F180" i="6"/>
  <c r="H180" i="6" s="1"/>
  <c r="D180" i="6"/>
  <c r="C180" i="6"/>
  <c r="E180" i="6" s="1"/>
  <c r="I180" i="6" s="1"/>
  <c r="B180" i="6"/>
  <c r="J179" i="6"/>
  <c r="G179" i="6"/>
  <c r="F179" i="6"/>
  <c r="H179" i="6" s="1"/>
  <c r="D179" i="6"/>
  <c r="C179" i="6"/>
  <c r="B179" i="6"/>
  <c r="H178" i="6"/>
  <c r="I178" i="6" s="1"/>
  <c r="G178" i="6"/>
  <c r="F178" i="6"/>
  <c r="D178" i="6"/>
  <c r="C178" i="6"/>
  <c r="E178" i="6" s="1"/>
  <c r="B178" i="6"/>
  <c r="J177" i="6"/>
  <c r="G177" i="6"/>
  <c r="F177" i="6"/>
  <c r="H177" i="6" s="1"/>
  <c r="E177" i="6"/>
  <c r="D177" i="6"/>
  <c r="C177" i="6"/>
  <c r="B177" i="6"/>
  <c r="J176" i="6"/>
  <c r="G176" i="6"/>
  <c r="F176" i="6"/>
  <c r="H176" i="6" s="1"/>
  <c r="E176" i="6"/>
  <c r="I176" i="6" s="1"/>
  <c r="D176" i="6"/>
  <c r="C176" i="6"/>
  <c r="B176" i="6"/>
  <c r="G175" i="6"/>
  <c r="F175" i="6"/>
  <c r="H175" i="6" s="1"/>
  <c r="D175" i="6"/>
  <c r="C175" i="6"/>
  <c r="B175" i="6"/>
  <c r="J174" i="6"/>
  <c r="H174" i="6"/>
  <c r="G174" i="6"/>
  <c r="F174" i="6"/>
  <c r="D174" i="6"/>
  <c r="C174" i="6"/>
  <c r="E174" i="6" s="1"/>
  <c r="I174" i="6" s="1"/>
  <c r="B174" i="6"/>
  <c r="I173" i="6"/>
  <c r="H173" i="6"/>
  <c r="G173" i="6"/>
  <c r="F173" i="6"/>
  <c r="E173" i="6"/>
  <c r="D173" i="6"/>
  <c r="C173" i="6"/>
  <c r="B173" i="6"/>
  <c r="G172" i="6"/>
  <c r="F172" i="6"/>
  <c r="H172" i="6" s="1"/>
  <c r="E172" i="6"/>
  <c r="D172" i="6"/>
  <c r="C172" i="6"/>
  <c r="B172" i="6"/>
  <c r="J171" i="6"/>
  <c r="G171" i="6"/>
  <c r="F171" i="6"/>
  <c r="D171" i="6"/>
  <c r="C171" i="6"/>
  <c r="E171" i="6" s="1"/>
  <c r="B171" i="6"/>
  <c r="I170" i="6"/>
  <c r="H170" i="6"/>
  <c r="G170" i="6"/>
  <c r="F170" i="6"/>
  <c r="D170" i="6"/>
  <c r="C170" i="6"/>
  <c r="E170" i="6" s="1"/>
  <c r="B170" i="6"/>
  <c r="J169" i="6"/>
  <c r="G169" i="6"/>
  <c r="F169" i="6"/>
  <c r="H169" i="6" s="1"/>
  <c r="E169" i="6"/>
  <c r="D169" i="6"/>
  <c r="C169" i="6"/>
  <c r="B169" i="6"/>
  <c r="G168" i="6"/>
  <c r="F168" i="6"/>
  <c r="D168" i="6"/>
  <c r="C168" i="6"/>
  <c r="E168" i="6" s="1"/>
  <c r="B168" i="6"/>
  <c r="J167" i="6"/>
  <c r="G167" i="6"/>
  <c r="F167" i="6"/>
  <c r="D167" i="6"/>
  <c r="C167" i="6"/>
  <c r="E167" i="6" s="1"/>
  <c r="B167" i="6"/>
  <c r="H166" i="6"/>
  <c r="G166" i="6"/>
  <c r="F166" i="6"/>
  <c r="D166" i="6"/>
  <c r="C166" i="6"/>
  <c r="E166" i="6" s="1"/>
  <c r="I166" i="6" s="1"/>
  <c r="B166" i="6"/>
  <c r="J165" i="6"/>
  <c r="G165" i="6"/>
  <c r="F165" i="6"/>
  <c r="H165" i="6" s="1"/>
  <c r="I165" i="6" s="1"/>
  <c r="E165" i="6"/>
  <c r="D165" i="6"/>
  <c r="C165" i="6"/>
  <c r="B165" i="6"/>
  <c r="J164" i="6"/>
  <c r="G164" i="6"/>
  <c r="F164" i="6"/>
  <c r="D164" i="6"/>
  <c r="C164" i="6"/>
  <c r="E164" i="6" s="1"/>
  <c r="B164" i="6"/>
  <c r="J163" i="6"/>
  <c r="G163" i="6"/>
  <c r="F163" i="6"/>
  <c r="H163" i="6" s="1"/>
  <c r="D163" i="6"/>
  <c r="C163" i="6"/>
  <c r="E163" i="6" s="1"/>
  <c r="I163" i="6" s="1"/>
  <c r="B163" i="6"/>
  <c r="J162" i="6"/>
  <c r="H162" i="6"/>
  <c r="G162" i="6"/>
  <c r="F162" i="6"/>
  <c r="D162" i="6"/>
  <c r="C162" i="6"/>
  <c r="B162" i="6"/>
  <c r="G161" i="6"/>
  <c r="F161" i="6"/>
  <c r="H161" i="6" s="1"/>
  <c r="I161" i="6" s="1"/>
  <c r="E161" i="6"/>
  <c r="D161" i="6"/>
  <c r="C161" i="6"/>
  <c r="B161" i="6"/>
  <c r="G160" i="6"/>
  <c r="F160" i="6"/>
  <c r="H160" i="6" s="1"/>
  <c r="D160" i="6"/>
  <c r="C160" i="6"/>
  <c r="E160" i="6" s="1"/>
  <c r="I160" i="6" s="1"/>
  <c r="B160" i="6"/>
  <c r="G159" i="6"/>
  <c r="F159" i="6"/>
  <c r="H159" i="6" s="1"/>
  <c r="D159" i="6"/>
  <c r="C159" i="6"/>
  <c r="E159" i="6" s="1"/>
  <c r="I159" i="6" s="1"/>
  <c r="B159" i="6"/>
  <c r="J158" i="6"/>
  <c r="H158" i="6"/>
  <c r="G158" i="6"/>
  <c r="F158" i="6"/>
  <c r="D158" i="6"/>
  <c r="C158" i="6"/>
  <c r="B158" i="6"/>
  <c r="H157" i="6"/>
  <c r="G157" i="6"/>
  <c r="F157" i="6"/>
  <c r="E157" i="6"/>
  <c r="I157" i="6" s="1"/>
  <c r="D157" i="6"/>
  <c r="C157" i="6"/>
  <c r="B157" i="6"/>
  <c r="J156" i="6"/>
  <c r="G156" i="6"/>
  <c r="F156" i="6"/>
  <c r="H156" i="6" s="1"/>
  <c r="D156" i="6"/>
  <c r="E156" i="6" s="1"/>
  <c r="I156" i="6" s="1"/>
  <c r="C156" i="6"/>
  <c r="B156" i="6"/>
  <c r="G155" i="6"/>
  <c r="F155" i="6"/>
  <c r="H155" i="6" s="1"/>
  <c r="D155" i="6"/>
  <c r="C155" i="6"/>
  <c r="B155" i="6"/>
  <c r="H154" i="6"/>
  <c r="G154" i="6"/>
  <c r="F154" i="6"/>
  <c r="D154" i="6"/>
  <c r="C154" i="6"/>
  <c r="E154" i="6" s="1"/>
  <c r="I154" i="6" s="1"/>
  <c r="B154" i="6"/>
  <c r="J153" i="6"/>
  <c r="I153" i="6"/>
  <c r="H153" i="6"/>
  <c r="G153" i="6"/>
  <c r="F153" i="6"/>
  <c r="E153" i="6"/>
  <c r="D153" i="6"/>
  <c r="C153" i="6"/>
  <c r="B153" i="6"/>
  <c r="G152" i="6"/>
  <c r="F152" i="6"/>
  <c r="H152" i="6" s="1"/>
  <c r="D152" i="6"/>
  <c r="E152" i="6" s="1"/>
  <c r="I152" i="6" s="1"/>
  <c r="C152" i="6"/>
  <c r="B152" i="6"/>
  <c r="G151" i="6"/>
  <c r="F151" i="6"/>
  <c r="H151" i="6" s="1"/>
  <c r="D151" i="6"/>
  <c r="C151" i="6"/>
  <c r="E151" i="6" s="1"/>
  <c r="B151" i="6"/>
  <c r="H150" i="6"/>
  <c r="I150" i="6" s="1"/>
  <c r="G150" i="6"/>
  <c r="F150" i="6"/>
  <c r="D150" i="6"/>
  <c r="C150" i="6"/>
  <c r="E150" i="6" s="1"/>
  <c r="B150" i="6"/>
  <c r="G149" i="6"/>
  <c r="F149" i="6"/>
  <c r="H149" i="6" s="1"/>
  <c r="E149" i="6"/>
  <c r="I149" i="6" s="1"/>
  <c r="D149" i="6"/>
  <c r="C149" i="6"/>
  <c r="B149" i="6"/>
  <c r="G148" i="6"/>
  <c r="F148" i="6"/>
  <c r="H148" i="6" s="1"/>
  <c r="D148" i="6"/>
  <c r="C148" i="6"/>
  <c r="E148" i="6" s="1"/>
  <c r="I148" i="6" s="1"/>
  <c r="B148" i="6"/>
  <c r="G147" i="6"/>
  <c r="F147" i="6"/>
  <c r="H147" i="6" s="1"/>
  <c r="D147" i="6"/>
  <c r="C147" i="6"/>
  <c r="B147" i="6"/>
  <c r="H146" i="6"/>
  <c r="G146" i="6"/>
  <c r="F146" i="6"/>
  <c r="D146" i="6"/>
  <c r="C146" i="6"/>
  <c r="E146" i="6" s="1"/>
  <c r="I146" i="6" s="1"/>
  <c r="B146" i="6"/>
  <c r="G145" i="6"/>
  <c r="F145" i="6"/>
  <c r="H145" i="6" s="1"/>
  <c r="E145" i="6"/>
  <c r="I145" i="6" s="1"/>
  <c r="D145" i="6"/>
  <c r="C145" i="6"/>
  <c r="B145" i="6"/>
  <c r="J144" i="6"/>
  <c r="G144" i="6"/>
  <c r="F144" i="6"/>
  <c r="H144" i="6" s="1"/>
  <c r="D144" i="6"/>
  <c r="C144" i="6"/>
  <c r="E144" i="6" s="1"/>
  <c r="I144" i="6" s="1"/>
  <c r="B144" i="6"/>
  <c r="G143" i="6"/>
  <c r="F143" i="6"/>
  <c r="H143" i="6" s="1"/>
  <c r="D143" i="6"/>
  <c r="C143" i="6"/>
  <c r="E143" i="6" s="1"/>
  <c r="I143" i="6" s="1"/>
  <c r="B143" i="6"/>
  <c r="I142" i="6"/>
  <c r="H142" i="6"/>
  <c r="G142" i="6"/>
  <c r="F142" i="6"/>
  <c r="D142" i="6"/>
  <c r="C142" i="6"/>
  <c r="E142" i="6" s="1"/>
  <c r="B142" i="6"/>
  <c r="G141" i="6"/>
  <c r="F141" i="6"/>
  <c r="E141" i="6"/>
  <c r="D141" i="6"/>
  <c r="C141" i="6"/>
  <c r="B141" i="6"/>
  <c r="J140" i="6"/>
  <c r="G140" i="6"/>
  <c r="F140" i="6"/>
  <c r="H140" i="6" s="1"/>
  <c r="D140" i="6"/>
  <c r="C140" i="6"/>
  <c r="E140" i="6" s="1"/>
  <c r="I140" i="6" s="1"/>
  <c r="B140" i="6"/>
  <c r="G139" i="6"/>
  <c r="F139" i="6"/>
  <c r="D139" i="6"/>
  <c r="C139" i="6"/>
  <c r="E139" i="6" s="1"/>
  <c r="B139" i="6"/>
  <c r="J138" i="6"/>
  <c r="H138" i="6"/>
  <c r="G138" i="6"/>
  <c r="F138" i="6"/>
  <c r="D138" i="6"/>
  <c r="C138" i="6"/>
  <c r="E138" i="6" s="1"/>
  <c r="I138" i="6" s="1"/>
  <c r="B138" i="6"/>
  <c r="G137" i="6"/>
  <c r="H137" i="6" s="1"/>
  <c r="F137" i="6"/>
  <c r="E137" i="6"/>
  <c r="I137" i="6" s="1"/>
  <c r="D137" i="6"/>
  <c r="C137" i="6"/>
  <c r="B137" i="6"/>
  <c r="J136" i="6"/>
  <c r="G136" i="6"/>
  <c r="F136" i="6"/>
  <c r="D136" i="6"/>
  <c r="C136" i="6"/>
  <c r="E136" i="6" s="1"/>
  <c r="B136" i="6"/>
  <c r="J135" i="6"/>
  <c r="G135" i="6"/>
  <c r="F135" i="6"/>
  <c r="H135" i="6" s="1"/>
  <c r="D135" i="6"/>
  <c r="C135" i="6"/>
  <c r="E135" i="6" s="1"/>
  <c r="I135" i="6" s="1"/>
  <c r="B135" i="6"/>
  <c r="J134" i="6"/>
  <c r="H134" i="6"/>
  <c r="G134" i="6"/>
  <c r="F134" i="6"/>
  <c r="D134" i="6"/>
  <c r="C134" i="6"/>
  <c r="E134" i="6" s="1"/>
  <c r="I134" i="6" s="1"/>
  <c r="B134" i="6"/>
  <c r="G133" i="6"/>
  <c r="H133" i="6" s="1"/>
  <c r="I133" i="6" s="1"/>
  <c r="F133" i="6"/>
  <c r="E133" i="6"/>
  <c r="D133" i="6"/>
  <c r="C133" i="6"/>
  <c r="B133" i="6"/>
  <c r="G132" i="6"/>
  <c r="F132" i="6"/>
  <c r="H132" i="6" s="1"/>
  <c r="D132" i="6"/>
  <c r="E132" i="6" s="1"/>
  <c r="I132" i="6" s="1"/>
  <c r="C132" i="6"/>
  <c r="B132" i="6"/>
  <c r="G131" i="6"/>
  <c r="F131" i="6"/>
  <c r="H131" i="6" s="1"/>
  <c r="D131" i="6"/>
  <c r="C131" i="6"/>
  <c r="B131" i="6"/>
  <c r="H130" i="6"/>
  <c r="G130" i="6"/>
  <c r="F130" i="6"/>
  <c r="D130" i="6"/>
  <c r="C130" i="6"/>
  <c r="B130" i="6"/>
  <c r="G129" i="6"/>
  <c r="F129" i="6"/>
  <c r="H129" i="6" s="1"/>
  <c r="E129" i="6"/>
  <c r="I129" i="6" s="1"/>
  <c r="D129" i="6"/>
  <c r="C129" i="6"/>
  <c r="B129" i="6"/>
  <c r="G128" i="6"/>
  <c r="F128" i="6"/>
  <c r="H128" i="6" s="1"/>
  <c r="E128" i="6"/>
  <c r="I128" i="6" s="1"/>
  <c r="D128" i="6"/>
  <c r="C128" i="6"/>
  <c r="B128" i="6"/>
  <c r="J127" i="6"/>
  <c r="G127" i="6"/>
  <c r="F127" i="6"/>
  <c r="D127" i="6"/>
  <c r="C127" i="6"/>
  <c r="B127" i="6"/>
  <c r="H126" i="6"/>
  <c r="G126" i="6"/>
  <c r="F126" i="6"/>
  <c r="D126" i="6"/>
  <c r="C126" i="6"/>
  <c r="E126" i="6" s="1"/>
  <c r="I126" i="6" s="1"/>
  <c r="B126" i="6"/>
  <c r="J125" i="6"/>
  <c r="I125" i="6"/>
  <c r="H125" i="6"/>
  <c r="G125" i="6"/>
  <c r="F125" i="6"/>
  <c r="E125" i="6"/>
  <c r="D125" i="6"/>
  <c r="C125" i="6"/>
  <c r="B125" i="6"/>
  <c r="J124" i="6"/>
  <c r="G124" i="6"/>
  <c r="F124" i="6"/>
  <c r="H124" i="6" s="1"/>
  <c r="E124" i="6"/>
  <c r="I124" i="6" s="1"/>
  <c r="D124" i="6"/>
  <c r="C124" i="6"/>
  <c r="B124" i="6"/>
  <c r="G123" i="6"/>
  <c r="F123" i="6"/>
  <c r="D123" i="6"/>
  <c r="C123" i="6"/>
  <c r="E123" i="6" s="1"/>
  <c r="B123" i="6"/>
  <c r="J122" i="6"/>
  <c r="H122" i="6"/>
  <c r="I122" i="6" s="1"/>
  <c r="G122" i="6"/>
  <c r="F122" i="6"/>
  <c r="D122" i="6"/>
  <c r="C122" i="6"/>
  <c r="E122" i="6" s="1"/>
  <c r="B122" i="6"/>
  <c r="G121" i="6"/>
  <c r="F121" i="6"/>
  <c r="H121" i="6" s="1"/>
  <c r="E121" i="6"/>
  <c r="I121" i="6" s="1"/>
  <c r="D121" i="6"/>
  <c r="C121" i="6"/>
  <c r="B121" i="6"/>
  <c r="J120" i="6"/>
  <c r="G120" i="6"/>
  <c r="F120" i="6"/>
  <c r="D120" i="6"/>
  <c r="C120" i="6"/>
  <c r="E120" i="6" s="1"/>
  <c r="B120" i="6"/>
  <c r="G119" i="6"/>
  <c r="F119" i="6"/>
  <c r="D119" i="6"/>
  <c r="C119" i="6"/>
  <c r="E119" i="6" s="1"/>
  <c r="B119" i="6"/>
  <c r="J118" i="6"/>
  <c r="H118" i="6"/>
  <c r="G118" i="6"/>
  <c r="F118" i="6"/>
  <c r="D118" i="6"/>
  <c r="C118" i="6"/>
  <c r="B118" i="6"/>
  <c r="G117" i="6"/>
  <c r="F117" i="6"/>
  <c r="H117" i="6" s="1"/>
  <c r="E117" i="6"/>
  <c r="I117" i="6" s="1"/>
  <c r="D117" i="6"/>
  <c r="C117" i="6"/>
  <c r="B117" i="6"/>
  <c r="G116" i="6"/>
  <c r="F116" i="6"/>
  <c r="D116" i="6"/>
  <c r="C116" i="6"/>
  <c r="E116" i="6" s="1"/>
  <c r="B116" i="6"/>
  <c r="G115" i="6"/>
  <c r="F115" i="6"/>
  <c r="H115" i="6" s="1"/>
  <c r="D115" i="6"/>
  <c r="C115" i="6"/>
  <c r="E115" i="6" s="1"/>
  <c r="I115" i="6" s="1"/>
  <c r="B115" i="6"/>
  <c r="H114" i="6"/>
  <c r="G114" i="6"/>
  <c r="F114" i="6"/>
  <c r="D114" i="6"/>
  <c r="C114" i="6"/>
  <c r="B114" i="6"/>
  <c r="H113" i="6"/>
  <c r="I113" i="6" s="1"/>
  <c r="G113" i="6"/>
  <c r="F113" i="6"/>
  <c r="E113" i="6"/>
  <c r="D113" i="6"/>
  <c r="C113" i="6"/>
  <c r="B113" i="6"/>
  <c r="G112" i="6"/>
  <c r="F112" i="6"/>
  <c r="H112" i="6" s="1"/>
  <c r="D112" i="6"/>
  <c r="C112" i="6"/>
  <c r="E112" i="6" s="1"/>
  <c r="I112" i="6" s="1"/>
  <c r="B112" i="6"/>
  <c r="J111" i="6"/>
  <c r="G111" i="6"/>
  <c r="F111" i="6"/>
  <c r="H111" i="6" s="1"/>
  <c r="D111" i="6"/>
  <c r="C111" i="6"/>
  <c r="E111" i="6" s="1"/>
  <c r="I111" i="6" s="1"/>
  <c r="B111" i="6"/>
  <c r="H110" i="6"/>
  <c r="G110" i="6"/>
  <c r="F110" i="6"/>
  <c r="D110" i="6"/>
  <c r="C110" i="6"/>
  <c r="B110" i="6"/>
  <c r="J109" i="6"/>
  <c r="H109" i="6"/>
  <c r="G109" i="6"/>
  <c r="F109" i="6"/>
  <c r="E109" i="6"/>
  <c r="I109" i="6" s="1"/>
  <c r="D109" i="6"/>
  <c r="C109" i="6"/>
  <c r="B109" i="6"/>
  <c r="G108" i="6"/>
  <c r="F108" i="6"/>
  <c r="H108" i="6" s="1"/>
  <c r="D108" i="6"/>
  <c r="E108" i="6" s="1"/>
  <c r="I108" i="6" s="1"/>
  <c r="C108" i="6"/>
  <c r="B108" i="6"/>
  <c r="G107" i="6"/>
  <c r="F107" i="6"/>
  <c r="H107" i="6" s="1"/>
  <c r="D107" i="6"/>
  <c r="C107" i="6"/>
  <c r="E107" i="6" s="1"/>
  <c r="I107" i="6" s="1"/>
  <c r="B107" i="6"/>
  <c r="J106" i="6"/>
  <c r="H106" i="6"/>
  <c r="G106" i="6"/>
  <c r="F106" i="6"/>
  <c r="D106" i="6"/>
  <c r="C106" i="6"/>
  <c r="E106" i="6" s="1"/>
  <c r="I106" i="6" s="1"/>
  <c r="B106" i="6"/>
  <c r="H105" i="6"/>
  <c r="I105" i="6" s="1"/>
  <c r="G105" i="6"/>
  <c r="F105" i="6"/>
  <c r="E105" i="6"/>
  <c r="D105" i="6"/>
  <c r="C105" i="6"/>
  <c r="B105" i="6"/>
  <c r="G104" i="6"/>
  <c r="F104" i="6"/>
  <c r="H104" i="6" s="1"/>
  <c r="E104" i="6"/>
  <c r="I104" i="6" s="1"/>
  <c r="D104" i="6"/>
  <c r="C104" i="6"/>
  <c r="B104" i="6"/>
  <c r="J103" i="6"/>
  <c r="G103" i="6"/>
  <c r="F103" i="6"/>
  <c r="H103" i="6" s="1"/>
  <c r="D103" i="6"/>
  <c r="C103" i="6"/>
  <c r="E103" i="6" s="1"/>
  <c r="B103" i="6"/>
  <c r="H102" i="6"/>
  <c r="I102" i="6" s="1"/>
  <c r="G102" i="6"/>
  <c r="F102" i="6"/>
  <c r="D102" i="6"/>
  <c r="C102" i="6"/>
  <c r="E102" i="6" s="1"/>
  <c r="B102" i="6"/>
  <c r="G101" i="6"/>
  <c r="F101" i="6"/>
  <c r="H101" i="6" s="1"/>
  <c r="E101" i="6"/>
  <c r="D101" i="6"/>
  <c r="C101" i="6"/>
  <c r="B101" i="6"/>
  <c r="G100" i="6"/>
  <c r="F100" i="6"/>
  <c r="H100" i="6" s="1"/>
  <c r="D100" i="6"/>
  <c r="C100" i="6"/>
  <c r="E100" i="6" s="1"/>
  <c r="I100" i="6" s="1"/>
  <c r="B100" i="6"/>
  <c r="J99" i="6"/>
  <c r="G99" i="6"/>
  <c r="F99" i="6"/>
  <c r="D99" i="6"/>
  <c r="C99" i="6"/>
  <c r="B99" i="6"/>
  <c r="H98" i="6"/>
  <c r="G98" i="6"/>
  <c r="F98" i="6"/>
  <c r="D98" i="6"/>
  <c r="C98" i="6"/>
  <c r="E98" i="6" s="1"/>
  <c r="I98" i="6" s="1"/>
  <c r="B98" i="6"/>
  <c r="J97" i="6"/>
  <c r="G97" i="6"/>
  <c r="F97" i="6"/>
  <c r="H97" i="6" s="1"/>
  <c r="E97" i="6"/>
  <c r="I97" i="6" s="1"/>
  <c r="D97" i="6"/>
  <c r="C97" i="6"/>
  <c r="B97" i="6"/>
  <c r="G96" i="6"/>
  <c r="F96" i="6"/>
  <c r="H96" i="6" s="1"/>
  <c r="I96" i="6" s="1"/>
  <c r="E96" i="6"/>
  <c r="D96" i="6"/>
  <c r="C96" i="6"/>
  <c r="B96" i="6"/>
  <c r="J95" i="6"/>
  <c r="G95" i="6"/>
  <c r="F95" i="6"/>
  <c r="H95" i="6" s="1"/>
  <c r="D95" i="6"/>
  <c r="C95" i="6"/>
  <c r="E95" i="6" s="1"/>
  <c r="I95" i="6" s="1"/>
  <c r="B95" i="6"/>
  <c r="I94" i="6"/>
  <c r="H94" i="6"/>
  <c r="G94" i="6"/>
  <c r="F94" i="6"/>
  <c r="D94" i="6"/>
  <c r="C94" i="6"/>
  <c r="E94" i="6" s="1"/>
  <c r="B94" i="6"/>
  <c r="G93" i="6"/>
  <c r="F93" i="6"/>
  <c r="H93" i="6" s="1"/>
  <c r="E93" i="6"/>
  <c r="I93" i="6" s="1"/>
  <c r="D93" i="6"/>
  <c r="C93" i="6"/>
  <c r="B93" i="6"/>
  <c r="J92" i="6"/>
  <c r="G92" i="6"/>
  <c r="F92" i="6"/>
  <c r="H92" i="6" s="1"/>
  <c r="D92" i="6"/>
  <c r="C92" i="6"/>
  <c r="E92" i="6" s="1"/>
  <c r="I92" i="6" s="1"/>
  <c r="B92" i="6"/>
  <c r="G91" i="6"/>
  <c r="F91" i="6"/>
  <c r="D91" i="6"/>
  <c r="C91" i="6"/>
  <c r="E91" i="6" s="1"/>
  <c r="B91" i="6"/>
  <c r="H90" i="6"/>
  <c r="G90" i="6"/>
  <c r="F90" i="6"/>
  <c r="D90" i="6"/>
  <c r="C90" i="6"/>
  <c r="B90" i="6"/>
  <c r="G89" i="6"/>
  <c r="H89" i="6" s="1"/>
  <c r="F89" i="6"/>
  <c r="E89" i="6"/>
  <c r="I89" i="6" s="1"/>
  <c r="D89" i="6"/>
  <c r="C89" i="6"/>
  <c r="B89" i="6"/>
  <c r="J88" i="6"/>
  <c r="G88" i="6"/>
  <c r="F88" i="6"/>
  <c r="D88" i="6"/>
  <c r="C88" i="6"/>
  <c r="E88" i="6" s="1"/>
  <c r="B88" i="6"/>
  <c r="G87" i="6"/>
  <c r="F87" i="6"/>
  <c r="H87" i="6" s="1"/>
  <c r="D87" i="6"/>
  <c r="C87" i="6"/>
  <c r="B87" i="6"/>
  <c r="H86" i="6"/>
  <c r="G86" i="6"/>
  <c r="F86" i="6"/>
  <c r="D86" i="6"/>
  <c r="C86" i="6"/>
  <c r="E86" i="6" s="1"/>
  <c r="I86" i="6" s="1"/>
  <c r="B86" i="6"/>
  <c r="I85" i="6"/>
  <c r="H85" i="6"/>
  <c r="G85" i="6"/>
  <c r="F85" i="6"/>
  <c r="E85" i="6"/>
  <c r="D85" i="6"/>
  <c r="C85" i="6"/>
  <c r="B85" i="6"/>
  <c r="G84" i="6"/>
  <c r="F84" i="6"/>
  <c r="H84" i="6" s="1"/>
  <c r="D84" i="6"/>
  <c r="E84" i="6" s="1"/>
  <c r="I84" i="6" s="1"/>
  <c r="C84" i="6"/>
  <c r="B84" i="6"/>
  <c r="J83" i="6"/>
  <c r="G83" i="6"/>
  <c r="F83" i="6"/>
  <c r="H83" i="6" s="1"/>
  <c r="D83" i="6"/>
  <c r="C83" i="6"/>
  <c r="B83" i="6"/>
  <c r="H82" i="6"/>
  <c r="G82" i="6"/>
  <c r="F82" i="6"/>
  <c r="D82" i="6"/>
  <c r="C82" i="6"/>
  <c r="B82" i="6"/>
  <c r="J81" i="6"/>
  <c r="G81" i="6"/>
  <c r="F81" i="6"/>
  <c r="H81" i="6" s="1"/>
  <c r="E81" i="6"/>
  <c r="I81" i="6" s="1"/>
  <c r="D81" i="6"/>
  <c r="C81" i="6"/>
  <c r="B81" i="6"/>
  <c r="G80" i="6"/>
  <c r="F80" i="6"/>
  <c r="H80" i="6" s="1"/>
  <c r="E80" i="6"/>
  <c r="I80" i="6" s="1"/>
  <c r="D80" i="6"/>
  <c r="C80" i="6"/>
  <c r="B80" i="6"/>
  <c r="G79" i="6"/>
  <c r="F79" i="6"/>
  <c r="H79" i="6" s="1"/>
  <c r="D79" i="6"/>
  <c r="C79" i="6"/>
  <c r="B79" i="6"/>
  <c r="H78" i="6"/>
  <c r="G78" i="6"/>
  <c r="F78" i="6"/>
  <c r="D78" i="6"/>
  <c r="C78" i="6"/>
  <c r="E78" i="6" s="1"/>
  <c r="I78" i="6" s="1"/>
  <c r="B78" i="6"/>
  <c r="I77" i="6"/>
  <c r="H77" i="6"/>
  <c r="G77" i="6"/>
  <c r="F77" i="6"/>
  <c r="E77" i="6"/>
  <c r="D77" i="6"/>
  <c r="C77" i="6"/>
  <c r="B77" i="6"/>
  <c r="J76" i="6"/>
  <c r="G76" i="6"/>
  <c r="F76" i="6"/>
  <c r="E76" i="6"/>
  <c r="D76" i="6"/>
  <c r="C76" i="6"/>
  <c r="B76" i="6"/>
  <c r="G75" i="6"/>
  <c r="F75" i="6"/>
  <c r="D75" i="6"/>
  <c r="C75" i="6"/>
  <c r="E75" i="6" s="1"/>
  <c r="B75" i="6"/>
  <c r="J74" i="6"/>
  <c r="H74" i="6"/>
  <c r="I74" i="6" s="1"/>
  <c r="G74" i="6"/>
  <c r="F74" i="6"/>
  <c r="D74" i="6"/>
  <c r="C74" i="6"/>
  <c r="E74" i="6" s="1"/>
  <c r="B74" i="6"/>
  <c r="G73" i="6"/>
  <c r="F73" i="6"/>
  <c r="H73" i="6" s="1"/>
  <c r="D73" i="6"/>
  <c r="E73" i="6" s="1"/>
  <c r="I73" i="6" s="1"/>
  <c r="C73" i="6"/>
  <c r="B73" i="6"/>
  <c r="J72" i="6"/>
  <c r="G72" i="6"/>
  <c r="F72" i="6"/>
  <c r="D72" i="6"/>
  <c r="C72" i="6"/>
  <c r="E72" i="6" s="1"/>
  <c r="B72" i="6"/>
  <c r="G71" i="6"/>
  <c r="F71" i="6"/>
  <c r="D71" i="6"/>
  <c r="C71" i="6"/>
  <c r="E71" i="6" s="1"/>
  <c r="B71" i="6"/>
  <c r="J70" i="6"/>
  <c r="G70" i="6"/>
  <c r="H70" i="6" s="1"/>
  <c r="F70" i="6"/>
  <c r="D70" i="6"/>
  <c r="C70" i="6"/>
  <c r="E70" i="6" s="1"/>
  <c r="I70" i="6" s="1"/>
  <c r="B70" i="6"/>
  <c r="G69" i="6"/>
  <c r="F69" i="6"/>
  <c r="H69" i="6" s="1"/>
  <c r="D69" i="6"/>
  <c r="E69" i="6" s="1"/>
  <c r="I69" i="6" s="1"/>
  <c r="C69" i="6"/>
  <c r="B69" i="6"/>
  <c r="J68" i="6"/>
  <c r="G68" i="6"/>
  <c r="F68" i="6"/>
  <c r="D68" i="6"/>
  <c r="C68" i="6"/>
  <c r="E68" i="6" s="1"/>
  <c r="B68" i="6"/>
  <c r="G67" i="6"/>
  <c r="F67" i="6"/>
  <c r="H67" i="6" s="1"/>
  <c r="D67" i="6"/>
  <c r="C67" i="6"/>
  <c r="E67" i="6" s="1"/>
  <c r="I67" i="6" s="1"/>
  <c r="B67" i="6"/>
  <c r="J66" i="6"/>
  <c r="G66" i="6"/>
  <c r="H66" i="6" s="1"/>
  <c r="F66" i="6"/>
  <c r="D66" i="6"/>
  <c r="C66" i="6"/>
  <c r="B66" i="6"/>
  <c r="G65" i="6"/>
  <c r="H65" i="6" s="1"/>
  <c r="I65" i="6" s="1"/>
  <c r="F65" i="6"/>
  <c r="E65" i="6"/>
  <c r="D65" i="6"/>
  <c r="C65" i="6"/>
  <c r="B65" i="6"/>
  <c r="J64" i="6"/>
  <c r="G64" i="6"/>
  <c r="F64" i="6"/>
  <c r="H64" i="6" s="1"/>
  <c r="D64" i="6"/>
  <c r="C64" i="6"/>
  <c r="B64" i="6"/>
  <c r="G63" i="6"/>
  <c r="F63" i="6"/>
  <c r="H63" i="6" s="1"/>
  <c r="D63" i="6"/>
  <c r="C63" i="6"/>
  <c r="E63" i="6" s="1"/>
  <c r="I63" i="6" s="1"/>
  <c r="B63" i="6"/>
  <c r="J62" i="6"/>
  <c r="G62" i="6"/>
  <c r="H62" i="6" s="1"/>
  <c r="F62" i="6"/>
  <c r="D62" i="6"/>
  <c r="C62" i="6"/>
  <c r="B62" i="6"/>
  <c r="H61" i="6"/>
  <c r="G61" i="6"/>
  <c r="F61" i="6"/>
  <c r="D61" i="6"/>
  <c r="E61" i="6" s="1"/>
  <c r="I61" i="6" s="1"/>
  <c r="C61" i="6"/>
  <c r="B61" i="6"/>
  <c r="G60" i="6"/>
  <c r="F60" i="6"/>
  <c r="H60" i="6" s="1"/>
  <c r="D60" i="6"/>
  <c r="E60" i="6" s="1"/>
  <c r="I60" i="6" s="1"/>
  <c r="C60" i="6"/>
  <c r="B60" i="6"/>
  <c r="G59" i="6"/>
  <c r="F59" i="6"/>
  <c r="H59" i="6" s="1"/>
  <c r="D59" i="6"/>
  <c r="C59" i="6"/>
  <c r="E59" i="6" s="1"/>
  <c r="I59" i="6" s="1"/>
  <c r="B59" i="6"/>
  <c r="G58" i="6"/>
  <c r="H58" i="6" s="1"/>
  <c r="F58" i="6"/>
  <c r="D58" i="6"/>
  <c r="C58" i="6"/>
  <c r="E58" i="6" s="1"/>
  <c r="B58" i="6"/>
  <c r="J57" i="6"/>
  <c r="H57" i="6"/>
  <c r="G57" i="6"/>
  <c r="F57" i="6"/>
  <c r="D57" i="6"/>
  <c r="E57" i="6" s="1"/>
  <c r="I57" i="6" s="1"/>
  <c r="C57" i="6"/>
  <c r="B57" i="6"/>
  <c r="G56" i="6"/>
  <c r="F56" i="6"/>
  <c r="H56" i="6" s="1"/>
  <c r="E56" i="6"/>
  <c r="I56" i="6" s="1"/>
  <c r="D56" i="6"/>
  <c r="C56" i="6"/>
  <c r="B56" i="6"/>
  <c r="G55" i="6"/>
  <c r="F55" i="6"/>
  <c r="H55" i="6" s="1"/>
  <c r="D55" i="6"/>
  <c r="C55" i="6"/>
  <c r="E55" i="6" s="1"/>
  <c r="B55" i="6"/>
  <c r="H54" i="6"/>
  <c r="I54" i="6" s="1"/>
  <c r="G54" i="6"/>
  <c r="F54" i="6"/>
  <c r="D54" i="6"/>
  <c r="C54" i="6"/>
  <c r="E54" i="6" s="1"/>
  <c r="B54" i="6"/>
  <c r="G53" i="6"/>
  <c r="F53" i="6"/>
  <c r="H53" i="6" s="1"/>
  <c r="E53" i="6"/>
  <c r="D53" i="6"/>
  <c r="C53" i="6"/>
  <c r="B53" i="6"/>
  <c r="G52" i="6"/>
  <c r="F52" i="6"/>
  <c r="H52" i="6" s="1"/>
  <c r="D52" i="6"/>
  <c r="C52" i="6"/>
  <c r="E52" i="6" s="1"/>
  <c r="I52" i="6" s="1"/>
  <c r="B52" i="6"/>
  <c r="G51" i="6"/>
  <c r="F51" i="6"/>
  <c r="D51" i="6"/>
  <c r="C51" i="6"/>
  <c r="B51" i="6"/>
  <c r="G50" i="6"/>
  <c r="H50" i="6" s="1"/>
  <c r="F50" i="6"/>
  <c r="D50" i="6"/>
  <c r="C50" i="6"/>
  <c r="E50" i="6" s="1"/>
  <c r="I50" i="6" s="1"/>
  <c r="B50" i="6"/>
  <c r="J49" i="6"/>
  <c r="G49" i="6"/>
  <c r="F49" i="6"/>
  <c r="H49" i="6" s="1"/>
  <c r="E49" i="6"/>
  <c r="D49" i="6"/>
  <c r="C49" i="6"/>
  <c r="B49" i="6"/>
  <c r="J48" i="6"/>
  <c r="G48" i="6"/>
  <c r="F48" i="6"/>
  <c r="H48" i="6" s="1"/>
  <c r="I48" i="6" s="1"/>
  <c r="E48" i="6"/>
  <c r="D48" i="6"/>
  <c r="C48" i="6"/>
  <c r="B48" i="6"/>
  <c r="G47" i="6"/>
  <c r="F47" i="6"/>
  <c r="H47" i="6" s="1"/>
  <c r="D47" i="6"/>
  <c r="C47" i="6"/>
  <c r="E47" i="6" s="1"/>
  <c r="I47" i="6" s="1"/>
  <c r="B47" i="6"/>
  <c r="J46" i="6"/>
  <c r="I46" i="6"/>
  <c r="H46" i="6"/>
  <c r="G46" i="6"/>
  <c r="F46" i="6"/>
  <c r="D46" i="6"/>
  <c r="C46" i="6"/>
  <c r="E46" i="6" s="1"/>
  <c r="B46" i="6"/>
  <c r="G45" i="6"/>
  <c r="F45" i="6"/>
  <c r="H45" i="6" s="1"/>
  <c r="E45" i="6"/>
  <c r="I45" i="6" s="1"/>
  <c r="D45" i="6"/>
  <c r="C45" i="6"/>
  <c r="B45" i="6"/>
  <c r="J44" i="6"/>
  <c r="G44" i="6"/>
  <c r="F44" i="6"/>
  <c r="H44" i="6" s="1"/>
  <c r="D44" i="6"/>
  <c r="C44" i="6"/>
  <c r="E44" i="6" s="1"/>
  <c r="I44" i="6" s="1"/>
  <c r="B44" i="6"/>
  <c r="G43" i="6"/>
  <c r="F43" i="6"/>
  <c r="D43" i="6"/>
  <c r="C43" i="6"/>
  <c r="E43" i="6" s="1"/>
  <c r="B43" i="6"/>
  <c r="J42" i="6"/>
  <c r="G42" i="6"/>
  <c r="H42" i="6" s="1"/>
  <c r="F42" i="6"/>
  <c r="D42" i="6"/>
  <c r="C42" i="6"/>
  <c r="E42" i="6" s="1"/>
  <c r="B42" i="6"/>
  <c r="G41" i="6"/>
  <c r="H41" i="6" s="1"/>
  <c r="F41" i="6"/>
  <c r="D41" i="6"/>
  <c r="E41" i="6" s="1"/>
  <c r="I41" i="6" s="1"/>
  <c r="C41" i="6"/>
  <c r="B41" i="6"/>
  <c r="J40" i="6"/>
  <c r="G40" i="6"/>
  <c r="F40" i="6"/>
  <c r="D40" i="6"/>
  <c r="C40" i="6"/>
  <c r="E40" i="6" s="1"/>
  <c r="B40" i="6"/>
  <c r="G39" i="6"/>
  <c r="F39" i="6"/>
  <c r="H39" i="6" s="1"/>
  <c r="D39" i="6"/>
  <c r="C39" i="6"/>
  <c r="E39" i="6" s="1"/>
  <c r="I39" i="6" s="1"/>
  <c r="B39" i="6"/>
  <c r="G38" i="6"/>
  <c r="H38" i="6" s="1"/>
  <c r="F38" i="6"/>
  <c r="D38" i="6"/>
  <c r="C38" i="6"/>
  <c r="E38" i="6" s="1"/>
  <c r="I38" i="6" s="1"/>
  <c r="B38" i="6"/>
  <c r="H37" i="6"/>
  <c r="G37" i="6"/>
  <c r="F37" i="6"/>
  <c r="D37" i="6"/>
  <c r="E37" i="6" s="1"/>
  <c r="I37" i="6" s="1"/>
  <c r="C37" i="6"/>
  <c r="B37" i="6"/>
  <c r="G36" i="6"/>
  <c r="H36" i="6" s="1"/>
  <c r="I36" i="6" s="1"/>
  <c r="F36" i="6"/>
  <c r="E36" i="6"/>
  <c r="D36" i="6"/>
  <c r="C36" i="6"/>
  <c r="B36" i="6"/>
  <c r="J35" i="6"/>
  <c r="G35" i="6"/>
  <c r="F35" i="6"/>
  <c r="H35" i="6" s="1"/>
  <c r="D35" i="6"/>
  <c r="C35" i="6"/>
  <c r="B35" i="6"/>
  <c r="J34" i="6"/>
  <c r="G34" i="6"/>
  <c r="H34" i="6" s="1"/>
  <c r="F34" i="6"/>
  <c r="D34" i="6"/>
  <c r="C34" i="6"/>
  <c r="E34" i="6" s="1"/>
  <c r="I34" i="6" s="1"/>
  <c r="B34" i="6"/>
  <c r="J33" i="6"/>
  <c r="I33" i="6"/>
  <c r="H33" i="6"/>
  <c r="G33" i="6"/>
  <c r="F33" i="6"/>
  <c r="D33" i="6"/>
  <c r="C33" i="6"/>
  <c r="E33" i="6" s="1"/>
  <c r="B33" i="6"/>
  <c r="G32" i="6"/>
  <c r="F32" i="6"/>
  <c r="H32" i="6" s="1"/>
  <c r="E32" i="6"/>
  <c r="I32" i="6" s="1"/>
  <c r="D32" i="6"/>
  <c r="C32" i="6"/>
  <c r="B32" i="6"/>
  <c r="G31" i="6"/>
  <c r="F31" i="6"/>
  <c r="H31" i="6" s="1"/>
  <c r="D31" i="6"/>
  <c r="C31" i="6"/>
  <c r="B31" i="6"/>
  <c r="G30" i="6"/>
  <c r="F30" i="6"/>
  <c r="H30" i="6" s="1"/>
  <c r="D30" i="6"/>
  <c r="C30" i="6"/>
  <c r="E30" i="6" s="1"/>
  <c r="I30" i="6" s="1"/>
  <c r="B30" i="6"/>
  <c r="J29" i="6"/>
  <c r="H29" i="6"/>
  <c r="G29" i="6"/>
  <c r="F29" i="6"/>
  <c r="D29" i="6"/>
  <c r="C29" i="6"/>
  <c r="E29" i="6" s="1"/>
  <c r="I29" i="6" s="1"/>
  <c r="B29" i="6"/>
  <c r="G28" i="6"/>
  <c r="F28" i="6"/>
  <c r="H28" i="6" s="1"/>
  <c r="E28" i="6"/>
  <c r="D28" i="6"/>
  <c r="C28" i="6"/>
  <c r="B28" i="6"/>
  <c r="G27" i="6"/>
  <c r="F27" i="6"/>
  <c r="H27" i="6" s="1"/>
  <c r="D27" i="6"/>
  <c r="C27" i="6"/>
  <c r="E27" i="6" s="1"/>
  <c r="I27" i="6" s="1"/>
  <c r="B27" i="6"/>
  <c r="J26" i="6"/>
  <c r="G26" i="6"/>
  <c r="F26" i="6"/>
  <c r="H26" i="6" s="1"/>
  <c r="D26" i="6"/>
  <c r="C26" i="6"/>
  <c r="E26" i="6" s="1"/>
  <c r="B26" i="6"/>
  <c r="H25" i="6"/>
  <c r="G25" i="6"/>
  <c r="F25" i="6"/>
  <c r="D25" i="6"/>
  <c r="C25" i="6"/>
  <c r="E25" i="6" s="1"/>
  <c r="I25" i="6" s="1"/>
  <c r="B25" i="6"/>
  <c r="J24" i="6"/>
  <c r="G24" i="6"/>
  <c r="F24" i="6"/>
  <c r="E24" i="6"/>
  <c r="D24" i="6"/>
  <c r="C24" i="6"/>
  <c r="B24" i="6"/>
  <c r="G23" i="6"/>
  <c r="F23" i="6"/>
  <c r="H23" i="6" s="1"/>
  <c r="D23" i="6"/>
  <c r="C23" i="6"/>
  <c r="E23" i="6" s="1"/>
  <c r="I23" i="6" s="1"/>
  <c r="B23" i="6"/>
  <c r="J22" i="6"/>
  <c r="G22" i="6"/>
  <c r="F22" i="6"/>
  <c r="H22" i="6" s="1"/>
  <c r="D22" i="6"/>
  <c r="C22" i="6"/>
  <c r="E22" i="6" s="1"/>
  <c r="B22" i="6"/>
  <c r="H21" i="6"/>
  <c r="I21" i="6" s="1"/>
  <c r="G21" i="6"/>
  <c r="F21" i="6"/>
  <c r="D21" i="6"/>
  <c r="C21" i="6"/>
  <c r="E21" i="6" s="1"/>
  <c r="B21" i="6"/>
  <c r="J20" i="6"/>
  <c r="G20" i="6"/>
  <c r="F20" i="6"/>
  <c r="E20" i="6"/>
  <c r="D20" i="6"/>
  <c r="C20" i="6"/>
  <c r="B20" i="6"/>
  <c r="G19" i="6"/>
  <c r="F19" i="6"/>
  <c r="H19" i="6" s="1"/>
  <c r="D19" i="6"/>
  <c r="C19" i="6"/>
  <c r="E19" i="6" s="1"/>
  <c r="B19" i="6"/>
  <c r="J18" i="6"/>
  <c r="G18" i="6"/>
  <c r="F18" i="6"/>
  <c r="H18" i="6" s="1"/>
  <c r="D18" i="6"/>
  <c r="C18" i="6"/>
  <c r="E18" i="6" s="1"/>
  <c r="I18" i="6" s="1"/>
  <c r="B18" i="6"/>
  <c r="I17" i="6"/>
  <c r="H17" i="6"/>
  <c r="G17" i="6"/>
  <c r="F17" i="6"/>
  <c r="D17" i="6"/>
  <c r="C17" i="6"/>
  <c r="E17" i="6" s="1"/>
  <c r="B17" i="6"/>
  <c r="J16" i="6"/>
  <c r="G16" i="6"/>
  <c r="F16" i="6"/>
  <c r="H16" i="6" s="1"/>
  <c r="E16" i="6"/>
  <c r="I16" i="6" s="1"/>
  <c r="D16" i="6"/>
  <c r="C16" i="6"/>
  <c r="B16" i="6"/>
  <c r="G15" i="6"/>
  <c r="F15" i="6"/>
  <c r="H15" i="6" s="1"/>
  <c r="D15" i="6"/>
  <c r="C15" i="6"/>
  <c r="E15" i="6" s="1"/>
  <c r="I15" i="6" s="1"/>
  <c r="B15" i="6"/>
  <c r="J14" i="6"/>
  <c r="G14" i="6"/>
  <c r="F14" i="6"/>
  <c r="H14" i="6" s="1"/>
  <c r="D14" i="6"/>
  <c r="C14" i="6"/>
  <c r="E14" i="6" s="1"/>
  <c r="B14" i="6"/>
  <c r="H13" i="6"/>
  <c r="G13" i="6"/>
  <c r="F13" i="6"/>
  <c r="D13" i="6"/>
  <c r="C13" i="6"/>
  <c r="E13" i="6" s="1"/>
  <c r="I13" i="6" s="1"/>
  <c r="B13" i="6"/>
  <c r="H12" i="6"/>
  <c r="G12" i="6"/>
  <c r="F12" i="6"/>
  <c r="E12" i="6"/>
  <c r="D12" i="6"/>
  <c r="C12" i="6"/>
  <c r="B12" i="6"/>
  <c r="G11" i="6"/>
  <c r="F11" i="6"/>
  <c r="H11" i="6" s="1"/>
  <c r="D11" i="6"/>
  <c r="C11" i="6"/>
  <c r="E11" i="6" s="1"/>
  <c r="I11" i="6" s="1"/>
  <c r="B11" i="6"/>
  <c r="G10" i="6"/>
  <c r="F10" i="6"/>
  <c r="H10" i="6" s="1"/>
  <c r="D10" i="6"/>
  <c r="C10" i="6"/>
  <c r="E10" i="6" s="1"/>
  <c r="B10" i="6"/>
  <c r="H9" i="6"/>
  <c r="I9" i="6" s="1"/>
  <c r="G9" i="6"/>
  <c r="F9" i="6"/>
  <c r="D9" i="6"/>
  <c r="C9" i="6"/>
  <c r="E9" i="6" s="1"/>
  <c r="B9" i="6"/>
  <c r="G8" i="6"/>
  <c r="F8" i="6"/>
  <c r="H8" i="6" s="1"/>
  <c r="E8" i="6"/>
  <c r="D8" i="6"/>
  <c r="C8" i="6"/>
  <c r="B8" i="6"/>
  <c r="G7" i="6"/>
  <c r="F7" i="6"/>
  <c r="H7" i="6" s="1"/>
  <c r="D7" i="6"/>
  <c r="C7" i="6"/>
  <c r="E7" i="6" s="1"/>
  <c r="I7" i="6" s="1"/>
  <c r="B7" i="6"/>
  <c r="J6" i="6"/>
  <c r="G6" i="6"/>
  <c r="F6" i="6"/>
  <c r="H6" i="6" s="1"/>
  <c r="D6" i="6"/>
  <c r="C6" i="6"/>
  <c r="E6" i="6" s="1"/>
  <c r="I6" i="6" s="1"/>
  <c r="B6" i="6"/>
  <c r="H5" i="6"/>
  <c r="G5" i="6"/>
  <c r="F5" i="6"/>
  <c r="D5" i="6"/>
  <c r="C5" i="6"/>
  <c r="E5" i="6" s="1"/>
  <c r="I5" i="6" s="1"/>
  <c r="B5" i="6"/>
  <c r="J4" i="6"/>
  <c r="G4" i="6"/>
  <c r="F4" i="6"/>
  <c r="H4" i="6" s="1"/>
  <c r="E4" i="6"/>
  <c r="D4" i="6"/>
  <c r="C4" i="6"/>
  <c r="B4" i="6"/>
  <c r="I3" i="6"/>
  <c r="H3" i="6"/>
  <c r="G3" i="6"/>
  <c r="F3" i="6"/>
  <c r="E3" i="6"/>
  <c r="D3" i="6"/>
  <c r="C3" i="6"/>
  <c r="B3" i="6"/>
  <c r="B3" i="5"/>
  <c r="C3" i="5"/>
  <c r="E3" i="5"/>
  <c r="F3" i="5"/>
  <c r="B4" i="5"/>
  <c r="C4" i="5"/>
  <c r="E4" i="5"/>
  <c r="F4" i="5"/>
  <c r="B5" i="5"/>
  <c r="C5" i="5"/>
  <c r="E5" i="5"/>
  <c r="F5" i="5"/>
  <c r="B6" i="5"/>
  <c r="C6" i="5"/>
  <c r="E6" i="5"/>
  <c r="F6" i="5"/>
  <c r="B7" i="5"/>
  <c r="C7" i="5"/>
  <c r="E7" i="5"/>
  <c r="F7" i="5"/>
  <c r="B8" i="5"/>
  <c r="C8" i="5"/>
  <c r="E8" i="5"/>
  <c r="F8" i="5"/>
  <c r="B9" i="5"/>
  <c r="C9" i="5"/>
  <c r="E9" i="5"/>
  <c r="F9" i="5"/>
  <c r="B10" i="5"/>
  <c r="C10" i="5"/>
  <c r="E10" i="5"/>
  <c r="F10" i="5"/>
  <c r="B11" i="5"/>
  <c r="C11" i="5"/>
  <c r="E11" i="5"/>
  <c r="F11" i="5"/>
  <c r="B12" i="5"/>
  <c r="C12" i="5"/>
  <c r="E12" i="5"/>
  <c r="F12" i="5"/>
  <c r="B13" i="5"/>
  <c r="C13" i="5"/>
  <c r="E13" i="5"/>
  <c r="F13" i="5"/>
  <c r="B14" i="5"/>
  <c r="C14" i="5"/>
  <c r="E14" i="5"/>
  <c r="F14" i="5"/>
  <c r="B15" i="5"/>
  <c r="C15" i="5"/>
  <c r="E15" i="5"/>
  <c r="F15" i="5"/>
  <c r="B16" i="5"/>
  <c r="C16" i="5"/>
  <c r="E16" i="5"/>
  <c r="F16" i="5"/>
  <c r="B17" i="5"/>
  <c r="C17" i="5"/>
  <c r="E17" i="5"/>
  <c r="F17" i="5"/>
  <c r="B18" i="5"/>
  <c r="C18" i="5"/>
  <c r="E18" i="5"/>
  <c r="F18" i="5"/>
  <c r="B19" i="5"/>
  <c r="C19" i="5"/>
  <c r="E19" i="5"/>
  <c r="F19" i="5"/>
  <c r="B20" i="5"/>
  <c r="C20" i="5"/>
  <c r="E20" i="5"/>
  <c r="F20" i="5"/>
  <c r="B21" i="5"/>
  <c r="C21" i="5"/>
  <c r="E21" i="5"/>
  <c r="F21" i="5"/>
  <c r="B22" i="5"/>
  <c r="C22" i="5"/>
  <c r="E22" i="5"/>
  <c r="F22" i="5"/>
  <c r="B23" i="5"/>
  <c r="C23" i="5"/>
  <c r="E23" i="5"/>
  <c r="F23" i="5"/>
  <c r="B24" i="5"/>
  <c r="C24" i="5"/>
  <c r="E24" i="5"/>
  <c r="F24" i="5"/>
  <c r="B25" i="5"/>
  <c r="C25" i="5"/>
  <c r="E25" i="5"/>
  <c r="F25" i="5"/>
  <c r="B26" i="5"/>
  <c r="C26" i="5"/>
  <c r="E26" i="5"/>
  <c r="F26" i="5"/>
  <c r="B27" i="5"/>
  <c r="C27" i="5"/>
  <c r="E27" i="5"/>
  <c r="F27" i="5"/>
  <c r="B28" i="5"/>
  <c r="C28" i="5"/>
  <c r="E28" i="5"/>
  <c r="F28" i="5"/>
  <c r="B29" i="5"/>
  <c r="C29" i="5"/>
  <c r="E29" i="5"/>
  <c r="F29" i="5"/>
  <c r="B30" i="5"/>
  <c r="C30" i="5"/>
  <c r="E30" i="5"/>
  <c r="F30" i="5"/>
  <c r="B31" i="5"/>
  <c r="C31" i="5"/>
  <c r="E31" i="5"/>
  <c r="F31" i="5"/>
  <c r="J5" i="6" l="1"/>
  <c r="J7" i="6"/>
  <c r="J11" i="6"/>
  <c r="J86" i="6"/>
  <c r="J90" i="6"/>
  <c r="J113" i="6"/>
  <c r="J115" i="6"/>
  <c r="J117" i="6"/>
  <c r="J142" i="6"/>
  <c r="J9" i="6"/>
  <c r="J102" i="6"/>
  <c r="J119" i="6"/>
  <c r="J172" i="6"/>
  <c r="J104" i="6"/>
  <c r="J25" i="6"/>
  <c r="J27" i="6"/>
  <c r="J31" i="6"/>
  <c r="J51" i="6"/>
  <c r="J53" i="6"/>
  <c r="J55" i="6"/>
  <c r="J59" i="6"/>
  <c r="J61" i="6"/>
  <c r="J63" i="6"/>
  <c r="J77" i="6"/>
  <c r="J79" i="6"/>
  <c r="J108" i="6"/>
  <c r="J101" i="6"/>
  <c r="J129" i="6"/>
  <c r="J131" i="6"/>
  <c r="J133" i="6"/>
  <c r="J154" i="6"/>
  <c r="J160" i="6"/>
  <c r="J190" i="6"/>
  <c r="J199" i="6"/>
  <c r="J204" i="6"/>
  <c r="J202" i="6"/>
  <c r="J195" i="6"/>
  <c r="J170" i="6"/>
  <c r="J161" i="6"/>
  <c r="J143" i="6"/>
  <c r="J93" i="6"/>
  <c r="J60" i="6"/>
  <c r="J58" i="6"/>
  <c r="J47" i="6"/>
  <c r="J23" i="6"/>
  <c r="J21" i="6"/>
  <c r="J12" i="6"/>
  <c r="J3" i="6"/>
  <c r="J193" i="6"/>
  <c r="J184" i="6"/>
  <c r="J182" i="6"/>
  <c r="J175" i="6"/>
  <c r="J159" i="6"/>
  <c r="J132" i="6"/>
  <c r="J130" i="6"/>
  <c r="J116" i="6"/>
  <c r="J114" i="6"/>
  <c r="J107" i="6"/>
  <c r="J100" i="6"/>
  <c r="J98" i="6"/>
  <c r="J91" i="6"/>
  <c r="J84" i="6"/>
  <c r="J82" i="6"/>
  <c r="J56" i="6"/>
  <c r="J32" i="6"/>
  <c r="J191" i="6"/>
  <c r="J173" i="6"/>
  <c r="J157" i="6"/>
  <c r="J152" i="6"/>
  <c r="J150" i="6"/>
  <c r="J141" i="6"/>
  <c r="J105" i="6"/>
  <c r="J89" i="6"/>
  <c r="J54" i="6"/>
  <c r="J45" i="6"/>
  <c r="J30" i="6"/>
  <c r="J19" i="6"/>
  <c r="J17" i="6"/>
  <c r="J10" i="6"/>
  <c r="J207" i="6"/>
  <c r="J200" i="6"/>
  <c r="J168" i="6"/>
  <c r="J166" i="6"/>
  <c r="J139" i="6"/>
  <c r="J128" i="6"/>
  <c r="J123" i="6"/>
  <c r="J96" i="6"/>
  <c r="J87" i="6"/>
  <c r="J80" i="6"/>
  <c r="J75" i="6"/>
  <c r="J43" i="6"/>
  <c r="J41" i="6"/>
  <c r="J39" i="6"/>
  <c r="J37" i="6"/>
  <c r="J28" i="6"/>
  <c r="J8" i="6"/>
  <c r="J205" i="6"/>
  <c r="J198" i="6"/>
  <c r="J189" i="6"/>
  <c r="J180" i="6"/>
  <c r="J178" i="6"/>
  <c r="J155" i="6"/>
  <c r="J148" i="6"/>
  <c r="J146" i="6"/>
  <c r="J137" i="6"/>
  <c r="J126" i="6"/>
  <c r="J121" i="6"/>
  <c r="J112" i="6"/>
  <c r="J110" i="6"/>
  <c r="J94" i="6"/>
  <c r="J85" i="6"/>
  <c r="J78" i="6"/>
  <c r="J73" i="6"/>
  <c r="J71" i="6"/>
  <c r="J69" i="6"/>
  <c r="J67" i="6"/>
  <c r="J65" i="6"/>
  <c r="J52" i="6"/>
  <c r="J50" i="6"/>
  <c r="J13" i="6"/>
  <c r="J15" i="6"/>
  <c r="J36" i="6"/>
  <c r="J38" i="6"/>
  <c r="J145" i="6"/>
  <c r="J147" i="6"/>
  <c r="J149" i="6"/>
  <c r="J151" i="6"/>
  <c r="J181" i="6"/>
  <c r="J183" i="6"/>
  <c r="J185" i="6"/>
  <c r="I8" i="6"/>
  <c r="I76" i="6"/>
  <c r="I10" i="6"/>
  <c r="H20" i="6"/>
  <c r="I20" i="6" s="1"/>
  <c r="I22" i="6"/>
  <c r="E31" i="6"/>
  <c r="I31" i="6" s="1"/>
  <c r="H76" i="6"/>
  <c r="E90" i="6"/>
  <c r="I90" i="6" s="1"/>
  <c r="E118" i="6"/>
  <c r="I118" i="6" s="1"/>
  <c r="I172" i="6"/>
  <c r="I177" i="6"/>
  <c r="I72" i="6"/>
  <c r="I12" i="6"/>
  <c r="I19" i="6"/>
  <c r="H24" i="6"/>
  <c r="I24" i="6" s="1"/>
  <c r="I26" i="6"/>
  <c r="E35" i="6"/>
  <c r="I35" i="6" s="1"/>
  <c r="I49" i="6"/>
  <c r="E64" i="6"/>
  <c r="I64" i="6" s="1"/>
  <c r="I169" i="6"/>
  <c r="I42" i="6"/>
  <c r="I58" i="6"/>
  <c r="H51" i="6"/>
  <c r="I53" i="6"/>
  <c r="E87" i="6"/>
  <c r="I87" i="6" s="1"/>
  <c r="H99" i="6"/>
  <c r="I101" i="6"/>
  <c r="I141" i="6"/>
  <c r="E155" i="6"/>
  <c r="I155" i="6" s="1"/>
  <c r="I197" i="6"/>
  <c r="I4" i="6"/>
  <c r="I14" i="6"/>
  <c r="I28" i="6"/>
  <c r="H127" i="6"/>
  <c r="H141" i="6"/>
  <c r="E183" i="6"/>
  <c r="I183" i="6" s="1"/>
  <c r="I123" i="6"/>
  <c r="I171" i="6"/>
  <c r="I55" i="6"/>
  <c r="I103" i="6"/>
  <c r="I151" i="6"/>
  <c r="I199" i="6"/>
  <c r="E66" i="6"/>
  <c r="I66" i="6" s="1"/>
  <c r="H72" i="6"/>
  <c r="H75" i="6"/>
  <c r="I75" i="6" s="1"/>
  <c r="E83" i="6"/>
  <c r="I83" i="6" s="1"/>
  <c r="E114" i="6"/>
  <c r="I114" i="6" s="1"/>
  <c r="H120" i="6"/>
  <c r="I120" i="6" s="1"/>
  <c r="H123" i="6"/>
  <c r="E131" i="6"/>
  <c r="I131" i="6" s="1"/>
  <c r="E162" i="6"/>
  <c r="I162" i="6" s="1"/>
  <c r="H168" i="6"/>
  <c r="I168" i="6" s="1"/>
  <c r="H171" i="6"/>
  <c r="E179" i="6"/>
  <c r="I179" i="6" s="1"/>
  <c r="I91" i="6"/>
  <c r="I71" i="6"/>
  <c r="I119" i="6"/>
  <c r="H40" i="6"/>
  <c r="I40" i="6" s="1"/>
  <c r="H43" i="6"/>
  <c r="I43" i="6" s="1"/>
  <c r="E51" i="6"/>
  <c r="I51" i="6" s="1"/>
  <c r="E82" i="6"/>
  <c r="I82" i="6" s="1"/>
  <c r="H88" i="6"/>
  <c r="I88" i="6" s="1"/>
  <c r="H91" i="6"/>
  <c r="E99" i="6"/>
  <c r="E130" i="6"/>
  <c r="I130" i="6" s="1"/>
  <c r="H136" i="6"/>
  <c r="I136" i="6" s="1"/>
  <c r="H139" i="6"/>
  <c r="I139" i="6" s="1"/>
  <c r="E147" i="6"/>
  <c r="I147" i="6" s="1"/>
  <c r="H184" i="6"/>
  <c r="I184" i="6" s="1"/>
  <c r="E195" i="6"/>
  <c r="I195" i="6" s="1"/>
  <c r="E62" i="6"/>
  <c r="I62" i="6" s="1"/>
  <c r="H68" i="6"/>
  <c r="I68" i="6" s="1"/>
  <c r="H71" i="6"/>
  <c r="E79" i="6"/>
  <c r="I79" i="6" s="1"/>
  <c r="E110" i="6"/>
  <c r="I110" i="6" s="1"/>
  <c r="H116" i="6"/>
  <c r="I116" i="6" s="1"/>
  <c r="H119" i="6"/>
  <c r="E127" i="6"/>
  <c r="I127" i="6" s="1"/>
  <c r="E158" i="6"/>
  <c r="I158" i="6" s="1"/>
  <c r="H164" i="6"/>
  <c r="I164" i="6" s="1"/>
  <c r="H167" i="6"/>
  <c r="I167" i="6" s="1"/>
  <c r="E175" i="6"/>
  <c r="I175" i="6" s="1"/>
  <c r="G13" i="5"/>
  <c r="G16" i="5"/>
  <c r="D18" i="5"/>
  <c r="G7" i="5"/>
  <c r="G10" i="5"/>
  <c r="G27" i="5"/>
  <c r="G24" i="5"/>
  <c r="G21" i="5"/>
  <c r="G19" i="5"/>
  <c r="D7" i="5"/>
  <c r="D4" i="5"/>
  <c r="G28" i="5"/>
  <c r="G30" i="5"/>
  <c r="G18" i="5"/>
  <c r="D23" i="5"/>
  <c r="D20" i="5"/>
  <c r="D9" i="5"/>
  <c r="G31" i="5"/>
  <c r="G11" i="5"/>
  <c r="D3" i="5"/>
  <c r="G22" i="5"/>
  <c r="D28" i="5"/>
  <c r="D22" i="5"/>
  <c r="G15" i="5"/>
  <c r="D6" i="5"/>
  <c r="G25" i="5"/>
  <c r="G8" i="5"/>
  <c r="D31" i="5"/>
  <c r="D5" i="5"/>
  <c r="G23" i="5"/>
  <c r="D29" i="5"/>
  <c r="G3" i="5"/>
  <c r="D14" i="5"/>
  <c r="D25" i="5"/>
  <c r="G5" i="5"/>
  <c r="D8" i="5"/>
  <c r="D27" i="5"/>
  <c r="D16" i="5"/>
  <c r="G29" i="5"/>
  <c r="D24" i="5"/>
  <c r="D13" i="5"/>
  <c r="G4" i="5"/>
  <c r="G26" i="5"/>
  <c r="D21" i="5"/>
  <c r="G12" i="5"/>
  <c r="D10" i="5"/>
  <c r="D19" i="5"/>
  <c r="D26" i="5"/>
  <c r="G20" i="5"/>
  <c r="D15" i="5"/>
  <c r="G9" i="5"/>
  <c r="G6" i="5"/>
  <c r="G17" i="5"/>
  <c r="D12" i="5"/>
  <c r="D11" i="5"/>
  <c r="D30" i="5"/>
  <c r="G14" i="5"/>
  <c r="C32" i="5"/>
  <c r="B32" i="5"/>
  <c r="E32" i="5"/>
  <c r="F32" i="5"/>
  <c r="D17" i="5"/>
  <c r="I99" i="6" l="1"/>
  <c r="H13" i="5"/>
  <c r="H16" i="5"/>
  <c r="H24" i="5"/>
  <c r="H10" i="5"/>
  <c r="H15" i="5"/>
  <c r="H20" i="5"/>
  <c r="H27" i="5"/>
  <c r="H7" i="5"/>
  <c r="H8" i="5"/>
  <c r="H30" i="5"/>
  <c r="H18" i="5"/>
  <c r="H23" i="5"/>
  <c r="H29" i="5"/>
  <c r="H9" i="5"/>
  <c r="H31" i="5"/>
  <c r="H4" i="5"/>
  <c r="H19" i="5"/>
  <c r="H21" i="5"/>
  <c r="H28" i="5"/>
  <c r="H11" i="5"/>
  <c r="H6" i="5"/>
  <c r="H3" i="5"/>
  <c r="H22" i="5"/>
  <c r="H5" i="5"/>
  <c r="H25" i="5"/>
  <c r="H12" i="5"/>
  <c r="G32" i="5"/>
  <c r="H26" i="5"/>
  <c r="H17" i="5"/>
  <c r="H14" i="5"/>
  <c r="D32" i="5"/>
  <c r="H32" i="5" l="1"/>
  <c r="I4" i="5" s="1"/>
  <c r="I8" i="5" l="1"/>
  <c r="I6" i="5"/>
  <c r="I5" i="5"/>
  <c r="I31" i="5"/>
  <c r="I29" i="5"/>
  <c r="I28" i="5"/>
  <c r="I20" i="5"/>
  <c r="I25" i="5"/>
  <c r="I30" i="5"/>
  <c r="I22" i="5"/>
  <c r="I21" i="5"/>
  <c r="I19" i="5"/>
  <c r="I18" i="5"/>
  <c r="I16" i="5"/>
  <c r="I12" i="5"/>
  <c r="I15" i="5"/>
  <c r="I26" i="5"/>
  <c r="I9" i="5"/>
  <c r="I10" i="5"/>
  <c r="I14" i="5"/>
  <c r="I13" i="5"/>
  <c r="I17" i="5"/>
  <c r="I3" i="5"/>
  <c r="I7" i="5"/>
  <c r="I23" i="5"/>
  <c r="I27" i="5"/>
  <c r="I11" i="5"/>
  <c r="I24" i="5"/>
  <c r="I32" i="5" l="1"/>
</calcChain>
</file>

<file path=xl/sharedStrings.xml><?xml version="1.0" encoding="utf-8"?>
<sst xmlns="http://schemas.openxmlformats.org/spreadsheetml/2006/main" count="33798" uniqueCount="4321">
  <si>
    <t>GRITSCH - FLN</t>
  </si>
  <si>
    <t>TAS4H04</t>
  </si>
  <si>
    <t>COMBUSTÍVEL</t>
  </si>
  <si>
    <t>POSTO GALO - ARIRIU 0011-56 - REDE GALO</t>
  </si>
  <si>
    <t>ESTORNO (CRÉDITO)</t>
  </si>
  <si>
    <t>CRÉDITO / ESTORNO</t>
  </si>
  <si>
    <t>4. Crédito de estorno (desconto)</t>
  </si>
  <si>
    <t>false</t>
  </si>
  <si>
    <t>GRITSCH - LDB</t>
  </si>
  <si>
    <t>SFE8H55</t>
  </si>
  <si>
    <t>AUTO POSTO BARUK</t>
  </si>
  <si>
    <t>GRITSCH - RVD</t>
  </si>
  <si>
    <t>SDU9F98</t>
  </si>
  <si>
    <t>GRITSCH - CGR</t>
  </si>
  <si>
    <t>SFD5C31</t>
  </si>
  <si>
    <t>REDE IPE POSTOS DE SERVICOS | URBANO</t>
  </si>
  <si>
    <t>AUTO POSTO PASOLINI</t>
  </si>
  <si>
    <t>ARLA</t>
  </si>
  <si>
    <t>GRITSCH - SAO (PERUS)</t>
  </si>
  <si>
    <t>TBA7D21</t>
  </si>
  <si>
    <t>AUTO POSTO DUQUE CENTENARIO</t>
  </si>
  <si>
    <t>SFF9H66</t>
  </si>
  <si>
    <t>REFERENCIA CURITIBA</t>
  </si>
  <si>
    <t>TBU9D20</t>
  </si>
  <si>
    <t>POSTO GRAAL 81 | REDE GRAAL</t>
  </si>
  <si>
    <t>GRITSCH - SNO</t>
  </si>
  <si>
    <t>SFI4A20</t>
  </si>
  <si>
    <t>MAHLE 71 JATAI</t>
  </si>
  <si>
    <t>GRITSCH - GOI</t>
  </si>
  <si>
    <t>POSTO CALIFORNIA - PASADENA</t>
  </si>
  <si>
    <t>TBK1J34</t>
  </si>
  <si>
    <t>GRITSCH - CGB</t>
  </si>
  <si>
    <t>AMAZONIA - 24</t>
  </si>
  <si>
    <t>GRITSCH - PGR</t>
  </si>
  <si>
    <t>SFM3H45</t>
  </si>
  <si>
    <t>POSTO ZAPA MARIUCA | REDE PRIMOS</t>
  </si>
  <si>
    <t>GRITSCH - BSB</t>
  </si>
  <si>
    <t>REDE SAO ROQUE | SIMOLANDIA</t>
  </si>
  <si>
    <t>SDU9F80</t>
  </si>
  <si>
    <t>TAS4H20</t>
  </si>
  <si>
    <t>GRITSCH - CTB</t>
  </si>
  <si>
    <t>TAS4H11</t>
  </si>
  <si>
    <t>POSTO CAPITAL</t>
  </si>
  <si>
    <t>ABASTECIMENTO (DÉBITO)</t>
  </si>
  <si>
    <t>NFE VINCULADA</t>
  </si>
  <si>
    <t>I</t>
  </si>
  <si>
    <t>1. Com nota fiscal recolhida</t>
  </si>
  <si>
    <t>TBJ8E28</t>
  </si>
  <si>
    <t>POSTO 10 GOIANIA | REDE CARRETEIRO</t>
  </si>
  <si>
    <t>GRITSCH - CSC</t>
  </si>
  <si>
    <t>TAZ7D65</t>
  </si>
  <si>
    <t>POSTO NOVO FOXX - REDE ESTRADA</t>
  </si>
  <si>
    <t>GRITSCH - MGA</t>
  </si>
  <si>
    <t>RHQ6I69</t>
  </si>
  <si>
    <t>POSTO UNIDO</t>
  </si>
  <si>
    <t>RHZ7G20</t>
  </si>
  <si>
    <t>REDE DINO - POSTO TREVINHO</t>
  </si>
  <si>
    <t>MANDARIN AUTO POSTO</t>
  </si>
  <si>
    <t>GRITSCH - POA</t>
  </si>
  <si>
    <t>UBO0E91</t>
  </si>
  <si>
    <t>SIM REDE - SIM SCUDERIA 0182-00 - METROPOLITANA / SERRA</t>
  </si>
  <si>
    <t>GRITSCH - CWB (BASE)</t>
  </si>
  <si>
    <t>GP POSTOS - POSTO SAO JOSE</t>
  </si>
  <si>
    <t>GRITSCH - CHA</t>
  </si>
  <si>
    <t>CHAPECO - FILIAL 17 - REDE TRADICAO</t>
  </si>
  <si>
    <t>GRITSCH - PET</t>
  </si>
  <si>
    <t>UBN9E26</t>
  </si>
  <si>
    <t>SIM REDE - PELOTAS CAVADA 0060-31 - CENTRO RS</t>
  </si>
  <si>
    <t>SFM3H41</t>
  </si>
  <si>
    <t>SIM REDE - POA FARRAPOS 0153-75 - METROPOLITANA / SERRA</t>
  </si>
  <si>
    <t>GRITSCH - PBC</t>
  </si>
  <si>
    <t>SEL1F32</t>
  </si>
  <si>
    <t>GP POSTOS - POSTO TREVO</t>
  </si>
  <si>
    <t>GRITSCH - CXJ</t>
  </si>
  <si>
    <t>UBM2C02</t>
  </si>
  <si>
    <t>SIM REDE - CAXIAS FATIMA ALTO 0008-58 - METROPOLITANA / SERRA</t>
  </si>
  <si>
    <t>TAX5J72</t>
  </si>
  <si>
    <t>TBG7A10</t>
  </si>
  <si>
    <t>SFJ5H72</t>
  </si>
  <si>
    <t>SIM REDE - CAXIAS FORQUETA 0007-77 - METROPOLITANA / SERRA</t>
  </si>
  <si>
    <t>REDE DINO - BANDEIRANTES AUTO POSTO</t>
  </si>
  <si>
    <t>ISENTO (ABASTECIMENTO CANCELADO)</t>
  </si>
  <si>
    <t>2. Abastecimento cancelado (sem nota)</t>
  </si>
  <si>
    <t>true</t>
  </si>
  <si>
    <t>RHS8D20</t>
  </si>
  <si>
    <t>POSTO JOINVILLE - GRUPO GISA</t>
  </si>
  <si>
    <t>SES0D47</t>
  </si>
  <si>
    <t>PENDENTE DE NOTA</t>
  </si>
  <si>
    <t>3. Sem nota fiscal</t>
  </si>
  <si>
    <t>SDU9F51</t>
  </si>
  <si>
    <t>POSTO SAO PEDRO - REDE Z+Z</t>
  </si>
  <si>
    <t>TBE5I66</t>
  </si>
  <si>
    <t>NOSSO POSTAO</t>
  </si>
  <si>
    <t>TAI4I92</t>
  </si>
  <si>
    <t>AUTO POSTO PARAISO - MT</t>
  </si>
  <si>
    <t>POSTO PINHEIRO RIO VERDE</t>
  </si>
  <si>
    <t>UBK4B57</t>
  </si>
  <si>
    <t>TBE5I64</t>
  </si>
  <si>
    <t>AUTO POSTO SANTA FE</t>
  </si>
  <si>
    <t>GRITSCH - GPA</t>
  </si>
  <si>
    <t>GRITSCH - RDN</t>
  </si>
  <si>
    <t>UBA9H34</t>
  </si>
  <si>
    <t>TAS4H12</t>
  </si>
  <si>
    <t>SIM REDE DE POSTOS – TERRA DE AREIA 0214-21 - SC SUL</t>
  </si>
  <si>
    <t>UBY4J20</t>
  </si>
  <si>
    <t>TBQ1G12</t>
  </si>
  <si>
    <t>SIM REDE - SANTA MARIA BR 392 0151-03 - CENTRO RS</t>
  </si>
  <si>
    <t>UBN9E25</t>
  </si>
  <si>
    <t>TAJ6B89</t>
  </si>
  <si>
    <t>POSTO KRUPINSKI</t>
  </si>
  <si>
    <t>SEC5E64</t>
  </si>
  <si>
    <t>POSTO TUIUIU</t>
  </si>
  <si>
    <t>UAV5J69</t>
  </si>
  <si>
    <t>POSTO TIGRAO - PORTO ALEGRE DO NORTE -GRUPO TIGRAO</t>
  </si>
  <si>
    <t>SDU9F71</t>
  </si>
  <si>
    <t>SDU9F45</t>
  </si>
  <si>
    <t>SEP6E26</t>
  </si>
  <si>
    <t>AUTO POSTO INDIARA</t>
  </si>
  <si>
    <t>SFL2F19</t>
  </si>
  <si>
    <t>REAL ATACADO AUTO POSTO - CAMPO NOVO DO PARECIS 2</t>
  </si>
  <si>
    <t>GRITSCH - CRI</t>
  </si>
  <si>
    <t>SEP6E16</t>
  </si>
  <si>
    <t>REDE FURNAS | SOMBRIO | FURNAS - MATRIZ</t>
  </si>
  <si>
    <t>POSTO TIO HELIO</t>
  </si>
  <si>
    <t>TAW3H22</t>
  </si>
  <si>
    <t>RHS8D39</t>
  </si>
  <si>
    <t>GRITSCH - MATRIZ</t>
  </si>
  <si>
    <t>POSTO 2 IRMAOS</t>
  </si>
  <si>
    <t>SDP3I31</t>
  </si>
  <si>
    <t>SFN1H25</t>
  </si>
  <si>
    <t>POSTO CASAGRANDA</t>
  </si>
  <si>
    <t>SFE4B63</t>
  </si>
  <si>
    <t>POSTO JATOBAS – GRUPO GRANJA</t>
  </si>
  <si>
    <t>SFI7I21</t>
  </si>
  <si>
    <t>POSTO GALO - SAO JOSE 0007-70 - REDE GALO</t>
  </si>
  <si>
    <t>UBW4H01</t>
  </si>
  <si>
    <t>AUTO POSTO VALE DA SERRA QUERENCIA</t>
  </si>
  <si>
    <t>TAP2C40</t>
  </si>
  <si>
    <t>UBC1A56</t>
  </si>
  <si>
    <t>RHA3E79</t>
  </si>
  <si>
    <t>SEW5B72</t>
  </si>
  <si>
    <t>UBO8H30</t>
  </si>
  <si>
    <t>POSTO IGUACU - CACERES</t>
  </si>
  <si>
    <t>POSTO MARTELLI - SILOEIRO</t>
  </si>
  <si>
    <t>CONTORNO NORTE COMERCIO DE COMBUSTIVEIS</t>
  </si>
  <si>
    <t>SDR8E01</t>
  </si>
  <si>
    <t>SEO2G25</t>
  </si>
  <si>
    <t>TBG7A13</t>
  </si>
  <si>
    <t>TAJ3D96</t>
  </si>
  <si>
    <t>AUTO POSTO PASQUALOTTO</t>
  </si>
  <si>
    <t>POSTO CHILE</t>
  </si>
  <si>
    <t>TBE5I65</t>
  </si>
  <si>
    <t>POSTO CPN - BR</t>
  </si>
  <si>
    <t>SEP6E34</t>
  </si>
  <si>
    <t>SDU9F01</t>
  </si>
  <si>
    <t>SFD2H31</t>
  </si>
  <si>
    <t>SEP6E22</t>
  </si>
  <si>
    <t>AUTO POSTO DARE</t>
  </si>
  <si>
    <t>SES2D41</t>
  </si>
  <si>
    <t>UBM2B99</t>
  </si>
  <si>
    <t>GRITSCH - CWB (DIR)</t>
  </si>
  <si>
    <t>BEB5D96</t>
  </si>
  <si>
    <t>SDR4D35</t>
  </si>
  <si>
    <t>BBW0C96</t>
  </si>
  <si>
    <t>RHT2C47</t>
  </si>
  <si>
    <t>POSTO MARKET DUTRA - REDE GRAAL</t>
  </si>
  <si>
    <t>SDR4D32</t>
  </si>
  <si>
    <t>SIM REDE - POA CEARA 0162-66 - METROPOLITANA / SERRA</t>
  </si>
  <si>
    <t>UCB6D90</t>
  </si>
  <si>
    <t>UBD6I31</t>
  </si>
  <si>
    <t>GRITSCH - BLN</t>
  </si>
  <si>
    <t>POSTO ZANDONA 9</t>
  </si>
  <si>
    <t>UBX4G62</t>
  </si>
  <si>
    <t>SDU9G01</t>
  </si>
  <si>
    <t>GRITSCH - PMW</t>
  </si>
  <si>
    <t>SFG4I65</t>
  </si>
  <si>
    <t>RODOPOSTO</t>
  </si>
  <si>
    <t>UBK4B52</t>
  </si>
  <si>
    <t>POSTO ZANDONA 12</t>
  </si>
  <si>
    <t>SED9B31</t>
  </si>
  <si>
    <t>UBF1G87</t>
  </si>
  <si>
    <t>GRITSCH - JOI</t>
  </si>
  <si>
    <t>TAI4J01</t>
  </si>
  <si>
    <t>POSTO ZANDONA 7</t>
  </si>
  <si>
    <t>AUTO POSTO JP</t>
  </si>
  <si>
    <t>SER6J04</t>
  </si>
  <si>
    <t>POSTO Z+Z - BRASILIA PIONEIRO | REDE Z+Z</t>
  </si>
  <si>
    <t>SDU9F89</t>
  </si>
  <si>
    <t>SEI5B85</t>
  </si>
  <si>
    <t>REDE DINO - POSTO SERRA DAS ARARAS</t>
  </si>
  <si>
    <t>AUTO POSTO ESTRELAO</t>
  </si>
  <si>
    <t>SEO8J46</t>
  </si>
  <si>
    <t>SIM REDE DE POSTOS - 0223-12 - METROPOLITANA / SERRA</t>
  </si>
  <si>
    <t>SEP6E11</t>
  </si>
  <si>
    <t>RHE1F56</t>
  </si>
  <si>
    <t>TAS4G97</t>
  </si>
  <si>
    <t>SDU9F03</t>
  </si>
  <si>
    <t>SFA8J31</t>
  </si>
  <si>
    <t>SFM3H30</t>
  </si>
  <si>
    <t>SFM3H52</t>
  </si>
  <si>
    <t>POSTO VIADUTO PASSA VINTE 0005-20 - REDE GALO</t>
  </si>
  <si>
    <t>SFM2I59</t>
  </si>
  <si>
    <t>AUTO POSTO LIMOEIRO - PALOMA - REDE GRAAL</t>
  </si>
  <si>
    <t>TBK1J24</t>
  </si>
  <si>
    <t>REDE MARAJO - MARAJO CENTRALINA</t>
  </si>
  <si>
    <t>TBQ1G08</t>
  </si>
  <si>
    <t>REDE DINO - POSTO CRUZEIRO DO SUL</t>
  </si>
  <si>
    <t>SFD5C35</t>
  </si>
  <si>
    <t>UAV5J73</t>
  </si>
  <si>
    <t>AUTO POSTO CIDADE - PORANGATU</t>
  </si>
  <si>
    <t>POSTO DO TREVO - REDE GRAAL</t>
  </si>
  <si>
    <t>SEU2F72</t>
  </si>
  <si>
    <t>SFG5J27</t>
  </si>
  <si>
    <t>SFN8F94</t>
  </si>
  <si>
    <t>TBE5I62</t>
  </si>
  <si>
    <t>TAW7H30</t>
  </si>
  <si>
    <t>SEL5J86</t>
  </si>
  <si>
    <t>SET4H66</t>
  </si>
  <si>
    <t>SEL7G42</t>
  </si>
  <si>
    <t>RHC1F97</t>
  </si>
  <si>
    <t>SFL3H42</t>
  </si>
  <si>
    <t>AUTO POSTO CONFIANCA</t>
  </si>
  <si>
    <t>TAR2F19</t>
  </si>
  <si>
    <t>SDR4E38</t>
  </si>
  <si>
    <t>SFD5C36</t>
  </si>
  <si>
    <t>TAZ4A48</t>
  </si>
  <si>
    <t>TAV9E95</t>
  </si>
  <si>
    <t>SEJ1H97</t>
  </si>
  <si>
    <t>SDU9G05</t>
  </si>
  <si>
    <t>SEH4I02</t>
  </si>
  <si>
    <t>POSTO DUME - XAVANTINA</t>
  </si>
  <si>
    <t>SFD3E82</t>
  </si>
  <si>
    <t>SEZ3A79</t>
  </si>
  <si>
    <t>POSTO JK - COMODORO | REDE AMERICA</t>
  </si>
  <si>
    <t>POSTO GALO - SERTAO DO MARUIM 0015-80 - REDE GALO</t>
  </si>
  <si>
    <t>TAN3H91</t>
  </si>
  <si>
    <t>POSTO TREVAO GUARANTA</t>
  </si>
  <si>
    <t>SIM REDE - CAXIAS FATIMA PANEX 0061-12 - METROPOLITANA / SERRA</t>
  </si>
  <si>
    <t>UBR9B24</t>
  </si>
  <si>
    <t>AUTO POSTO AMARANTE</t>
  </si>
  <si>
    <t>RHS8D28</t>
  </si>
  <si>
    <t>CHIMARRAO AUTO POSTO</t>
  </si>
  <si>
    <t>UBR9B03</t>
  </si>
  <si>
    <t>SEP6E30</t>
  </si>
  <si>
    <t>SDU9F49</t>
  </si>
  <si>
    <t>SEP6E28</t>
  </si>
  <si>
    <t>TBQ1G07</t>
  </si>
  <si>
    <t>SFD2H38</t>
  </si>
  <si>
    <t>POSTO TIGRAO - CONFRESA - GRUPO TIGRAO</t>
  </si>
  <si>
    <t>SDU9F62</t>
  </si>
  <si>
    <t>SFL2F07</t>
  </si>
  <si>
    <t>RHS3G79</t>
  </si>
  <si>
    <t>AUTO POSTO CHEGADAO</t>
  </si>
  <si>
    <t>SFM3H48</t>
  </si>
  <si>
    <t>POSTO SAO JUDAS TADEU - REDE Z+Z (RODOVIA)</t>
  </si>
  <si>
    <t>AUTO POSTO PASQUALOTTO | JURUENA</t>
  </si>
  <si>
    <t>SFA8J72</t>
  </si>
  <si>
    <t>POSTO PRATAO MIRANORTE - REDE PRATAO</t>
  </si>
  <si>
    <t>AUTO POSTO NOVO CEU</t>
  </si>
  <si>
    <t>SFD2H37</t>
  </si>
  <si>
    <t>SDT8J51</t>
  </si>
  <si>
    <t>UBM2C03</t>
  </si>
  <si>
    <t>SIM REDE - CAXIAS FESTA DA UVA 0015-87 - METROPOLITANA / SERRA</t>
  </si>
  <si>
    <t>SFD2H32</t>
  </si>
  <si>
    <t>RHS3G77</t>
  </si>
  <si>
    <t>RHF1B93</t>
  </si>
  <si>
    <t>UBR9B17</t>
  </si>
  <si>
    <t>SDR4D98</t>
  </si>
  <si>
    <t>POSTO LAGO AZUL</t>
  </si>
  <si>
    <t>SDP3I30</t>
  </si>
  <si>
    <t>UBR9B25</t>
  </si>
  <si>
    <t>SFI4A34</t>
  </si>
  <si>
    <t>POSTO SIMON IMBITUBA</t>
  </si>
  <si>
    <t>TBE5I63</t>
  </si>
  <si>
    <t>SED9B32</t>
  </si>
  <si>
    <t>RHL3E03</t>
  </si>
  <si>
    <t>SFN1H57</t>
  </si>
  <si>
    <t>POSTO BOLA SETE</t>
  </si>
  <si>
    <t>UBK4B56</t>
  </si>
  <si>
    <t>SIM REDE - BAGE UNIPAMPA 0146-46 - FRONTEIRA</t>
  </si>
  <si>
    <t>TBE5I67</t>
  </si>
  <si>
    <t>SFD2H30</t>
  </si>
  <si>
    <t>SDW2F01</t>
  </si>
  <si>
    <t>POSTO MASUT TREVAO</t>
  </si>
  <si>
    <t>SFF3C30</t>
  </si>
  <si>
    <t>SIM REDE - MARAU 0121-98 - CENTRO RS</t>
  </si>
  <si>
    <t>SDR8E58</t>
  </si>
  <si>
    <t>AUTO POSTO GOIAS</t>
  </si>
  <si>
    <t>AUTO POSTO BRASILIA 2</t>
  </si>
  <si>
    <t>RHQ4D40</t>
  </si>
  <si>
    <t>AUTO POSTO SERRA DOS PIRINEUS</t>
  </si>
  <si>
    <t>SFI6G50</t>
  </si>
  <si>
    <t>SFD5C34</t>
  </si>
  <si>
    <t>SEW5B71</t>
  </si>
  <si>
    <t>BCV9J79</t>
  </si>
  <si>
    <t>REDE DINO - POSTO FLOR DA SERRA</t>
  </si>
  <si>
    <t>SDU9F64</t>
  </si>
  <si>
    <t>TAW7H31</t>
  </si>
  <si>
    <t>SDV8E52</t>
  </si>
  <si>
    <t>PARADAO AUTO POSTO</t>
  </si>
  <si>
    <t>SEI5B93</t>
  </si>
  <si>
    <t>SEF8G23</t>
  </si>
  <si>
    <t>RHS8D37</t>
  </si>
  <si>
    <t>AUTO POSTO VALE DA SERRA BARRA DO GARCAS TREVO</t>
  </si>
  <si>
    <t>BDU5G86</t>
  </si>
  <si>
    <t>SEE9E81</t>
  </si>
  <si>
    <t>SDU9F75</t>
  </si>
  <si>
    <t>RHS8D41</t>
  </si>
  <si>
    <t>RHF9G22</t>
  </si>
  <si>
    <t>SIM REDE - PORTAO HOFF 0176-61 - METROPOLITANA / SERRA</t>
  </si>
  <si>
    <t>REDE MONTE CARLO - POSTO SAO JOSE</t>
  </si>
  <si>
    <t>TAP2C36</t>
  </si>
  <si>
    <t>SFM3H31</t>
  </si>
  <si>
    <t>SFI6J89</t>
  </si>
  <si>
    <t>SFJ5H71</t>
  </si>
  <si>
    <t>POSTO FIGUEIRA - CAMPO GRANDE</t>
  </si>
  <si>
    <t>SFM3H46</t>
  </si>
  <si>
    <t>RHP7C51</t>
  </si>
  <si>
    <t>BEX8E19</t>
  </si>
  <si>
    <t>SEL0B96</t>
  </si>
  <si>
    <t>SEL2B40</t>
  </si>
  <si>
    <t>SFI8F53</t>
  </si>
  <si>
    <t>SDU9F57</t>
  </si>
  <si>
    <t>TAS4G99</t>
  </si>
  <si>
    <t>TAZ4A46</t>
  </si>
  <si>
    <t>RHS8D29</t>
  </si>
  <si>
    <t>SDP5J33</t>
  </si>
  <si>
    <t>SFA8J61</t>
  </si>
  <si>
    <t>POSTO TREVO</t>
  </si>
  <si>
    <t>TAP2C35</t>
  </si>
  <si>
    <t>TAW3H21</t>
  </si>
  <si>
    <t>SDU9E95</t>
  </si>
  <si>
    <t>RHS3G80</t>
  </si>
  <si>
    <t>POSTO MAZOTI</t>
  </si>
  <si>
    <t>UBH2J71</t>
  </si>
  <si>
    <t>UBR9B07</t>
  </si>
  <si>
    <t>TAP3G60</t>
  </si>
  <si>
    <t>REDE ARLEI - AUTO POSTO ARLEI DE PRESIDENTE EPITACIO</t>
  </si>
  <si>
    <t>SFI4A36</t>
  </si>
  <si>
    <t>POSTO CALIFORNIA - CORONADO</t>
  </si>
  <si>
    <t>REDE ARLEI - AUTO POSTO ARLEI DE PRESIDENTE VENCESLAU</t>
  </si>
  <si>
    <t>SFD2H34</t>
  </si>
  <si>
    <t>RHT2C48</t>
  </si>
  <si>
    <t>TAV9E96</t>
  </si>
  <si>
    <t>POSTO PLANALTO - NOVO PROGRESSO</t>
  </si>
  <si>
    <t>AUTO POSTO CIMATEL</t>
  </si>
  <si>
    <t>POSTO INTERLAGOS</t>
  </si>
  <si>
    <t>TAS4H02</t>
  </si>
  <si>
    <t>POSTO ESTANCIA CHAPADAO</t>
  </si>
  <si>
    <t>RHB3H13</t>
  </si>
  <si>
    <t>SEU2F73</t>
  </si>
  <si>
    <t>SEP6E18</t>
  </si>
  <si>
    <t>RHI4F42</t>
  </si>
  <si>
    <t>SEC1E94</t>
  </si>
  <si>
    <t>RHK5H89</t>
  </si>
  <si>
    <t>SDR4E25</t>
  </si>
  <si>
    <t>SFM3H40</t>
  </si>
  <si>
    <t>SEL1F45</t>
  </si>
  <si>
    <t>SEL0E75</t>
  </si>
  <si>
    <t>SDT8I68</t>
  </si>
  <si>
    <t>SIM REDE - TORRES 0062-01 - SC SUL</t>
  </si>
  <si>
    <t>SFM3H49</t>
  </si>
  <si>
    <t>SEL1F40</t>
  </si>
  <si>
    <t>SFI6J88</t>
  </si>
  <si>
    <t>SDW2G32</t>
  </si>
  <si>
    <t>UBR9B05</t>
  </si>
  <si>
    <t>AUTO POSTO TRACAJA | LBF</t>
  </si>
  <si>
    <t>TAS4G98</t>
  </si>
  <si>
    <t>RHS8D32</t>
  </si>
  <si>
    <t>GRITSCH - SSA</t>
  </si>
  <si>
    <t>BEX5C16</t>
  </si>
  <si>
    <t>POSTO Z + Z STELLA MARIS - REDE Z+Z - URBANO</t>
  </si>
  <si>
    <t>SDT4A93</t>
  </si>
  <si>
    <t>SEL5J85</t>
  </si>
  <si>
    <t>TBS6E45</t>
  </si>
  <si>
    <t>REDE ROTA 101 | CAMINHO DO SOL | ROD 101</t>
  </si>
  <si>
    <t>SFG3J52</t>
  </si>
  <si>
    <t>RHL3E04</t>
  </si>
  <si>
    <t>SFI5F67</t>
  </si>
  <si>
    <t>SIM REDE - 0246-09 - ANCHIETA</t>
  </si>
  <si>
    <t>SDR4D95</t>
  </si>
  <si>
    <t>SDU9F73</t>
  </si>
  <si>
    <t>BEP1I42</t>
  </si>
  <si>
    <t>SDU9F72</t>
  </si>
  <si>
    <t>SIM REDE - ELDORADO VIADUTO 0035-20 - METROPOLITANA / SERRA</t>
  </si>
  <si>
    <t>POSTO BARAO MATRIZ|| REDE BARAO</t>
  </si>
  <si>
    <t>UBR9B16</t>
  </si>
  <si>
    <t>UBR9A92</t>
  </si>
  <si>
    <t>UBR9B27</t>
  </si>
  <si>
    <t>UBR9B09</t>
  </si>
  <si>
    <t>UBR9A97</t>
  </si>
  <si>
    <t>UBR9B22</t>
  </si>
  <si>
    <t>UBR9B08</t>
  </si>
  <si>
    <t>POSTO MARIA PADILHA</t>
  </si>
  <si>
    <t>BDD3B71</t>
  </si>
  <si>
    <t>POSTO NOVA TRABALHADORES | REDE ESA</t>
  </si>
  <si>
    <t>SEP6E19</t>
  </si>
  <si>
    <t>SFF9H68</t>
  </si>
  <si>
    <t>cnpj_cliente</t>
  </si>
  <si>
    <t>garagem</t>
  </si>
  <si>
    <t>matricula_veiculo</t>
  </si>
  <si>
    <t>placa</t>
  </si>
  <si>
    <t>natureza_bluefllet</t>
  </si>
  <si>
    <t>fatura_atual</t>
  </si>
  <si>
    <t>data_transacao</t>
  </si>
  <si>
    <t>id_transacao_atual</t>
  </si>
  <si>
    <t>numero_nota_fiscal</t>
  </si>
  <si>
    <t>nome_posto</t>
  </si>
  <si>
    <t>cnpj_posto</t>
  </si>
  <si>
    <t>cnpj_filial_nfe</t>
  </si>
  <si>
    <t>valor_item_liquido</t>
  </si>
  <si>
    <t>tipo_lancamento</t>
  </si>
  <si>
    <t>id_referencia_original</t>
  </si>
  <si>
    <t>fatura_origem_referencia</t>
  </si>
  <si>
    <t>data_original_referencia</t>
  </si>
  <si>
    <t>valor_cobrado_na_epoca</t>
  </si>
  <si>
    <t>status_fiscal</t>
  </si>
  <si>
    <t>nfe_tipo_operacao</t>
  </si>
  <si>
    <t>nfe_data_emissao</t>
  </si>
  <si>
    <t>nfe_valor_nota</t>
  </si>
  <si>
    <t>chave_nfe</t>
  </si>
  <si>
    <t>categoria_relatorio</t>
  </si>
  <si>
    <t>titulo_data_geracao</t>
  </si>
  <si>
    <t>titulo_data_vencimento</t>
  </si>
  <si>
    <t>titulo_valor_total</t>
  </si>
  <si>
    <t>fatura_credito_retorno</t>
  </si>
  <si>
    <t>data_credito_retorno</t>
  </si>
  <si>
    <t>tem_credito_gerado</t>
  </si>
  <si>
    <t>chave_nfe_texto</t>
  </si>
  <si>
    <t>fatura</t>
  </si>
  <si>
    <t>ord</t>
  </si>
  <si>
    <t>item</t>
  </si>
  <si>
    <t>valor</t>
  </si>
  <si>
    <t xml:space="preserve">  (+) Notas fiscais recolhidas</t>
  </si>
  <si>
    <t xml:space="preserve">  (-) Créditos de estorno</t>
  </si>
  <si>
    <t xml:space="preserve">  (+) Abastecimento cancelado</t>
  </si>
  <si>
    <t xml:space="preserve">  (+) Sem nota fiscal</t>
  </si>
  <si>
    <t>TOTAL DA FATURA (conferência)</t>
  </si>
  <si>
    <t>Garagem</t>
  </si>
  <si>
    <t>Estornos (Crédito)</t>
  </si>
  <si>
    <t>% do Total</t>
  </si>
  <si>
    <t>TOTAL</t>
  </si>
  <si>
    <t>Nome do Posto</t>
  </si>
  <si>
    <t>CNPJ do Posto</t>
  </si>
  <si>
    <t>COLETADO</t>
  </si>
  <si>
    <t>NÃO COLETADO</t>
  </si>
  <si>
    <t>Coletado c/ NF</t>
  </si>
  <si>
    <t>Total Coletado Líquido</t>
  </si>
  <si>
    <t>Ab. Cancelado</t>
  </si>
  <si>
    <t>Sem NF</t>
  </si>
  <si>
    <t>Total Não Coletado</t>
  </si>
  <si>
    <t>Total Geral</t>
  </si>
  <si>
    <t>POSTO PETROREIS - REDE JUNINHO</t>
  </si>
  <si>
    <t>TAS4H09</t>
  </si>
  <si>
    <t>POSTO MALHADAL</t>
  </si>
  <si>
    <t>SFI8F38</t>
  </si>
  <si>
    <t>SEY5E62</t>
  </si>
  <si>
    <t>SDP5J32</t>
  </si>
  <si>
    <t>SIM REDE - VALE REAL 0028-00 - METROPOLITANA / SERRA</t>
  </si>
  <si>
    <t>SEY5E63</t>
  </si>
  <si>
    <t>TAI4I80</t>
  </si>
  <si>
    <t>POSTO MACIAMBU</t>
  </si>
  <si>
    <t>SEP6E20</t>
  </si>
  <si>
    <t>RHS8D34</t>
  </si>
  <si>
    <t>SIM REDE - CAXIAS DO SUL 0123-50 - METROPOLITANA / SERRA</t>
  </si>
  <si>
    <t>POSTO KATIA LOCATELLI | MAE E FILHA</t>
  </si>
  <si>
    <t>SFN1H53</t>
  </si>
  <si>
    <t>AUTO POSTO NOVO PAMPA - REDE ESTRADA</t>
  </si>
  <si>
    <t>SFD5C32</t>
  </si>
  <si>
    <t>SFG4I64</t>
  </si>
  <si>
    <t>SFF9H70</t>
  </si>
  <si>
    <t>POSTO GAUCHO 3</t>
  </si>
  <si>
    <t>SDR8E10</t>
  </si>
  <si>
    <t>SFC4I42</t>
  </si>
  <si>
    <t>UBR9A93</t>
  </si>
  <si>
    <t>RHZ7G21</t>
  </si>
  <si>
    <t>SDR8D99</t>
  </si>
  <si>
    <t>RHT2G09</t>
  </si>
  <si>
    <t>SEP3C30</t>
  </si>
  <si>
    <t>SFM3H34</t>
  </si>
  <si>
    <t>SIM REDE - ALEGRETE - 019877 - CENTRO RS</t>
  </si>
  <si>
    <t>TAI9A24</t>
  </si>
  <si>
    <t>BUFFON 74</t>
  </si>
  <si>
    <t>UBW4G97</t>
  </si>
  <si>
    <t>BDD4A12</t>
  </si>
  <si>
    <t>RHQ6I66</t>
  </si>
  <si>
    <t>REDE MARAJO BOM JARDIM DE GOIAS</t>
  </si>
  <si>
    <t>POSTO PRESIDENTE ANAPOLIS</t>
  </si>
  <si>
    <t>AUTO POSTO OURO VERDE DE REGISTRO - REDE GRAAL</t>
  </si>
  <si>
    <t>SFG3J43</t>
  </si>
  <si>
    <t>SEF8G22</t>
  </si>
  <si>
    <t>SDS3F58</t>
  </si>
  <si>
    <t>SIM REDE - TC LITORAL 0040-98 - SC SUL</t>
  </si>
  <si>
    <t>SFH5H88</t>
  </si>
  <si>
    <t>SFD5C28</t>
  </si>
  <si>
    <t>SFF9H67</t>
  </si>
  <si>
    <t>POSTO CERCA NOVA</t>
  </si>
  <si>
    <t>SDT0F31</t>
  </si>
  <si>
    <t>POSTO PEDRO PELANDA 36</t>
  </si>
  <si>
    <t>SEY8A97</t>
  </si>
  <si>
    <t>BDD0B38</t>
  </si>
  <si>
    <t>SEI5B88</t>
  </si>
  <si>
    <t>UCF3E98</t>
  </si>
  <si>
    <t>SDT8J05</t>
  </si>
  <si>
    <t>REDE DINO - POSTO PENHASCO</t>
  </si>
  <si>
    <t>REDE DINO - POSTO FLOR DA SERRA II</t>
  </si>
  <si>
    <t>SEP3C43</t>
  </si>
  <si>
    <t>POSTO IDEAL GUAPO – FILIAL</t>
  </si>
  <si>
    <t>SIM REDE - SAPIRANGA 0084-09 - METROPOLITANA / SERRA</t>
  </si>
  <si>
    <t>SEL5J83</t>
  </si>
  <si>
    <t>SFL6I25</t>
  </si>
  <si>
    <t>TAI9A19</t>
  </si>
  <si>
    <t>SDU9E86</t>
  </si>
  <si>
    <t>POSTO SAN MARTIN</t>
  </si>
  <si>
    <t>RHS3G78</t>
  </si>
  <si>
    <t>LEVA 1</t>
  </si>
  <si>
    <t xml:space="preserve">  (=) Pagamento no vencimento</t>
  </si>
  <si>
    <t>LEVA 2</t>
  </si>
  <si>
    <t xml:space="preserve">  (=) Saldo a pagar</t>
  </si>
  <si>
    <t>SEN8A12</t>
  </si>
  <si>
    <t>AUTO POSTO BATISTELLA</t>
  </si>
  <si>
    <t>SFM3H28</t>
  </si>
  <si>
    <t>UCC8A40</t>
  </si>
  <si>
    <t>SDU9F93</t>
  </si>
  <si>
    <t>BDF6H45</t>
  </si>
  <si>
    <t>SDT4A77</t>
  </si>
  <si>
    <t>SFK0F56</t>
  </si>
  <si>
    <t>BEP1I43</t>
  </si>
  <si>
    <t>SFK1E38</t>
  </si>
  <si>
    <t>RHD8A32</t>
  </si>
  <si>
    <t>SFA0J37</t>
  </si>
  <si>
    <t>SFJ4D58</t>
  </si>
  <si>
    <t>SIM REDE - SANTIAGO -018552 - CENTRO RS</t>
  </si>
  <si>
    <t>UCG8E82</t>
  </si>
  <si>
    <t>SDU9F54</t>
  </si>
  <si>
    <t>UBH2J70</t>
  </si>
  <si>
    <t>SDU9F92</t>
  </si>
  <si>
    <t>SED5F26</t>
  </si>
  <si>
    <t>SFG4I63</t>
  </si>
  <si>
    <t>SFK1E50</t>
  </si>
  <si>
    <t>TAP2C39</t>
  </si>
  <si>
    <t>SEC0C40</t>
  </si>
  <si>
    <t>RHT2G08</t>
  </si>
  <si>
    <t>UAV5J75</t>
  </si>
  <si>
    <t>SDT4B70</t>
  </si>
  <si>
    <t>COCAMAR - MARINGA | REDE COCAMAR MARINGA - PR</t>
  </si>
  <si>
    <t>UBF1G85</t>
  </si>
  <si>
    <t>SDU9G02</t>
  </si>
  <si>
    <t>TAI4I82</t>
  </si>
  <si>
    <t>SDP5J34</t>
  </si>
  <si>
    <t>POSTO VALE | 0004-92 | REDE VALE</t>
  </si>
  <si>
    <t>BEB7C73</t>
  </si>
  <si>
    <t>RHS3G81</t>
  </si>
  <si>
    <t>91.77</t>
  </si>
  <si>
    <t>SFK1E48</t>
  </si>
  <si>
    <t>UCB4H75</t>
  </si>
  <si>
    <t>279.99</t>
  </si>
  <si>
    <t>RHS8D15</t>
  </si>
  <si>
    <t>BDD3B67</t>
  </si>
  <si>
    <t>SIM REDE - ITAJAI DISCOVERY 0073-56 - SC NORTE</t>
  </si>
  <si>
    <t>SEN1C56</t>
  </si>
  <si>
    <t>SDU9F63</t>
  </si>
  <si>
    <t>SEP6E17</t>
  </si>
  <si>
    <t>SFD5C40</t>
  </si>
  <si>
    <t>TBO2D64</t>
  </si>
  <si>
    <t>BEX8E26</t>
  </si>
  <si>
    <t>260.07</t>
  </si>
  <si>
    <t>BEX2E95</t>
  </si>
  <si>
    <t>SEK9C81</t>
  </si>
  <si>
    <t>BCS8D34</t>
  </si>
  <si>
    <t>RHK5H76</t>
  </si>
  <si>
    <t>SDU9G03</t>
  </si>
  <si>
    <t>RHB9H89</t>
  </si>
  <si>
    <t>RHM5I33</t>
  </si>
  <si>
    <t>SFF9H65</t>
  </si>
  <si>
    <t>UBF1G63</t>
  </si>
  <si>
    <t>BEX5C08</t>
  </si>
  <si>
    <t>SFL1E46</t>
  </si>
  <si>
    <t>SIM REDE - CAXIAS ROTA DO SOL 0042-50 - METROPOLITANA / SERRA</t>
  </si>
  <si>
    <t>2026-07-30 21:00:00.000 -0300</t>
  </si>
  <si>
    <t>2026-08-02 21:00:00.000 -0300</t>
  </si>
  <si>
    <t>2026-08-09 21:00:00.000 -0300</t>
  </si>
  <si>
    <t>521.05</t>
  </si>
  <si>
    <t>2026-08-10 21:00:00.000 -0300</t>
  </si>
  <si>
    <t>2026-08-04 21:00:00.000 -0300</t>
  </si>
  <si>
    <t>2026-08-05 21:00:00.000 -0300</t>
  </si>
  <si>
    <t>TAN3I32</t>
  </si>
  <si>
    <t>195.00</t>
  </si>
  <si>
    <t>SEZ7E35</t>
  </si>
  <si>
    <t>275.60</t>
  </si>
  <si>
    <t>2026-08-07 21:00:00.000 -0300</t>
  </si>
  <si>
    <t>POSTO HAPPY 77 - REDE 77</t>
  </si>
  <si>
    <t>SFD5C29</t>
  </si>
  <si>
    <t>71.23</t>
  </si>
  <si>
    <t>SFF9H64</t>
  </si>
  <si>
    <t>REDE DE POSTOS TOCA DA ONCA - ARAGUAINA RODOVIA</t>
  </si>
  <si>
    <t>203.78</t>
  </si>
  <si>
    <t>SEP6E33</t>
  </si>
  <si>
    <t>UBA9H32</t>
  </si>
  <si>
    <t>SET9J51</t>
  </si>
  <si>
    <t>195.08</t>
  </si>
  <si>
    <t>POSTO KATIA LOCATELLI URBANO</t>
  </si>
  <si>
    <t>2026-08-11 21:00:00.000 -0300</t>
  </si>
  <si>
    <t>SFJ2H29</t>
  </si>
  <si>
    <t>SIM REDE - LAGOA VERMELHA 0135-93 - CENTRO RS</t>
  </si>
  <si>
    <t>SFH7D75</t>
  </si>
  <si>
    <t>SIM REDE - POA CANOAS 0149-99 - METROPOLITANA / SERRA</t>
  </si>
  <si>
    <t>203.70</t>
  </si>
  <si>
    <t>REDE MARAJO | SAO SIMAO</t>
  </si>
  <si>
    <t>SIM REDE – SOLEDADE 0241-02 - RS</t>
  </si>
  <si>
    <t>RHU0G62</t>
  </si>
  <si>
    <t>SEL0E72</t>
  </si>
  <si>
    <t>SFM3H42</t>
  </si>
  <si>
    <t>261.71</t>
  </si>
  <si>
    <t>BEY4E58</t>
  </si>
  <si>
    <t>101.14</t>
  </si>
  <si>
    <t>SFA0J40</t>
  </si>
  <si>
    <t>258.06</t>
  </si>
  <si>
    <t>225.06</t>
  </si>
  <si>
    <t>2026-07-31 21:00:00.000 -0300</t>
  </si>
  <si>
    <t>518.96</t>
  </si>
  <si>
    <t>310.88</t>
  </si>
  <si>
    <t>159.26</t>
  </si>
  <si>
    <t>217.65</t>
  </si>
  <si>
    <t>TAZ7D64</t>
  </si>
  <si>
    <t>292.65</t>
  </si>
  <si>
    <t>SIM REDE - GRAVATAI PERDIGAO 0048-45 - METROPOLITANA / SERRA</t>
  </si>
  <si>
    <t>SES1B62</t>
  </si>
  <si>
    <t>SEL5J84</t>
  </si>
  <si>
    <t>SIM REDE DE POSTOS – IGREJINHA - 0212-60 - METROPOLITANA / SERRA</t>
  </si>
  <si>
    <t>255.26</t>
  </si>
  <si>
    <t>SFN4F71</t>
  </si>
  <si>
    <t>POSTO SAO JOSE 1</t>
  </si>
  <si>
    <t>SIM REDE - FLORES PEROLA 0033-69 - METROPOLITANA / SERRA</t>
  </si>
  <si>
    <t>POSTO JK - ESPLANADA | REDE AMERICA</t>
  </si>
  <si>
    <t>2026-07-29 21:00:00.000 -0300</t>
  </si>
  <si>
    <t>220.77</t>
  </si>
  <si>
    <t>SDP5J35</t>
  </si>
  <si>
    <t>BDN7J86</t>
  </si>
  <si>
    <t>BEP1I40</t>
  </si>
  <si>
    <t>SIM REDE - URUGUAIANA BR 290 0152-94 - CENTRO RS</t>
  </si>
  <si>
    <t>SDW2F35</t>
  </si>
  <si>
    <t>220.65</t>
  </si>
  <si>
    <t>SDU9F67</t>
  </si>
  <si>
    <t>UBN9E24</t>
  </si>
  <si>
    <t>2026-07-31 08:16:17.000 -0300</t>
  </si>
  <si>
    <t>SIM REDE - PELOTAS FERNANDO OSORIO 0093-08 - CENTRO RS</t>
  </si>
  <si>
    <t>141.68</t>
  </si>
  <si>
    <t>BDD0B37</t>
  </si>
  <si>
    <t>TAY6D07</t>
  </si>
  <si>
    <t>UBK4B54</t>
  </si>
  <si>
    <t>283.05</t>
  </si>
  <si>
    <t>BET7D67</t>
  </si>
  <si>
    <t>SDR4D99</t>
  </si>
  <si>
    <t>230.45</t>
  </si>
  <si>
    <t>260.28</t>
  </si>
  <si>
    <t>SIM REDE - POSTO CAMAQUA NORTE - 0194-43 - CENTRO RS</t>
  </si>
  <si>
    <t>BEP9C20</t>
  </si>
  <si>
    <t>286.01</t>
  </si>
  <si>
    <t>161.92</t>
  </si>
  <si>
    <t>254.79</t>
  </si>
  <si>
    <t>193.27</t>
  </si>
  <si>
    <t>SDV8E51</t>
  </si>
  <si>
    <t>246.05</t>
  </si>
  <si>
    <t>SIM REDE - 0231-22 - SANTANA</t>
  </si>
  <si>
    <t>SFF9H69</t>
  </si>
  <si>
    <t>UBF1G83</t>
  </si>
  <si>
    <t>234.15</t>
  </si>
  <si>
    <t>2026-07-27 21:00:00.000 -0300</t>
  </si>
  <si>
    <t>245.36</t>
  </si>
  <si>
    <t>SIM REDE -SANTANA DO LIVRAMENTO BIG 0168-51 - FRONTEIRA</t>
  </si>
  <si>
    <t>447.29</t>
  </si>
  <si>
    <t>230.04</t>
  </si>
  <si>
    <t>SFF9H63</t>
  </si>
  <si>
    <t>295.06</t>
  </si>
  <si>
    <t>SDU9F46</t>
  </si>
  <si>
    <t>282.42</t>
  </si>
  <si>
    <t>SDY6E95</t>
  </si>
  <si>
    <t>POSTO ALDO JATAI INDUSTRIAL - REDE ALDO</t>
  </si>
  <si>
    <t>300.11</t>
  </si>
  <si>
    <t>SER6J08</t>
  </si>
  <si>
    <t>SIM REDE - PARADOURO 0064-65 - METROPOLITANA / SERRA</t>
  </si>
  <si>
    <t>285.45</t>
  </si>
  <si>
    <t>POSTO 6 RIANAPOLIS | REDE CARRETEIRO</t>
  </si>
  <si>
    <t>REDE MARAJO - MARAJO GRANDE GOIANIA HIDROLANDIA</t>
  </si>
  <si>
    <t>257.23</t>
  </si>
  <si>
    <t>BDD6F94</t>
  </si>
  <si>
    <t>UBF1G84</t>
  </si>
  <si>
    <t>SDR8E61</t>
  </si>
  <si>
    <t>283.60</t>
  </si>
  <si>
    <t>160.77</t>
  </si>
  <si>
    <t>SFH3I29</t>
  </si>
  <si>
    <t>352.32</t>
  </si>
  <si>
    <t>SIM REDE - ESTEIO MEGA 0180-48 - METROPOLITANA / SERRA</t>
  </si>
  <si>
    <t>SIM REDE DE POSTOS | FLORES VIDEIRAS - 0200-26 - METROPOLITANA / SERRA</t>
  </si>
  <si>
    <t>2026-08-06 21:00:00.000 -0300</t>
  </si>
  <si>
    <t>237.08</t>
  </si>
  <si>
    <t>2026-08-01 14:03:55.000 -0300</t>
  </si>
  <si>
    <t>285.67</t>
  </si>
  <si>
    <t>2026-07-28 18:26:06.000 -0300</t>
  </si>
  <si>
    <t>251.86</t>
  </si>
  <si>
    <t>196.89</t>
  </si>
  <si>
    <t>BDF6H38</t>
  </si>
  <si>
    <t>TBQ1G10</t>
  </si>
  <si>
    <t>217.00</t>
  </si>
  <si>
    <t>2026-08-03 14:18:13.000 -0300</t>
  </si>
  <si>
    <t>231.70</t>
  </si>
  <si>
    <t>2026-07-30 15:13:04.000 -0300</t>
  </si>
  <si>
    <t>225.77</t>
  </si>
  <si>
    <t>414653.70</t>
  </si>
  <si>
    <t>-1468.57</t>
  </si>
  <si>
    <t>413185.13</t>
  </si>
  <si>
    <t>331.89</t>
  </si>
  <si>
    <t>29660.05</t>
  </si>
  <si>
    <t>29991.94</t>
  </si>
  <si>
    <t>443177.07</t>
  </si>
  <si>
    <t>-285.67</t>
  </si>
  <si>
    <t>2026-08-15 00:00:00.000 -0300</t>
  </si>
  <si>
    <t>2026-08-26 00:00:00.000 -0300</t>
  </si>
  <si>
    <t>-251.86</t>
  </si>
  <si>
    <t>-141.68</t>
  </si>
  <si>
    <t>2026-08-07 10:14:51.000 -0300</t>
  </si>
  <si>
    <t>-331.89</t>
  </si>
  <si>
    <t>-231.70</t>
  </si>
  <si>
    <t>-225.77</t>
  </si>
  <si>
    <t>2026-08-11 20:32:34.000 -0300</t>
  </si>
  <si>
    <t>252.02</t>
  </si>
  <si>
    <t>'41260876493295000147550020000291061002782187</t>
  </si>
  <si>
    <t>2026-08-11 20:16:50.000 -0300</t>
  </si>
  <si>
    <t>'35260842733072000198550080000053251524484620</t>
  </si>
  <si>
    <t>2026-08-11 19:42:40.000 -0300</t>
  </si>
  <si>
    <t>'52260833360405000190550020000383151008888133</t>
  </si>
  <si>
    <t>2026-08-11 19:17:08.000 -0300</t>
  </si>
  <si>
    <t>336.50</t>
  </si>
  <si>
    <t>'35260855973291000196550030010529491018448930</t>
  </si>
  <si>
    <t>2026-08-11 19:14:36.000 -0300</t>
  </si>
  <si>
    <t>698.82</t>
  </si>
  <si>
    <t>'41260879964177000591550020008208551011758525</t>
  </si>
  <si>
    <t>2026-08-11 19:09:13.000 -0300</t>
  </si>
  <si>
    <t>'52260833360405000190550020000383141008887997</t>
  </si>
  <si>
    <t>2026-08-11 18:36:53.000 -0300</t>
  </si>
  <si>
    <t>1878.84</t>
  </si>
  <si>
    <t>'41260879964177000591550020008208521011758434</t>
  </si>
  <si>
    <t>RHT0B69</t>
  </si>
  <si>
    <t>2026-08-11 18:33:59.000 -0300</t>
  </si>
  <si>
    <t>475.60</t>
  </si>
  <si>
    <t>'43260893489243007471550080000044391522201280</t>
  </si>
  <si>
    <t>2026-08-11 17:34:10.000 -0300</t>
  </si>
  <si>
    <t>'52260801272434001002550020000814401274796734</t>
  </si>
  <si>
    <t>2026-08-11 17:25:18.000 -0300</t>
  </si>
  <si>
    <t>221.63</t>
  </si>
  <si>
    <t>'35260805065447000162550060003742511006200254</t>
  </si>
  <si>
    <t>2026-08-11 17:22:05.000 -0300</t>
  </si>
  <si>
    <t>189.65</t>
  </si>
  <si>
    <t>189.64</t>
  </si>
  <si>
    <t>'51260850128357000551550050000102861001035117</t>
  </si>
  <si>
    <t>2026-08-11 17:17:58.000 -0300</t>
  </si>
  <si>
    <t>255.16</t>
  </si>
  <si>
    <t>'43260807473735019877550080000580701009183062</t>
  </si>
  <si>
    <t>2026-08-11 17:13:35.000 -0300</t>
  </si>
  <si>
    <t>620.71</t>
  </si>
  <si>
    <t>'41260876493295000147550020000291031002781545</t>
  </si>
  <si>
    <t>2026-08-11 17:12:26.000 -0300</t>
  </si>
  <si>
    <t>59.80</t>
  </si>
  <si>
    <t>'52260801272434000618550030000905961193214770</t>
  </si>
  <si>
    <t>2026-08-11 17:09:49.000 -0300</t>
  </si>
  <si>
    <t>660.15</t>
  </si>
  <si>
    <t>'41260802763612000161550020001632271664883173</t>
  </si>
  <si>
    <t>2026-08-11 17:05:49.000 -0300</t>
  </si>
  <si>
    <t>305.06</t>
  </si>
  <si>
    <t>'17260804219621000111550010000992801351423972</t>
  </si>
  <si>
    <t>SFI4A35</t>
  </si>
  <si>
    <t>2026-08-11 16:59:05.000 -0300</t>
  </si>
  <si>
    <t>234.43</t>
  </si>
  <si>
    <t>'42260882156977000248550010001687261220982295</t>
  </si>
  <si>
    <t>2026-08-11 16:50:56.000 -0300</t>
  </si>
  <si>
    <t>139.90</t>
  </si>
  <si>
    <t>'51260822611652000103550010001719811020410220</t>
  </si>
  <si>
    <t>2026-08-11 16:39:34.000 -0300</t>
  </si>
  <si>
    <t>162.36</t>
  </si>
  <si>
    <t>'51260817084739000121550010003427331007357872</t>
  </si>
  <si>
    <t>2026-08-11 16:36:05.000 -0300</t>
  </si>
  <si>
    <t>2457.91</t>
  </si>
  <si>
    <t>'42260883392050000199550020001301481111936167</t>
  </si>
  <si>
    <t>2026-08-11 16:34:42.000 -0300</t>
  </si>
  <si>
    <t>350.27</t>
  </si>
  <si>
    <t>'41260833286065000102550040000105241014217700</t>
  </si>
  <si>
    <t>2026-08-11 16:31:43.000 -0300</t>
  </si>
  <si>
    <t>219.52</t>
  </si>
  <si>
    <t>'41260802763612000161550020001632231469305060</t>
  </si>
  <si>
    <t>2026-08-11 16:31:41.000 -0300</t>
  </si>
  <si>
    <t>230.47</t>
  </si>
  <si>
    <t>2026-08-13 21:00:00.000 -0300</t>
  </si>
  <si>
    <t>'51260823891404000118551010000067491089991170</t>
  </si>
  <si>
    <t>2026-08-11 16:31:11.000 -0300</t>
  </si>
  <si>
    <t>372.14</t>
  </si>
  <si>
    <t>2026-08-12 21:00:00.000 -0300</t>
  </si>
  <si>
    <t>'50260801550726000160550030000167111130728365</t>
  </si>
  <si>
    <t>2026-08-11 16:22:55.000 -0300</t>
  </si>
  <si>
    <t>168.71</t>
  </si>
  <si>
    <t>'41260830429333000282550110000412751005184719</t>
  </si>
  <si>
    <t>2026-08-11 16:06:38.000 -0300</t>
  </si>
  <si>
    <t>26.32</t>
  </si>
  <si>
    <t>'42260882156977000248550010001687221951919602</t>
  </si>
  <si>
    <t>2026-08-11 16:05:33.000 -0300</t>
  </si>
  <si>
    <t>221.60</t>
  </si>
  <si>
    <t>'42260882156977000248550010001687211575440027</t>
  </si>
  <si>
    <t>2026-08-11 16:04:53.000 -0300</t>
  </si>
  <si>
    <t>303.44</t>
  </si>
  <si>
    <t>'41260875176859000155550020003896351760533255</t>
  </si>
  <si>
    <t>2026-08-11 16:02:33.000 -0300</t>
  </si>
  <si>
    <t>61.05</t>
  </si>
  <si>
    <t>'51260801594553000182550100000749961010486291</t>
  </si>
  <si>
    <t>2026-08-11 16:00:25.000 -0300</t>
  </si>
  <si>
    <t>416.68</t>
  </si>
  <si>
    <t>'41260802763612000161550020001632171858968259</t>
  </si>
  <si>
    <t>2026-08-11 15:57:50.000 -0300</t>
  </si>
  <si>
    <t>232.82</t>
  </si>
  <si>
    <t>'42260882156977000248550010001687191881791585</t>
  </si>
  <si>
    <t>2026-08-11 15:49:14.000 -0300</t>
  </si>
  <si>
    <t>224.22</t>
  </si>
  <si>
    <t>'41260802763612000161550020001632141373894715</t>
  </si>
  <si>
    <t>2026-08-11 15:48:24.000 -0300</t>
  </si>
  <si>
    <t>341.10</t>
  </si>
  <si>
    <t>'52260801272434001002550020000814381308342643</t>
  </si>
  <si>
    <t>2026-08-11 15:46:55.000 -0300</t>
  </si>
  <si>
    <t>322.03</t>
  </si>
  <si>
    <t>'42260882156977000248550010001687171213692180</t>
  </si>
  <si>
    <t>2026-08-11 15:46:09.000 -0300</t>
  </si>
  <si>
    <t>583.31</t>
  </si>
  <si>
    <t>'35260846472822000176550010000233691003157909</t>
  </si>
  <si>
    <t>2026-08-11 15:38:29.000 -0300</t>
  </si>
  <si>
    <t>39.48</t>
  </si>
  <si>
    <t>'42260882156977000248550010001687161410323210</t>
  </si>
  <si>
    <t>2026-08-11 15:36:40.000 -0300</t>
  </si>
  <si>
    <t>294.27</t>
  </si>
  <si>
    <t>'42260882156977000248550010001687141659026456</t>
  </si>
  <si>
    <t>2026-08-11 15:34:32.000 -0300</t>
  </si>
  <si>
    <t>210.91</t>
  </si>
  <si>
    <t>210.90</t>
  </si>
  <si>
    <t>'52260847377960000139550010001134171584734398</t>
  </si>
  <si>
    <t>2026-08-11 15:33:34.000 -0300</t>
  </si>
  <si>
    <t>268.65</t>
  </si>
  <si>
    <t>2026-08-11 15:25:17.000 -0300</t>
  </si>
  <si>
    <t>250.31</t>
  </si>
  <si>
    <t>'41260801975878000105550100000025441785364390</t>
  </si>
  <si>
    <t>2026-08-11 15:23:18.000 -0300</t>
  </si>
  <si>
    <t>298.18</t>
  </si>
  <si>
    <t>'17260804219621000111550010000992791349733063</t>
  </si>
  <si>
    <t>2026-08-11 15:21:18.000 -0300</t>
  </si>
  <si>
    <t>42.42</t>
  </si>
  <si>
    <t>2026-08-11 15:19:57.000 -0300</t>
  </si>
  <si>
    <t>501.43</t>
  </si>
  <si>
    <t>'52260858446194000133550540000533471818139992</t>
  </si>
  <si>
    <t>2026-08-11 15:19:12.000 -0300</t>
  </si>
  <si>
    <t>610.96</t>
  </si>
  <si>
    <t>SEL0E76</t>
  </si>
  <si>
    <t>2026-08-11 15:19:08.000 -0300</t>
  </si>
  <si>
    <t>48.25</t>
  </si>
  <si>
    <t>'51260823891404000118550110001319121621930536</t>
  </si>
  <si>
    <t>2026-08-11 15:17:45.000 -0300</t>
  </si>
  <si>
    <t>403.27</t>
  </si>
  <si>
    <t>'51260823891404000118550110001319111895139898</t>
  </si>
  <si>
    <t>2026-08-11 15:16:55.000 -0300</t>
  </si>
  <si>
    <t>233.90</t>
  </si>
  <si>
    <t>'41260802763612000161550020001632101317347268</t>
  </si>
  <si>
    <t>2026-08-11 15:06:58.000 -0300</t>
  </si>
  <si>
    <t>244.80</t>
  </si>
  <si>
    <t>'41260875176859000155550020003896061768635314</t>
  </si>
  <si>
    <t>2026-08-11 14:44:25.000 -0300</t>
  </si>
  <si>
    <t>273.03</t>
  </si>
  <si>
    <t>'42260884711084000161550030001195631111744337</t>
  </si>
  <si>
    <t>2026-08-11 14:40:28.000 -0300</t>
  </si>
  <si>
    <t>95.08</t>
  </si>
  <si>
    <t>2026-08-11 14:29:03.000 -0300</t>
  </si>
  <si>
    <t>36.84</t>
  </si>
  <si>
    <t>'41260833286065000102550100000044501014216827</t>
  </si>
  <si>
    <t>2026-08-11 14:28:45.000 -0300</t>
  </si>
  <si>
    <t>458.95</t>
  </si>
  <si>
    <t>'41260827933025000102550090000011501000267280</t>
  </si>
  <si>
    <t>2026-08-11 14:28:03.000 -0300</t>
  </si>
  <si>
    <t>758.53</t>
  </si>
  <si>
    <t>'41260833286065000102550100000044491014216800</t>
  </si>
  <si>
    <t>2026-08-11 14:27:09.000 -0300</t>
  </si>
  <si>
    <t>142.63</t>
  </si>
  <si>
    <t>'51260826602128000119550010001362471001773245</t>
  </si>
  <si>
    <t>2026-08-11 14:26:45.000 -0300</t>
  </si>
  <si>
    <t>377.78</t>
  </si>
  <si>
    <t>2026-08-11 14:22:55.000 -0300</t>
  </si>
  <si>
    <t>243.90</t>
  </si>
  <si>
    <t>'42260882156977000248550010001687051986882038</t>
  </si>
  <si>
    <t>2026-08-11 14:22:01.000 -0300</t>
  </si>
  <si>
    <t>383.75</t>
  </si>
  <si>
    <t>'41260879130647000198550050000168561015904426</t>
  </si>
  <si>
    <t>2026-08-11 14:21:17.000 -0300</t>
  </si>
  <si>
    <t>61.14</t>
  </si>
  <si>
    <t>'41260879130647000198550070000030231015904419</t>
  </si>
  <si>
    <t>2026-08-11 14:20:20.000 -0300</t>
  </si>
  <si>
    <t>135.67</t>
  </si>
  <si>
    <t>'52260801272434001002550020000814311472286075</t>
  </si>
  <si>
    <t>2026-08-11 14:19:14.000 -0300</t>
  </si>
  <si>
    <t>440.15</t>
  </si>
  <si>
    <t>'41260879130647000198550050000168551015904402</t>
  </si>
  <si>
    <t>2026-08-11 14:15:16.000 -0300</t>
  </si>
  <si>
    <t>295.58</t>
  </si>
  <si>
    <t>'41260830429333000282550110000412541005182783</t>
  </si>
  <si>
    <t>2026-08-11 14:10:35.000 -0300</t>
  </si>
  <si>
    <t>392.88</t>
  </si>
  <si>
    <t>'41260805291412000141550020000209031018184815</t>
  </si>
  <si>
    <t>2026-08-11 14:09:41.000 -0300</t>
  </si>
  <si>
    <t>473.75</t>
  </si>
  <si>
    <t>'51260803623054000282550010033833251013436995</t>
  </si>
  <si>
    <t>2026-08-11 14:03:09.000 -0300</t>
  </si>
  <si>
    <t>291.87</t>
  </si>
  <si>
    <t>'52260801272434001002550020000814291705266782</t>
  </si>
  <si>
    <t>2026-08-11 14:02:55.000 -0300</t>
  </si>
  <si>
    <t>214.09</t>
  </si>
  <si>
    <t>'41260827933025000102550090000011491000267271</t>
  </si>
  <si>
    <t>2026-08-11 13:59:42.000 -0300</t>
  </si>
  <si>
    <t>POSTO NATAL - MAXSUL</t>
  </si>
  <si>
    <t>269.16</t>
  </si>
  <si>
    <t>'42260820630766000167550040000593921808428894</t>
  </si>
  <si>
    <t>2026-08-11 13:53:38.000 -0300</t>
  </si>
  <si>
    <t>230.17</t>
  </si>
  <si>
    <t>'52260813759928000104550040000273261005194696</t>
  </si>
  <si>
    <t>2026-08-11 13:53:30.000 -0300</t>
  </si>
  <si>
    <t>176.12</t>
  </si>
  <si>
    <t>'41260879964177000168550020002574321015043171</t>
  </si>
  <si>
    <t>2026-08-11 13:52:56.000 -0300</t>
  </si>
  <si>
    <t>144.99</t>
  </si>
  <si>
    <t>'52260801272434001002550020000814271895102030</t>
  </si>
  <si>
    <t>2026-08-11 13:44:14.000 -0300</t>
  </si>
  <si>
    <t>265.72</t>
  </si>
  <si>
    <t>'41260827933025000102550090000011481000267266</t>
  </si>
  <si>
    <t>SEE9E85</t>
  </si>
  <si>
    <t>2026-08-11 13:43:04.000 -0300</t>
  </si>
  <si>
    <t>167.13</t>
  </si>
  <si>
    <t>'41260830429333000282550110000412481005182417</t>
  </si>
  <si>
    <t>2026-08-11 13:41:25.000 -0300</t>
  </si>
  <si>
    <t>345.14</t>
  </si>
  <si>
    <t>'52260833360405000190550020000383121008886813</t>
  </si>
  <si>
    <t>2026-08-11 13:40:18.000 -0300</t>
  </si>
  <si>
    <t>343.40</t>
  </si>
  <si>
    <t>'52260833360405000190550020000383131008886829</t>
  </si>
  <si>
    <t>2026-08-11 13:39:23.000 -0300</t>
  </si>
  <si>
    <t>231.60</t>
  </si>
  <si>
    <t>'41260802763612000161550020001631991078858250</t>
  </si>
  <si>
    <t>2026-08-11 13:33:31.000 -0300</t>
  </si>
  <si>
    <t>450.99</t>
  </si>
  <si>
    <t>'41260879964177000168550020002574291015043095</t>
  </si>
  <si>
    <t>2026-08-11 13:30:58.000 -0300</t>
  </si>
  <si>
    <t>186.39</t>
  </si>
  <si>
    <t>186.40</t>
  </si>
  <si>
    <t>'51260808512459000690550130000105491864811456</t>
  </si>
  <si>
    <t>2026-08-11 13:28:11.000 -0300</t>
  </si>
  <si>
    <t>115.35</t>
  </si>
  <si>
    <t>'51260808603562001103550080000018171304223646</t>
  </si>
  <si>
    <t>2026-08-11 13:21:40.000 -0300</t>
  </si>
  <si>
    <t>127.72</t>
  </si>
  <si>
    <t>'41260830429333000282550110000412441005181977</t>
  </si>
  <si>
    <t>2026-08-11 13:15:39.000 -0300</t>
  </si>
  <si>
    <t>POSTO NP LESTE| REDE MAXSUL</t>
  </si>
  <si>
    <t>230.36</t>
  </si>
  <si>
    <t>'42260865580965000146550060000007161477560520</t>
  </si>
  <si>
    <t>2026-08-11 13:17:46.000 -0300</t>
  </si>
  <si>
    <t>'50260802322969000104550020000162331003503369</t>
  </si>
  <si>
    <t>2026-08-11 13:14:43.000 -0300</t>
  </si>
  <si>
    <t>249.84</t>
  </si>
  <si>
    <t>'17260804219621000111550010000992781179451391</t>
  </si>
  <si>
    <t>2026-08-11 13:12:27.000 -0300</t>
  </si>
  <si>
    <t>209.75</t>
  </si>
  <si>
    <t>'42260820630766000167550050000591981310358288</t>
  </si>
  <si>
    <t>2026-08-11 13:09:44.000 -0300</t>
  </si>
  <si>
    <t>41.03</t>
  </si>
  <si>
    <t>'41260827933025000102550090000011461000267237</t>
  </si>
  <si>
    <t>2026-08-11 13:08:46.000 -0300</t>
  </si>
  <si>
    <t>126.76</t>
  </si>
  <si>
    <t>2026-08-11 13:02:08.000 -0300</t>
  </si>
  <si>
    <t>'41260879964177000168550020002574241015042866</t>
  </si>
  <si>
    <t>2026-08-11 12:57:24.000 -0300</t>
  </si>
  <si>
    <t>137.08</t>
  </si>
  <si>
    <t>'42260883392050000199550020001300931111557301</t>
  </si>
  <si>
    <t>2026-08-11 12:50:51.000 -0300</t>
  </si>
  <si>
    <t>416.12</t>
  </si>
  <si>
    <t>'41260803680814000102550080000094411245056450</t>
  </si>
  <si>
    <t>2026-08-11 12:43:45.000 -0300</t>
  </si>
  <si>
    <t>99.07</t>
  </si>
  <si>
    <t>2026-08-11 12:38:55.000 -0300</t>
  </si>
  <si>
    <t>BUFFON 30 - BANDEIRA BRANCA</t>
  </si>
  <si>
    <t>272.66</t>
  </si>
  <si>
    <t>'43260893489243003050550040000016671561601521</t>
  </si>
  <si>
    <t>2026-08-11 12:38:20.000 -0300</t>
  </si>
  <si>
    <t>176.21</t>
  </si>
  <si>
    <t>'41260830429333000282550110000412351005181285</t>
  </si>
  <si>
    <t>2026-08-11 12:37:22.000 -0300</t>
  </si>
  <si>
    <t>83.80</t>
  </si>
  <si>
    <t>'51260808603562000212550050000549211011645383</t>
  </si>
  <si>
    <t>2026-08-11 12:32:52.000 -0300</t>
  </si>
  <si>
    <t>271.04</t>
  </si>
  <si>
    <t>2026-08-11 12:32:11.000 -0300</t>
  </si>
  <si>
    <t>227.45</t>
  </si>
  <si>
    <t>2026-08-11 12:30:11.000 -0300</t>
  </si>
  <si>
    <t>161.19</t>
  </si>
  <si>
    <t>2026-08-11 12:22:19.000 -0300</t>
  </si>
  <si>
    <t>253.29</t>
  </si>
  <si>
    <t>'41260801975878000105550100000025401308530080</t>
  </si>
  <si>
    <t>2026-08-11 12:18:59.000 -0300</t>
  </si>
  <si>
    <t>580.46</t>
  </si>
  <si>
    <t>2026-08-11 12:18:33.000 -0300</t>
  </si>
  <si>
    <t>680.57</t>
  </si>
  <si>
    <t>2026-08-11 12:14:52.000 -0300</t>
  </si>
  <si>
    <t>403.31</t>
  </si>
  <si>
    <t>'50260806294288000130550010001783021024159638</t>
  </si>
  <si>
    <t>2026-08-11 12:14:37.000 -0300</t>
  </si>
  <si>
    <t>203.20</t>
  </si>
  <si>
    <t>'41260879130647000198550050000168511015903202</t>
  </si>
  <si>
    <t>2026-08-11 12:11:27.000 -0300</t>
  </si>
  <si>
    <t>248.02</t>
  </si>
  <si>
    <t>'41260803626094001330550010000506051137757428</t>
  </si>
  <si>
    <t>2026-08-11 12:06:58.000 -0300</t>
  </si>
  <si>
    <t>280.00</t>
  </si>
  <si>
    <t>'17260804219621000111550010000992771106878100</t>
  </si>
  <si>
    <t>2026-08-11 12:01:02.000 -0300</t>
  </si>
  <si>
    <t>270.29</t>
  </si>
  <si>
    <t>'52260858446194000133550540000533211070871045</t>
  </si>
  <si>
    <t>2026-08-11 11:50:23.000 -0300</t>
  </si>
  <si>
    <t>POSTO GALO - PRAIA DE FORA 0014-07 - REDE GALO</t>
  </si>
  <si>
    <t>426.05</t>
  </si>
  <si>
    <t>'42260881326258001407550010000282311003184466</t>
  </si>
  <si>
    <t>2026-08-11 11:46:53.000 -0300</t>
  </si>
  <si>
    <t>'41260803626094001330550010000506041917097810</t>
  </si>
  <si>
    <t>2026-08-11 11:42:57.000 -0300</t>
  </si>
  <si>
    <t>AUTO POSTO MANIA</t>
  </si>
  <si>
    <t>195.15</t>
  </si>
  <si>
    <t>'52260809427958000138550010000979371579939981</t>
  </si>
  <si>
    <t>2026-08-11 11:38:28.000 -0300</t>
  </si>
  <si>
    <t>241.03</t>
  </si>
  <si>
    <t>2026-08-11 11:24:44.000 -0300</t>
  </si>
  <si>
    <t>167.82</t>
  </si>
  <si>
    <t>2026-08-17 21:00:00.000 -0300</t>
  </si>
  <si>
    <t>'51260854494203000100550000000160461003183390</t>
  </si>
  <si>
    <t>2026-08-11 11:24:39.000 -0300</t>
  </si>
  <si>
    <t>112.22</t>
  </si>
  <si>
    <t>'51260808603562000212550050000549151011644878</t>
  </si>
  <si>
    <t>2026-08-11 11:23:36.000 -0300</t>
  </si>
  <si>
    <t>151.38</t>
  </si>
  <si>
    <t>'41260803626094001330550010000506031018133388</t>
  </si>
  <si>
    <t>2026-08-11 11:21:54.000 -0300</t>
  </si>
  <si>
    <t>276.59</t>
  </si>
  <si>
    <t>2026-08-11 11:21:45.000 -0300</t>
  </si>
  <si>
    <t>314.37</t>
  </si>
  <si>
    <t>314.36</t>
  </si>
  <si>
    <t>'50260830432373000100550030000247321003295243</t>
  </si>
  <si>
    <t>2026-08-11 11:13:13.000 -0300</t>
  </si>
  <si>
    <t>263.62</t>
  </si>
  <si>
    <t>'50260824601882000109550010000915341022951581</t>
  </si>
  <si>
    <t>2026-08-11 11:12:56.000 -0300</t>
  </si>
  <si>
    <t>518.25</t>
  </si>
  <si>
    <t>2026-08-11 11:08:37.000 -0300</t>
  </si>
  <si>
    <t>22.90</t>
  </si>
  <si>
    <t>'41260879130647000198550030000202161015902658</t>
  </si>
  <si>
    <t>2026-08-11 11:06:36.000 -0300</t>
  </si>
  <si>
    <t>'41260879130647000198550030000202151015902634</t>
  </si>
  <si>
    <t>2026-08-11 11:01:19.000 -0300</t>
  </si>
  <si>
    <t>289.85</t>
  </si>
  <si>
    <t>'41260801975878000105550100000025391417651286</t>
  </si>
  <si>
    <t>2026-08-11 11:00:44.000 -0300</t>
  </si>
  <si>
    <t>163.53</t>
  </si>
  <si>
    <t>TBQ1G09</t>
  </si>
  <si>
    <t>2026-08-11 10:55:14.000 -0300</t>
  </si>
  <si>
    <t>10.72</t>
  </si>
  <si>
    <t>260.38</t>
  </si>
  <si>
    <t>'35260806068493000188550010002641381001795307</t>
  </si>
  <si>
    <t>2026-08-11 10:54:21.000 -0300</t>
  </si>
  <si>
    <t>249.66</t>
  </si>
  <si>
    <t>2026-08-11 10:53:55.000 -0300</t>
  </si>
  <si>
    <t>436.32</t>
  </si>
  <si>
    <t>'41260801975878000105550100000025381760835847</t>
  </si>
  <si>
    <t>2026-08-11 10:52:48.000 -0300</t>
  </si>
  <si>
    <t>172.51</t>
  </si>
  <si>
    <t>2026-08-11 10:37:00.000 -0300</t>
  </si>
  <si>
    <t>145.08</t>
  </si>
  <si>
    <t>'51260810588554000105550040000340371555706528</t>
  </si>
  <si>
    <t>2026-08-11 10:34:43.000 -0300</t>
  </si>
  <si>
    <t>133.44</t>
  </si>
  <si>
    <t>'51260810588554000105550040000340381422183076</t>
  </si>
  <si>
    <t>285.73</t>
  </si>
  <si>
    <t>'11260804903852000140550150000196651001746560</t>
  </si>
  <si>
    <t>241.49</t>
  </si>
  <si>
    <t>'43260707473735019877550080000568801009094180</t>
  </si>
  <si>
    <t>2026-08-11 10:21:11.000 -0300</t>
  </si>
  <si>
    <t>375.83</t>
  </si>
  <si>
    <t>'41260837607755000169550110000106491003758624</t>
  </si>
  <si>
    <t>2026-08-11 10:18:26.000 -0300</t>
  </si>
  <si>
    <t>88.92</t>
  </si>
  <si>
    <t>'52260827098262000197550010000736071166630455</t>
  </si>
  <si>
    <t>2026-08-11 10:15:08.000 -0300</t>
  </si>
  <si>
    <t>389.68</t>
  </si>
  <si>
    <t>'41260879964177000591550020008207681011756843</t>
  </si>
  <si>
    <t>2026-08-11 10:08:25.000 -0300</t>
  </si>
  <si>
    <t>317.52</t>
  </si>
  <si>
    <t>'42260827643038000139550010000612251111308287</t>
  </si>
  <si>
    <t>2026-08-11 10:07:04.000 -0300</t>
  </si>
  <si>
    <t>'52260802310460000141550010000538491636306125</t>
  </si>
  <si>
    <t>2026-08-11 10:02:28.000 -0300</t>
  </si>
  <si>
    <t>281.56</t>
  </si>
  <si>
    <t>'42260882156977000248550010001686631373089986</t>
  </si>
  <si>
    <t>2026-08-11 09:19:14.000 -0300</t>
  </si>
  <si>
    <t>169.40</t>
  </si>
  <si>
    <t>'51260822611652000103550010001719281020395194</t>
  </si>
  <si>
    <t>2026-08-11 09:17:03.000 -0300</t>
  </si>
  <si>
    <t>233.85</t>
  </si>
  <si>
    <t>'52260802162964000161550020000678621114889560</t>
  </si>
  <si>
    <t>2026-08-11 09:15:34.000 -0300</t>
  </si>
  <si>
    <t>143.46</t>
  </si>
  <si>
    <t>'52260804283686000126550010000470121305707143</t>
  </si>
  <si>
    <t>2026-08-11 09:13:00.000 -0300</t>
  </si>
  <si>
    <t>109.00</t>
  </si>
  <si>
    <t>'51260854494203000100550000000160391003183328</t>
  </si>
  <si>
    <t>2026-08-11 09:09:01.000 -0300</t>
  </si>
  <si>
    <t>145.24</t>
  </si>
  <si>
    <t>'51260808603562000212550050000549081011644504</t>
  </si>
  <si>
    <t>2026-08-11 09:04:55.000 -0300</t>
  </si>
  <si>
    <t>513.36</t>
  </si>
  <si>
    <t>'41260801975878000105550100000025371125189561</t>
  </si>
  <si>
    <t>2026-08-11 08:56:22.000 -0300</t>
  </si>
  <si>
    <t>500.87</t>
  </si>
  <si>
    <t>'35260845585890000189550010000193921000349408</t>
  </si>
  <si>
    <t>2026-08-11 08:55:45.000 -0300</t>
  </si>
  <si>
    <t>109.65</t>
  </si>
  <si>
    <t>'51260808512459000186550110000308181828311466</t>
  </si>
  <si>
    <t>2026-08-11 08:52:20.000 -0300</t>
  </si>
  <si>
    <t>822.03</t>
  </si>
  <si>
    <t>'41260879964177000591550020008207561011756508</t>
  </si>
  <si>
    <t>2026-08-11 08:49:39.000 -0300</t>
  </si>
  <si>
    <t>325.28</t>
  </si>
  <si>
    <t>2026-08-11 08:44:03.000 -0300</t>
  </si>
  <si>
    <t>228.00</t>
  </si>
  <si>
    <t>'35260829127799000163550010001174471000638245</t>
  </si>
  <si>
    <t>2026-08-11 08:35:01.000 -0300</t>
  </si>
  <si>
    <t>1472.34</t>
  </si>
  <si>
    <t>'41260833286065000102550100000044301014214600</t>
  </si>
  <si>
    <t>2026-08-11 08:33:17.000 -0300</t>
  </si>
  <si>
    <t>56.65</t>
  </si>
  <si>
    <t>'41260833286065000102550100000044291014214570</t>
  </si>
  <si>
    <t>2026-08-11 08:26:08.000 -0300</t>
  </si>
  <si>
    <t>584.07</t>
  </si>
  <si>
    <t>'41260833286065000102550100000044281014214521</t>
  </si>
  <si>
    <t>2026-08-11 08:22:08.000 -0300</t>
  </si>
  <si>
    <t>138.29</t>
  </si>
  <si>
    <t>'51260808603562002002550050000560901001465070</t>
  </si>
  <si>
    <t>2026-08-11 08:21:32.000 -0300</t>
  </si>
  <si>
    <t>JP SANTA LUCIA - REDE JP - 0001-46</t>
  </si>
  <si>
    <t>906.81</t>
  </si>
  <si>
    <t>2026-08-11 08:11:10.000 -0300</t>
  </si>
  <si>
    <t>131.57</t>
  </si>
  <si>
    <t>'52260847377960000139550010001133611584177670</t>
  </si>
  <si>
    <t>2026-08-11 08:06:54.000 -0300</t>
  </si>
  <si>
    <t>190.77</t>
  </si>
  <si>
    <t>'52260837489429000102550010000044221214787933</t>
  </si>
  <si>
    <t>2026-08-11 07:50:04.000 -0300</t>
  </si>
  <si>
    <t>SIM REDE - TRIUNFO 0067-08 - METROPOLITANA / SERRA</t>
  </si>
  <si>
    <t>247.59</t>
  </si>
  <si>
    <t>2026-08-11 07:46:39.000 -0300</t>
  </si>
  <si>
    <t>271.97</t>
  </si>
  <si>
    <t>'53260807822636000168550020000042431017920745</t>
  </si>
  <si>
    <t>2026-08-11 07:42:00.000 -0300</t>
  </si>
  <si>
    <t>77.95</t>
  </si>
  <si>
    <t>'42260804308884000520550020000355571002931829</t>
  </si>
  <si>
    <t>2026-08-11 07:38:45.000 -0300</t>
  </si>
  <si>
    <t>19.95</t>
  </si>
  <si>
    <t>'42260823448964001921550070001795371673220419</t>
  </si>
  <si>
    <t>2026-08-11 07:37:07.000 -0300</t>
  </si>
  <si>
    <t>54.43</t>
  </si>
  <si>
    <t>'42260827643038000139550010000612141111037131</t>
  </si>
  <si>
    <t>2026-08-11 07:36:53.000 -0300</t>
  </si>
  <si>
    <t>495.77</t>
  </si>
  <si>
    <t>'42260823448964001921550070001795361086569956</t>
  </si>
  <si>
    <t>2026-08-11 07:36:43.000 -0300</t>
  </si>
  <si>
    <t>48.30</t>
  </si>
  <si>
    <t>'42260882156977000248550010001686461859369452</t>
  </si>
  <si>
    <t>2026-08-11 07:36:08.000 -0300</t>
  </si>
  <si>
    <t>723.09</t>
  </si>
  <si>
    <t>'42260827643038000139550010000612131111036154</t>
  </si>
  <si>
    <t>2026-08-11 07:35:51.000 -0300</t>
  </si>
  <si>
    <t>1346.97</t>
  </si>
  <si>
    <t>'42260804308884000520550020000355531002931331</t>
  </si>
  <si>
    <t>2026-08-11 07:35:26.000 -0300</t>
  </si>
  <si>
    <t>1229.68</t>
  </si>
  <si>
    <t>'42260882156977000248550010001686451500963070</t>
  </si>
  <si>
    <t>2026-08-11 07:28:57.000 -0300</t>
  </si>
  <si>
    <t>613.00</t>
  </si>
  <si>
    <t>'41260879964177000591550020008207381011756160</t>
  </si>
  <si>
    <t>2026-08-11 07:25:44.000 -0300</t>
  </si>
  <si>
    <t>760.40</t>
  </si>
  <si>
    <t>2026-08-11 07:24:44.000 -0300</t>
  </si>
  <si>
    <t>429.17</t>
  </si>
  <si>
    <t>'50260830432373000100550030000246841003294086</t>
  </si>
  <si>
    <t>2026-08-11 07:24:00.000 -0300</t>
  </si>
  <si>
    <t>347.76</t>
  </si>
  <si>
    <t>'35260850206655000199550010000155461000328303</t>
  </si>
  <si>
    <t>2026-08-11 07:08:19.000 -0300</t>
  </si>
  <si>
    <t>'41260830429333000282550110000415001005207633</t>
  </si>
  <si>
    <t>2026-08-11 07:02:14.000 -0300</t>
  </si>
  <si>
    <t>831.47</t>
  </si>
  <si>
    <t>'41260827933025000102550090000011431000267200</t>
  </si>
  <si>
    <t>2026-08-11 07:01:09.000 -0300</t>
  </si>
  <si>
    <t>1795.29</t>
  </si>
  <si>
    <t>'41260879964177000591550020008207321011756000</t>
  </si>
  <si>
    <t>2026-08-11 06:55:48.000 -0300</t>
  </si>
  <si>
    <t>283.97</t>
  </si>
  <si>
    <t>'29260826814629000169550030000114271010045688</t>
  </si>
  <si>
    <t>2026-08-11 06:54:56.000 -0300</t>
  </si>
  <si>
    <t>241.52</t>
  </si>
  <si>
    <t>'52260837489429000102550010000044211214772793</t>
  </si>
  <si>
    <t>2026-08-11 06:48:18.000 -0300</t>
  </si>
  <si>
    <t>687.10</t>
  </si>
  <si>
    <t>'51260808603562000212550050000548871011643468</t>
  </si>
  <si>
    <t>2026-08-11 06:44:25.000 -0300</t>
  </si>
  <si>
    <t>106.52</t>
  </si>
  <si>
    <t>'51260808603562001294550050000393391011960915</t>
  </si>
  <si>
    <t>2026-08-11 06:38:02.000 -0300</t>
  </si>
  <si>
    <t>'51260805218335000102550010002981571791382907</t>
  </si>
  <si>
    <t>BEX8E21</t>
  </si>
  <si>
    <t>2026-08-11 06:36:23.000 -0300</t>
  </si>
  <si>
    <t>453.28</t>
  </si>
  <si>
    <t>2026-08-11 06:36:00.000 -0300</t>
  </si>
  <si>
    <t>2353.92</t>
  </si>
  <si>
    <t>'41260879964177000591550020008207281011755914</t>
  </si>
  <si>
    <t>137.01</t>
  </si>
  <si>
    <t>'43260707473735009308550080000241321017631120</t>
  </si>
  <si>
    <t>223.45</t>
  </si>
  <si>
    <t>'52260713759928000104550040000270161005144633</t>
  </si>
  <si>
    <t>2026-08-11 06:25:46.000 -0300</t>
  </si>
  <si>
    <t>469.56</t>
  </si>
  <si>
    <t>'42260827643038000139550010000612041110925541</t>
  </si>
  <si>
    <t>2026-08-11 06:23:56.000 -0300</t>
  </si>
  <si>
    <t>620.04</t>
  </si>
  <si>
    <t>'35260850206655000199550010000155451000328292</t>
  </si>
  <si>
    <t>2026-08-11 06:18:50.000 -0300</t>
  </si>
  <si>
    <t>'42260845986480000492550010000117761001658185</t>
  </si>
  <si>
    <t>2026-08-11 06:13:27.000 -0300</t>
  </si>
  <si>
    <t>242.69</t>
  </si>
  <si>
    <t>BCQ7B53</t>
  </si>
  <si>
    <t>2026-08-11 06:13:07.000 -0300</t>
  </si>
  <si>
    <t>294.92</t>
  </si>
  <si>
    <t>294.91</t>
  </si>
  <si>
    <t>'41260801975878000105550100000025361972442135</t>
  </si>
  <si>
    <t>229.33</t>
  </si>
  <si>
    <t>'52260813759928000104550040000271071005159789</t>
  </si>
  <si>
    <t>2026-08-11 06:08:20.000 -0300</t>
  </si>
  <si>
    <t>373.37</t>
  </si>
  <si>
    <t>'51260808603562000212550050000548821011643275</t>
  </si>
  <si>
    <t>2026-08-11 06:06:49.000 -0300</t>
  </si>
  <si>
    <t>153.59</t>
  </si>
  <si>
    <t>'42260881326258000770550010001013461003948026</t>
  </si>
  <si>
    <t>2026-08-11 06:05:52.000 -0300</t>
  </si>
  <si>
    <t>175.24</t>
  </si>
  <si>
    <t>'41260801975878000105550100000025351849726549</t>
  </si>
  <si>
    <t>2026-08-11 05:58:26.000 -0300</t>
  </si>
  <si>
    <t>112.51</t>
  </si>
  <si>
    <t>2026-08-11 05:52:26.000 -0300</t>
  </si>
  <si>
    <t>376.85</t>
  </si>
  <si>
    <t>'51260809380191000139550120000446381587050676</t>
  </si>
  <si>
    <t>2026-08-11 05:52:20.000 -0300</t>
  </si>
  <si>
    <t>288.74</t>
  </si>
  <si>
    <t>'41260801975878000105550100000025341888321735</t>
  </si>
  <si>
    <t>2026-08-11 05:48:56.000 -0300</t>
  </si>
  <si>
    <t>473.80</t>
  </si>
  <si>
    <t>'41260801975878000105550100000025331192735972</t>
  </si>
  <si>
    <t>2026-08-11 05:46:50.000 -0300</t>
  </si>
  <si>
    <t>192.43</t>
  </si>
  <si>
    <t>'52260800148072000180550020001212461974246328</t>
  </si>
  <si>
    <t>2026-08-11 05:46:07.000 -0300</t>
  </si>
  <si>
    <t>2029.09</t>
  </si>
  <si>
    <t>'41260879964177000591550020008207181011755748</t>
  </si>
  <si>
    <t>2026-08-11 05:44:10.000 -0300</t>
  </si>
  <si>
    <t>170.13</t>
  </si>
  <si>
    <t>'42260883392050000199550020001299971110844124</t>
  </si>
  <si>
    <t>SEP6E15</t>
  </si>
  <si>
    <t>2026-08-11 05:38:49.000 -0300</t>
  </si>
  <si>
    <t>150.84</t>
  </si>
  <si>
    <t>'42260881326258000770550010001013431003947800</t>
  </si>
  <si>
    <t>2026-08-11 05:35:41.000 -0300</t>
  </si>
  <si>
    <t>448.28</t>
  </si>
  <si>
    <t>'42260820630766000167550040000593451234547292</t>
  </si>
  <si>
    <t>2026-08-11 05:29:04.000 -0300</t>
  </si>
  <si>
    <t>242.63</t>
  </si>
  <si>
    <t>'53260807822636000168550020000042401017919419</t>
  </si>
  <si>
    <t>2026-08-11 05:25:41.000 -0300</t>
  </si>
  <si>
    <t>209.25</t>
  </si>
  <si>
    <t>'52260801272434001002550020000813911352296424</t>
  </si>
  <si>
    <t>2026-08-11 05:20:15.000 -0300</t>
  </si>
  <si>
    <t>219.64</t>
  </si>
  <si>
    <t>'52260801272434001002550020000813901707047909</t>
  </si>
  <si>
    <t>2026-08-11 05:20:05.000 -0300</t>
  </si>
  <si>
    <t>626.40</t>
  </si>
  <si>
    <t>'51260822611652000286550010003237551020386900</t>
  </si>
  <si>
    <t>2026-08-11 05:19:28.000 -0300</t>
  </si>
  <si>
    <t>460.30</t>
  </si>
  <si>
    <t>'35260825449917000107550010000874651004094640</t>
  </si>
  <si>
    <t>2026-08-11 05:19:05.000 -0300</t>
  </si>
  <si>
    <t>283.22</t>
  </si>
  <si>
    <t>2026-08-11 05:18:43.000 -0300</t>
  </si>
  <si>
    <t>246.06</t>
  </si>
  <si>
    <t>'52260847377960000139550010001133791584356560</t>
  </si>
  <si>
    <t>2026-08-11 05:18:05.000 -0300</t>
  </si>
  <si>
    <t>331.79</t>
  </si>
  <si>
    <t>'41260833286065000102550100000044141014213104</t>
  </si>
  <si>
    <t>TAP2C38</t>
  </si>
  <si>
    <t>2026-08-11 05:07:33.000 -0300</t>
  </si>
  <si>
    <t>9.02</t>
  </si>
  <si>
    <t>'42260865580965000146550060000007081442224920</t>
  </si>
  <si>
    <t>2026-08-11 05:05:37.000 -0300</t>
  </si>
  <si>
    <t>321.97</t>
  </si>
  <si>
    <t>321.96</t>
  </si>
  <si>
    <t>'50260830432373000100550030000246521003293230</t>
  </si>
  <si>
    <t>2026-08-11 05:05:17.000 -0300</t>
  </si>
  <si>
    <t>729.73</t>
  </si>
  <si>
    <t>'35260850206655000199550010000155441000328287</t>
  </si>
  <si>
    <t>2026-08-11 05:05:16.000 -0300</t>
  </si>
  <si>
    <t>224.12</t>
  </si>
  <si>
    <t>224.11</t>
  </si>
  <si>
    <t>'53260807822636000168550020000042391017919213</t>
  </si>
  <si>
    <t>2026-08-11 05:03:14.000 -0300</t>
  </si>
  <si>
    <t>199.75</t>
  </si>
  <si>
    <t>'42260865580965000146550060000007071361076657</t>
  </si>
  <si>
    <t>2026-08-11 04:54:48.000 -0300</t>
  </si>
  <si>
    <t>2697.20</t>
  </si>
  <si>
    <t>'41260879964177000591550020008207051011755561</t>
  </si>
  <si>
    <t>2026-08-11 04:51:15.000 -0300</t>
  </si>
  <si>
    <t>270.65</t>
  </si>
  <si>
    <t>270.64</t>
  </si>
  <si>
    <t>'53260807822636000168550020000042381017919135</t>
  </si>
  <si>
    <t>2026-08-11 04:45:26.000 -0300</t>
  </si>
  <si>
    <t>231.13</t>
  </si>
  <si>
    <t>'50260802322969000104550020000161791003494975</t>
  </si>
  <si>
    <t>2026-08-11 04:44:08.000 -0300</t>
  </si>
  <si>
    <t>201.17</t>
  </si>
  <si>
    <t>2026-08-11 04:40:21.000 -0300</t>
  </si>
  <si>
    <t>SIM REDE - CAXIAS PERIMETRAL SUL II 0011-53 - METROPOLITANA / SERRA</t>
  </si>
  <si>
    <t>173.13</t>
  </si>
  <si>
    <t>2026-08-11 04:40:12.000 -0300</t>
  </si>
  <si>
    <t>166.14</t>
  </si>
  <si>
    <t>'42260814631967000186550020000477511110740164</t>
  </si>
  <si>
    <t>2026-08-11 04:35:31.000 -0300</t>
  </si>
  <si>
    <t>408.96</t>
  </si>
  <si>
    <t>'42260881326258000770550010001013371003947276</t>
  </si>
  <si>
    <t>2026-08-11 04:35:19.000 -0300</t>
  </si>
  <si>
    <t>196.35</t>
  </si>
  <si>
    <t>2026-08-11 04:32:46.000 -0300</t>
  </si>
  <si>
    <t>658.56</t>
  </si>
  <si>
    <t>'52260801272434001002550020000813801289617024</t>
  </si>
  <si>
    <t>2026-08-11 04:28:04.000 -0300</t>
  </si>
  <si>
    <t>247.05</t>
  </si>
  <si>
    <t>'42260823448964001921550070001794851071691741</t>
  </si>
  <si>
    <t>2026-08-11 04:24:57.000 -0300</t>
  </si>
  <si>
    <t>402.00</t>
  </si>
  <si>
    <t>'51260809380191000139550120000446301586972512</t>
  </si>
  <si>
    <t>2026-08-11 04:16:18.000 -0300</t>
  </si>
  <si>
    <t>116.01</t>
  </si>
  <si>
    <t>'42260823448964001921550070001794791049009502</t>
  </si>
  <si>
    <t>2026-08-11 04:14:26.000 -0300</t>
  </si>
  <si>
    <t>346.49</t>
  </si>
  <si>
    <t>'50260826416003000102550020000488121212968132</t>
  </si>
  <si>
    <t>2026-08-11 04:10:45.000 -0300</t>
  </si>
  <si>
    <t>294.46</t>
  </si>
  <si>
    <t>2026-08-11 03:52:56.000 -0300</t>
  </si>
  <si>
    <t>186.60</t>
  </si>
  <si>
    <t>'51260814948822000103550020001549471110653441</t>
  </si>
  <si>
    <t>2026-08-11 03:49:01.000 -0300</t>
  </si>
  <si>
    <t>135.65</t>
  </si>
  <si>
    <t>2026-08-11 03:43:39.000 -0300</t>
  </si>
  <si>
    <t>179.65</t>
  </si>
  <si>
    <t>'41260801975878000105550100000025321104715802</t>
  </si>
  <si>
    <t>2026-08-11 03:32:49.000 -0300</t>
  </si>
  <si>
    <t>1471.20</t>
  </si>
  <si>
    <t>'41260879964177000591550020008206921011755340</t>
  </si>
  <si>
    <t>2026-08-11 03:18:08.000 -0300</t>
  </si>
  <si>
    <t>424.99</t>
  </si>
  <si>
    <t>'41260876493295000147550020000290101002775242</t>
  </si>
  <si>
    <t>2026-08-11 03:17:30.000 -0300</t>
  </si>
  <si>
    <t>210.61</t>
  </si>
  <si>
    <t>210.60</t>
  </si>
  <si>
    <t>'53260807822636000168550020000042351017918439</t>
  </si>
  <si>
    <t>2026-08-11 03:07:46.000 -0300</t>
  </si>
  <si>
    <t>248.74</t>
  </si>
  <si>
    <t>2026-08-11 02:21:32.000 -0300</t>
  </si>
  <si>
    <t>217.86</t>
  </si>
  <si>
    <t>'35260805065447000162550060003740381006192151</t>
  </si>
  <si>
    <t>2026-08-11 00:59:59.000 -0300</t>
  </si>
  <si>
    <t>305.44</t>
  </si>
  <si>
    <t>'31260824187119000183550540003118311314898298</t>
  </si>
  <si>
    <t>2026-08-11 00:27:49.000 -0300</t>
  </si>
  <si>
    <t>REDE MONTE CARLO - AUTO POSTO GUARAPUAVAO</t>
  </si>
  <si>
    <t>960.30</t>
  </si>
  <si>
    <t>'41260830858891000182550080000029671524211135</t>
  </si>
  <si>
    <t>2026-08-10 23:47:29.000 -0300</t>
  </si>
  <si>
    <t>667.50</t>
  </si>
  <si>
    <t>'35260846472822000176550010000232231003140874</t>
  </si>
  <si>
    <t>2026-08-10 23:14:11.000 -0300</t>
  </si>
  <si>
    <t>43.96</t>
  </si>
  <si>
    <t>'35260805911517000156550030000371861374032726</t>
  </si>
  <si>
    <t>2026-08-10 23:13:45.000 -0300</t>
  </si>
  <si>
    <t>266.86</t>
  </si>
  <si>
    <t>'35260827751075017640550040000012871000744586</t>
  </si>
  <si>
    <t>2026-08-10 21:54:34.000 -0300</t>
  </si>
  <si>
    <t>MENEGATTI CADEADO | REDE JUNINHO</t>
  </si>
  <si>
    <t>1369.61</t>
  </si>
  <si>
    <t>'41260830166354000171550020001440981019620379</t>
  </si>
  <si>
    <t>2026-08-10 21:24:50.000 -0300</t>
  </si>
  <si>
    <t>270.79</t>
  </si>
  <si>
    <t>'17260802772168000140550020000237091849258465</t>
  </si>
  <si>
    <t>2026-08-10 20:51:23.000 -0300</t>
  </si>
  <si>
    <t>93.53</t>
  </si>
  <si>
    <t>'43260828583917000347551070000062521240238075</t>
  </si>
  <si>
    <t>2026-08-10 20:49:55.000 -0300</t>
  </si>
  <si>
    <t>1799.16</t>
  </si>
  <si>
    <t>'43260828583917000347551070000062511896749753</t>
  </si>
  <si>
    <t>BDE1E73</t>
  </si>
  <si>
    <t>2026-08-10 20:33:42.000 -0300</t>
  </si>
  <si>
    <t>632.37</t>
  </si>
  <si>
    <t>'43260807473735017661550080000890321019111941</t>
  </si>
  <si>
    <t>2026-08-10 20:33:17.000 -0300</t>
  </si>
  <si>
    <t>301.05</t>
  </si>
  <si>
    <t>'52260833360405000190550020000383111008884635</t>
  </si>
  <si>
    <t>2026-08-10 20:22:57.000 -0300</t>
  </si>
  <si>
    <t>347.08</t>
  </si>
  <si>
    <t>'35260827751075017640550040000012831000744285</t>
  </si>
  <si>
    <t>2026-08-10 20:03:10.000 -0300</t>
  </si>
  <si>
    <t>247.53</t>
  </si>
  <si>
    <t>'52260833360405000190550020000383101008884506</t>
  </si>
  <si>
    <t>2026-08-10 19:36:54.000 -0300</t>
  </si>
  <si>
    <t>154.63</t>
  </si>
  <si>
    <t>'35260855973291000196550030010522701018426435</t>
  </si>
  <si>
    <t>2026-08-10 19:28:26.000 -0300</t>
  </si>
  <si>
    <t>846.77</t>
  </si>
  <si>
    <t>'41260802763612000161550020001631381362652436</t>
  </si>
  <si>
    <t>2026-08-10 19:16:13.000 -0300</t>
  </si>
  <si>
    <t>272.68</t>
  </si>
  <si>
    <t>'35260842733072000198550080000053171524185612</t>
  </si>
  <si>
    <t>2026-08-10 18:53:28.000 -0300</t>
  </si>
  <si>
    <t>2485.80</t>
  </si>
  <si>
    <t>'42260815636643000101550040001380711102153341</t>
  </si>
  <si>
    <t>2026-08-10 18:02:10.000 -0300</t>
  </si>
  <si>
    <t>225.46</t>
  </si>
  <si>
    <t>'35260805065447000162550060003740851006194030</t>
  </si>
  <si>
    <t>2026-08-10 18:01:29.000 -0300</t>
  </si>
  <si>
    <t>645.12</t>
  </si>
  <si>
    <t>'43260893489243007471550080000044351522201051</t>
  </si>
  <si>
    <t>2026-08-10 17:46:21.000 -0300</t>
  </si>
  <si>
    <t>217.46</t>
  </si>
  <si>
    <t>'42260883392050000199550020001298991102046248</t>
  </si>
  <si>
    <t>2026-08-10 16:44:59.000 -0300</t>
  </si>
  <si>
    <t>248.68</t>
  </si>
  <si>
    <t>'41260827933025000102550090000011421000267190</t>
  </si>
  <si>
    <t>2026-08-10 16:40:48.000 -0300</t>
  </si>
  <si>
    <t>667.47</t>
  </si>
  <si>
    <t>'42260878253424000155550010000382701000759618</t>
  </si>
  <si>
    <t>2026-08-10 16:36:20.000 -0300</t>
  </si>
  <si>
    <t>297.92</t>
  </si>
  <si>
    <t>'35260846472822000176550010000232221003140842</t>
  </si>
  <si>
    <t>2026-08-10 16:33:10.000 -0300</t>
  </si>
  <si>
    <t>239.77</t>
  </si>
  <si>
    <t>'42260882156977000248550010001686131666424221</t>
  </si>
  <si>
    <t>2026-08-10 16:27:45.000 -0300</t>
  </si>
  <si>
    <t>'42260814631967000186550020000477241101927500</t>
  </si>
  <si>
    <t>2026-08-10 16:21:05.000 -0300</t>
  </si>
  <si>
    <t>397.95</t>
  </si>
  <si>
    <t>'50260801550726000160550030000166941110757537</t>
  </si>
  <si>
    <t>2026-08-10 16:10:49.000 -0300</t>
  </si>
  <si>
    <t>213.71</t>
  </si>
  <si>
    <t>'43260807473735019877550080000579111009175454</t>
  </si>
  <si>
    <t>2026-08-10 16:08:23.000 -0300</t>
  </si>
  <si>
    <t>238.40</t>
  </si>
  <si>
    <t>'41260802763612000161550020001631261666069977</t>
  </si>
  <si>
    <t>2026-08-10 15:58:22.000 -0300</t>
  </si>
  <si>
    <t>176.54</t>
  </si>
  <si>
    <t>'51260808603562000212550050000548621011641458</t>
  </si>
  <si>
    <t>2026-08-10 15:58:10.000 -0300</t>
  </si>
  <si>
    <t>167.94</t>
  </si>
  <si>
    <t>'52260801272434001002550020000813741472349397</t>
  </si>
  <si>
    <t>2026-08-10 15:53:28.000 -0300</t>
  </si>
  <si>
    <t>260.04</t>
  </si>
  <si>
    <t>2026-08-10 15:52:31.000 -0300</t>
  </si>
  <si>
    <t>322.22</t>
  </si>
  <si>
    <t>'52260801272434001002550020000813731186936661</t>
  </si>
  <si>
    <t>2026-08-10 15:52:10.000 -0300</t>
  </si>
  <si>
    <t>265.64</t>
  </si>
  <si>
    <t>'41260827933025000102550090000011411000267184</t>
  </si>
  <si>
    <t>2026-08-10 15:51:41.000 -0300</t>
  </si>
  <si>
    <t>311.63</t>
  </si>
  <si>
    <t>'35260850206655000199550010000155321000328146</t>
  </si>
  <si>
    <t>2026-08-10 15:32:45.000 -0300</t>
  </si>
  <si>
    <t>294.23</t>
  </si>
  <si>
    <t>'52260801272434001002550020000813701180992029</t>
  </si>
  <si>
    <t>2026-08-10 15:26:30.000 -0300</t>
  </si>
  <si>
    <t>63.76</t>
  </si>
  <si>
    <t>'41260802763612000161550020001631221948456456</t>
  </si>
  <si>
    <t>2026-08-10 15:25:39.000 -0300</t>
  </si>
  <si>
    <t>534.19</t>
  </si>
  <si>
    <t>'41260802763612000161550020001631211308985530</t>
  </si>
  <si>
    <t>2026-08-10 15:18:16.000 -0300</t>
  </si>
  <si>
    <t>299.78</t>
  </si>
  <si>
    <t>2026-08-10 15:17:12.000 -0300</t>
  </si>
  <si>
    <t>337.61</t>
  </si>
  <si>
    <t>'42260882156977000248550010001686011761681359</t>
  </si>
  <si>
    <t>2026-08-10 15:15:57.000 -0300</t>
  </si>
  <si>
    <t>100.91</t>
  </si>
  <si>
    <t>'51260808603562000212550050000548661011641562</t>
  </si>
  <si>
    <t>2026-08-10 15:15:45.000 -0300</t>
  </si>
  <si>
    <t>356.54</t>
  </si>
  <si>
    <t>'41260801975878000105550100000025311974707369</t>
  </si>
  <si>
    <t>2026-08-10 15:14:51.000 -0300</t>
  </si>
  <si>
    <t>189.41</t>
  </si>
  <si>
    <t>'41260802763612000161550020001631191420966919</t>
  </si>
  <si>
    <t>2026-08-10 15:10:55.000 -0300</t>
  </si>
  <si>
    <t>276.01</t>
  </si>
  <si>
    <t>2026-08-10 15:06:42.000 -0300</t>
  </si>
  <si>
    <t>233.28</t>
  </si>
  <si>
    <t>'52260801272434001002550020000813681040272041</t>
  </si>
  <si>
    <t>2026-08-10 15:05:03.000 -0300</t>
  </si>
  <si>
    <t>629.73</t>
  </si>
  <si>
    <t>2026-08-10 15:03:50.000 -0300</t>
  </si>
  <si>
    <t>249.35</t>
  </si>
  <si>
    <t>'41260802763612000161550020001631161852179160</t>
  </si>
  <si>
    <t>2026-08-10 14:52:34.000 -0300</t>
  </si>
  <si>
    <t>272.25</t>
  </si>
  <si>
    <t>'42260823448964001921550070001794261860904920</t>
  </si>
  <si>
    <t>2026-08-10 14:52:12.000 -0300</t>
  </si>
  <si>
    <t>SIM REDE - ESTEIO EXPOINTER 0079-41 - METROPOLITANA / SERRA</t>
  </si>
  <si>
    <t>13.87</t>
  </si>
  <si>
    <t>2026-08-10 14:50:26.000 -0300</t>
  </si>
  <si>
    <t>651.39</t>
  </si>
  <si>
    <t>2026-08-10 14:45:37.000 -0300</t>
  </si>
  <si>
    <t>246.57</t>
  </si>
  <si>
    <t>'52260801272434001002550020000813651194080337</t>
  </si>
  <si>
    <t>2026-08-10 14:43:22.000 -0300</t>
  </si>
  <si>
    <t>'17260838132296000177550020000062281101744557</t>
  </si>
  <si>
    <t>2026-08-10 14:42:08.000 -0300</t>
  </si>
  <si>
    <t>194.37</t>
  </si>
  <si>
    <t>'41260830429333000282550110000410991005167220</t>
  </si>
  <si>
    <t>2026-08-10 14:30:31.000 -0300</t>
  </si>
  <si>
    <t>311.22</t>
  </si>
  <si>
    <t>'17260804219621000111550010000992211745647461</t>
  </si>
  <si>
    <t>2026-08-10 14:29:19.000 -0300</t>
  </si>
  <si>
    <t>325.53</t>
  </si>
  <si>
    <t>'42260882156977000248550010001685931690485001</t>
  </si>
  <si>
    <t>2026-08-10 14:25:56.000 -0300</t>
  </si>
  <si>
    <t>249.71</t>
  </si>
  <si>
    <t>2026-08-10 14:19:44.000 -0300</t>
  </si>
  <si>
    <t>'41260802763612000161550020001631141965684729</t>
  </si>
  <si>
    <t>2026-08-10 14:19:04.000 -0300</t>
  </si>
  <si>
    <t>209.66</t>
  </si>
  <si>
    <t>'52260801272434001002550020000813631932234942</t>
  </si>
  <si>
    <t>2026-08-10 14:17:40.000 -0300</t>
  </si>
  <si>
    <t>184.31</t>
  </si>
  <si>
    <t>'41260830429333000282550110000410951005166941</t>
  </si>
  <si>
    <t>2026-08-10 14:16:59.000 -0300</t>
  </si>
  <si>
    <t>46.06</t>
  </si>
  <si>
    <t>'42260882156977000248550010001685921114558110</t>
  </si>
  <si>
    <t>2026-08-10 14:15:50.000 -0300</t>
  </si>
  <si>
    <t>275.69</t>
  </si>
  <si>
    <t>'42260882156977000248550010001685911426916872</t>
  </si>
  <si>
    <t>2026-08-10 14:15:43.000 -0300</t>
  </si>
  <si>
    <t>83.42</t>
  </si>
  <si>
    <t>2026-08-10 14:15:38.000 -0300</t>
  </si>
  <si>
    <t>324.42</t>
  </si>
  <si>
    <t>'51260808603562000212550050000548581011641048</t>
  </si>
  <si>
    <t>2026-08-10 14:14:37.000 -0300</t>
  </si>
  <si>
    <t>258.21</t>
  </si>
  <si>
    <t>'51260804505289000151550130000116751010056690</t>
  </si>
  <si>
    <t>2026-08-10 14:13:56.000 -0300</t>
  </si>
  <si>
    <t>1587.81</t>
  </si>
  <si>
    <t>2026-08-10 14:10:30.000 -0300</t>
  </si>
  <si>
    <t>238.74</t>
  </si>
  <si>
    <t>'42260820630766000167550040000593261115120800</t>
  </si>
  <si>
    <t>2026-08-10 13:47:42.000 -0300</t>
  </si>
  <si>
    <t>17.95</t>
  </si>
  <si>
    <t>'42260883392050000199550020001298551101647456</t>
  </si>
  <si>
    <t>2026-08-10 13:46:58.000 -0300</t>
  </si>
  <si>
    <t>1368.97</t>
  </si>
  <si>
    <t>'42260883392050000199550020001298541101647025</t>
  </si>
  <si>
    <t>2026-08-10 13:45:24.000 -0300</t>
  </si>
  <si>
    <t>858.69</t>
  </si>
  <si>
    <t>'41260833286065000102550100000043881014209512</t>
  </si>
  <si>
    <t>2026-08-10 13:40:26.000 -0300</t>
  </si>
  <si>
    <t>249.98</t>
  </si>
  <si>
    <t>'52260802031363000110550020001380241101642241</t>
  </si>
  <si>
    <t>2026-08-10 13:33:45.000 -0300</t>
  </si>
  <si>
    <t>225.12</t>
  </si>
  <si>
    <t>'52260833360405000190550020000383091008883185</t>
  </si>
  <si>
    <t>2026-08-10 13:28:44.000 -0300</t>
  </si>
  <si>
    <t>261.04</t>
  </si>
  <si>
    <t>'41260833286065000102550100000043861014209410</t>
  </si>
  <si>
    <t>SFJ2H36</t>
  </si>
  <si>
    <t>2026-08-10 13:28:21.000 -0300</t>
  </si>
  <si>
    <t>262.24</t>
  </si>
  <si>
    <t>'52260801272434001002550020000813591390758521</t>
  </si>
  <si>
    <t>2026-08-10 13:26:34.000 -0300</t>
  </si>
  <si>
    <t>195.07</t>
  </si>
  <si>
    <t>'41260830429333000282550110000414961005207299</t>
  </si>
  <si>
    <t>2026-08-10 13:25:46.000 -0300</t>
  </si>
  <si>
    <t>593.59</t>
  </si>
  <si>
    <t>'42260804308884000520550020000355211002925435</t>
  </si>
  <si>
    <t>2026-08-10 13:23:15.000 -0300</t>
  </si>
  <si>
    <t>227.59</t>
  </si>
  <si>
    <t>2026-08-10 13:21:06.000 -0300</t>
  </si>
  <si>
    <t>165.86</t>
  </si>
  <si>
    <t>'41260879964177000168550020002573271015037567</t>
  </si>
  <si>
    <t>2026-08-10 13:16:43.000 -0300</t>
  </si>
  <si>
    <t>214.85</t>
  </si>
  <si>
    <t>'51260854494203000100550000000160371003183307</t>
  </si>
  <si>
    <t>2026-08-10 13:16:07.000 -0300</t>
  </si>
  <si>
    <t>185.02</t>
  </si>
  <si>
    <t>'43260807473735019877550080000578891009174161</t>
  </si>
  <si>
    <t>2026-08-10 13:12:11.000 -0300</t>
  </si>
  <si>
    <t>125.53</t>
  </si>
  <si>
    <t>'52260802031363000110550020001380191101613306</t>
  </si>
  <si>
    <t>2026-08-10 13:05:39.000 -0300</t>
  </si>
  <si>
    <t>'41260830429333000282550110000410731005165832</t>
  </si>
  <si>
    <t>2026-08-10 13:03:46.000 -0300</t>
  </si>
  <si>
    <t>249.31</t>
  </si>
  <si>
    <t>249.30</t>
  </si>
  <si>
    <t>'42260804308884000520550020000354871002921533</t>
  </si>
  <si>
    <t>2026-08-10 12:58:50.000 -0300</t>
  </si>
  <si>
    <t>AUTO POSTO BANDEIRANTES - JUARA</t>
  </si>
  <si>
    <t>103.60</t>
  </si>
  <si>
    <t>'51260822620102000142551010000490871155064850</t>
  </si>
  <si>
    <t>2026-08-10 12:58:27.000 -0300</t>
  </si>
  <si>
    <t>185.71</t>
  </si>
  <si>
    <t>185.70</t>
  </si>
  <si>
    <t>'52260850780684000160550010000111491002955680</t>
  </si>
  <si>
    <t>2026-08-10 12:56:55.000 -0300</t>
  </si>
  <si>
    <t>14.10</t>
  </si>
  <si>
    <t>14.09</t>
  </si>
  <si>
    <t>'41260830429333000282550110000410701005165636</t>
  </si>
  <si>
    <t>2026-08-10 12:56:53.000 -0300</t>
  </si>
  <si>
    <t>297.24</t>
  </si>
  <si>
    <t>'41260879130647000198550050000168351015895397</t>
  </si>
  <si>
    <t>2026-08-10 12:51:05.000 -0300</t>
  </si>
  <si>
    <t>332.17</t>
  </si>
  <si>
    <t>'42260881326258001580550020000014201105002930</t>
  </si>
  <si>
    <t>2026-08-10 12:50:36.000 -0300</t>
  </si>
  <si>
    <t>111.81</t>
  </si>
  <si>
    <t>111.80</t>
  </si>
  <si>
    <t>'41260801975878000105550100000025291179508876</t>
  </si>
  <si>
    <t>SEL0E74</t>
  </si>
  <si>
    <t>2026-08-10 12:46:38.000 -0300</t>
  </si>
  <si>
    <t>299.96</t>
  </si>
  <si>
    <t>'41260801975878000105550100000025281822461299</t>
  </si>
  <si>
    <t>2026-08-10 12:46:16.000 -0300</t>
  </si>
  <si>
    <t>115.71</t>
  </si>
  <si>
    <t>'42260823448964001921550070001794051394096305</t>
  </si>
  <si>
    <t>2026-08-10 12:45:16.000 -0300</t>
  </si>
  <si>
    <t>239.31</t>
  </si>
  <si>
    <t>'42260820630766000167550040000593201741772212</t>
  </si>
  <si>
    <t>2026-08-10 12:44:46.000 -0300</t>
  </si>
  <si>
    <t>2255.44</t>
  </si>
  <si>
    <t>'42260823448964001921550070001794031186421954</t>
  </si>
  <si>
    <t>2026-08-10 12:43:41.000 -0300</t>
  </si>
  <si>
    <t>153.92</t>
  </si>
  <si>
    <t>'41260827933025000102550090000011401000267179</t>
  </si>
  <si>
    <t>2026-08-10 12:42:17.000 -0300</t>
  </si>
  <si>
    <t>260.73</t>
  </si>
  <si>
    <t>'41260802763612000161550020001631001866453740</t>
  </si>
  <si>
    <t>2026-08-10 12:41:30.000 -0300</t>
  </si>
  <si>
    <t>192.63</t>
  </si>
  <si>
    <t>'41260827933025000102550090000011391000267160</t>
  </si>
  <si>
    <t>2026-08-10 12:35:45.000 -0300</t>
  </si>
  <si>
    <t>193.12</t>
  </si>
  <si>
    <t>2026-08-10 12:34:27.000 -0300</t>
  </si>
  <si>
    <t>29.26</t>
  </si>
  <si>
    <t>2026-08-10 12:32:35.000 -0300</t>
  </si>
  <si>
    <t>546.44</t>
  </si>
  <si>
    <t>2026-08-10 12:27:30.000 -0300</t>
  </si>
  <si>
    <t>26.40</t>
  </si>
  <si>
    <t>2026-08-10 12:27:14.000 -0300</t>
  </si>
  <si>
    <t>283.92</t>
  </si>
  <si>
    <t>'42260882156977000248550010001685721202510869</t>
  </si>
  <si>
    <t>2026-08-10 12:25:25.000 -0300</t>
  </si>
  <si>
    <t>250.06</t>
  </si>
  <si>
    <t>2026-08-10 12:24:00.000 -0300</t>
  </si>
  <si>
    <t>668.71</t>
  </si>
  <si>
    <t>2026-08-10 12:22:37.000 -0300</t>
  </si>
  <si>
    <t>2.99</t>
  </si>
  <si>
    <t>'41260879964177000168550020002573201015037213</t>
  </si>
  <si>
    <t>2026-08-10 12:21:17.000 -0300</t>
  </si>
  <si>
    <t>392.87</t>
  </si>
  <si>
    <t>'41260879964177000168550020002573191015037190</t>
  </si>
  <si>
    <t>TAW7H45</t>
  </si>
  <si>
    <t>2026-08-10 12:21:00.000 -0300</t>
  </si>
  <si>
    <t>252.99</t>
  </si>
  <si>
    <t>'41260876493295000147550020000289561002771607</t>
  </si>
  <si>
    <t>2026-08-10 12:20:51.000 -0300</t>
  </si>
  <si>
    <t>174.44</t>
  </si>
  <si>
    <t>'41260837607755000169550100000086361003755550</t>
  </si>
  <si>
    <t>2026-08-10 12:19:59.000 -0300</t>
  </si>
  <si>
    <t>434.88</t>
  </si>
  <si>
    <t>2026-08-10 12:17:26.000 -0300</t>
  </si>
  <si>
    <t>184.86</t>
  </si>
  <si>
    <t>'41260801975878000105550100000025271640279390</t>
  </si>
  <si>
    <t>2026-08-10 12:16:03.000 -0300</t>
  </si>
  <si>
    <t>49.88</t>
  </si>
  <si>
    <t>'41260830429333000282550110000410591005165019</t>
  </si>
  <si>
    <t>2026-08-10 12:07:44.000 -0300</t>
  </si>
  <si>
    <t>202.51</t>
  </si>
  <si>
    <t>2026-08-10 12:00:44.000 -0300</t>
  </si>
  <si>
    <t>183.84</t>
  </si>
  <si>
    <t>'41260879964177000168550020002573141015037089</t>
  </si>
  <si>
    <t>2026-08-10 11:59:55.000 -0300</t>
  </si>
  <si>
    <t>295.46</t>
  </si>
  <si>
    <t>'42260878253424000155550010000382501000758589</t>
  </si>
  <si>
    <t>TAW9I29</t>
  </si>
  <si>
    <t>2026-08-10 11:59:40.000 -0300</t>
  </si>
  <si>
    <t>273.26</t>
  </si>
  <si>
    <t>'41260876493295000147550020000289521002771446</t>
  </si>
  <si>
    <t>2026-08-10 11:55:29.000 -0300</t>
  </si>
  <si>
    <t>192.05</t>
  </si>
  <si>
    <t>2026-08-10 11:51:48.000 -0300</t>
  </si>
  <si>
    <t>1642.90</t>
  </si>
  <si>
    <t>'41260879964177000591550020008205801011753350</t>
  </si>
  <si>
    <t>2026-08-10 11:50:13.000 -0300</t>
  </si>
  <si>
    <t>357.35</t>
  </si>
  <si>
    <t>'42260882156977000248550010001685601573028380</t>
  </si>
  <si>
    <t>2026-08-10 11:44:22.000 -0300</t>
  </si>
  <si>
    <t>'41260802763612000161550020001630941350084660</t>
  </si>
  <si>
    <t>2026-08-10 11:39:28.000 -0300</t>
  </si>
  <si>
    <t>553.01</t>
  </si>
  <si>
    <t>'42260883392050000199550020001298271101439336</t>
  </si>
  <si>
    <t>2026-08-10 11:37:57.000 -0300</t>
  </si>
  <si>
    <t>146.33</t>
  </si>
  <si>
    <t>'51260810588554000105550040000340061940627121</t>
  </si>
  <si>
    <t>2026-08-10 11:36:01.000 -0300</t>
  </si>
  <si>
    <t>POSTO MAHLE MARABA</t>
  </si>
  <si>
    <t>1875.93</t>
  </si>
  <si>
    <t>'41260806124016000516550010000395331101435128</t>
  </si>
  <si>
    <t>2026-08-10 11:33:41.000 -0300</t>
  </si>
  <si>
    <t>140.44</t>
  </si>
  <si>
    <t>'51260808603562000212550050000548441011640020</t>
  </si>
  <si>
    <t>2026-08-10 11:28:09.000 -0300</t>
  </si>
  <si>
    <t>93.66</t>
  </si>
  <si>
    <t>'51260808603562000212550050000548421011639965</t>
  </si>
  <si>
    <t>2026-08-10 11:28:03.000 -0300</t>
  </si>
  <si>
    <t>122.69</t>
  </si>
  <si>
    <t>'42260883392050000199550020001298231101428068</t>
  </si>
  <si>
    <t>2026-08-10 11:27:58.000 -0300</t>
  </si>
  <si>
    <t>187.03</t>
  </si>
  <si>
    <t>'42260823448964001921550070001793821298336027</t>
  </si>
  <si>
    <t>2026-08-10 11:27:39.000 -0300</t>
  </si>
  <si>
    <t>141.01</t>
  </si>
  <si>
    <t>'41260801975878000105550100000025261754505945</t>
  </si>
  <si>
    <t>2026-08-10 11:27:26.000 -0300</t>
  </si>
  <si>
    <t>319.61</t>
  </si>
  <si>
    <t>'52260801272434001002550020000813461601880757</t>
  </si>
  <si>
    <t>2026-08-10 11:20:12.000 -0300</t>
  </si>
  <si>
    <t>151.05</t>
  </si>
  <si>
    <t>'41260803626094001330550010000505701732380982</t>
  </si>
  <si>
    <t>2026-08-10 11:19:07.000 -0300</t>
  </si>
  <si>
    <t>481.12</t>
  </si>
  <si>
    <t>2026-08-16 21:00:00.000 -0300</t>
  </si>
  <si>
    <t>'42260882156977000248550010001691681845810920</t>
  </si>
  <si>
    <t>2026-08-10 11:12:44.000 -0300</t>
  </si>
  <si>
    <t>207.60</t>
  </si>
  <si>
    <t>2026-08-10 11:11:47.000 -0300</t>
  </si>
  <si>
    <t>356.14</t>
  </si>
  <si>
    <t>'41260802764141000106550030008391671467384471</t>
  </si>
  <si>
    <t>2026-08-10 11:07:15.000 -0300</t>
  </si>
  <si>
    <t>SIM REDE - 0245-28 - ANCHIETA</t>
  </si>
  <si>
    <t>118.39</t>
  </si>
  <si>
    <t>2026-08-10 11:06:26.000 -0300</t>
  </si>
  <si>
    <t>'41260879130647000198550050000168331015894434</t>
  </si>
  <si>
    <t>2026-08-10 11:06:22.000 -0300</t>
  </si>
  <si>
    <t>513.00</t>
  </si>
  <si>
    <t>'51260814948822000103550020001549131101407133</t>
  </si>
  <si>
    <t>2026-08-10 11:04:24.000 -0300</t>
  </si>
  <si>
    <t>717.37</t>
  </si>
  <si>
    <t>2026-08-10 11:02:15.000 -0300</t>
  </si>
  <si>
    <t>207.50</t>
  </si>
  <si>
    <t>207.49</t>
  </si>
  <si>
    <t>'52260853741408000180550010000092791983359599</t>
  </si>
  <si>
    <t>2026-08-10 10:54:27.000 -0300</t>
  </si>
  <si>
    <t>20.86</t>
  </si>
  <si>
    <t>255.44</t>
  </si>
  <si>
    <t>'35260806068493000188550010002641371001795300</t>
  </si>
  <si>
    <t>2026-08-10 10:53:38.000 -0300</t>
  </si>
  <si>
    <t>234.58</t>
  </si>
  <si>
    <t>2026-08-10 10:47:38.000 -0300</t>
  </si>
  <si>
    <t>232.54</t>
  </si>
  <si>
    <t>'52260802310460000141550010000538111435695020</t>
  </si>
  <si>
    <t>2026-08-10 10:46:48.000 -0300</t>
  </si>
  <si>
    <t>'17260804985282000184550030000055781885109151</t>
  </si>
  <si>
    <t>2026-08-10 10:36:37.000 -0300</t>
  </si>
  <si>
    <t>185.25</t>
  </si>
  <si>
    <t>2026-08-10 10:28:44.000 -0300</t>
  </si>
  <si>
    <t>'52260826914325000173550010000429341010202119</t>
  </si>
  <si>
    <t>2026-08-10 10:26:44.000 -0300</t>
  </si>
  <si>
    <t>19.34</t>
  </si>
  <si>
    <t>'41260879130647000198550050000168321015894127</t>
  </si>
  <si>
    <t>2026-08-10 10:25:07.000 -0300</t>
  </si>
  <si>
    <t>210.66</t>
  </si>
  <si>
    <t>'41260879130647000198550050000168311015894103</t>
  </si>
  <si>
    <t>2026-08-10 10:20:47.000 -0300</t>
  </si>
  <si>
    <t>49.86</t>
  </si>
  <si>
    <t>'43260893489243007471550080000044321421401290</t>
  </si>
  <si>
    <t>2026-08-10 10:19:23.000 -0300</t>
  </si>
  <si>
    <t>275.87</t>
  </si>
  <si>
    <t>'42260801172040000183550030000528721009904577</t>
  </si>
  <si>
    <t>2026-08-10 10:18:51.000 -0300</t>
  </si>
  <si>
    <t>1221.12</t>
  </si>
  <si>
    <t>'43260893489243007471550080000044311351401290</t>
  </si>
  <si>
    <t>2026-08-10 10:17:50.000 -0300</t>
  </si>
  <si>
    <t>173.53</t>
  </si>
  <si>
    <t>'41260803626094001330550010000505681050570304</t>
  </si>
  <si>
    <t>2026-08-10 10:12:24.000 -0300</t>
  </si>
  <si>
    <t>638.42</t>
  </si>
  <si>
    <t>638.43</t>
  </si>
  <si>
    <t>'41260879964177000591550020008205671011753080</t>
  </si>
  <si>
    <t>2026-08-10 10:10:24.000 -0300</t>
  </si>
  <si>
    <t>367.26</t>
  </si>
  <si>
    <t>2026-08-10 09:51:15.000 -0300</t>
  </si>
  <si>
    <t>252.64</t>
  </si>
  <si>
    <t>252.63</t>
  </si>
  <si>
    <t>'41260801975878000105550100000025251507204305</t>
  </si>
  <si>
    <t>2026-08-10 09:50:34.000 -0300</t>
  </si>
  <si>
    <t>129.42</t>
  </si>
  <si>
    <t>'17260808318079000105550040000083481732310902</t>
  </si>
  <si>
    <t>2026-08-10 09:47:25.000 -0300</t>
  </si>
  <si>
    <t>146.04</t>
  </si>
  <si>
    <t>2026-08-10 09:43:48.000 -0300</t>
  </si>
  <si>
    <t>240.09</t>
  </si>
  <si>
    <t>'35260850206655000199550010000155311000328130</t>
  </si>
  <si>
    <t>2026-08-10 09:41:28.000 -0300</t>
  </si>
  <si>
    <t>168.17</t>
  </si>
  <si>
    <t>2026-08-10 09:36:53.000 -0300</t>
  </si>
  <si>
    <t>209.51</t>
  </si>
  <si>
    <t>'51260841779350000185550230000958931976015304</t>
  </si>
  <si>
    <t>2026-08-10 09:26:51.000 -0300</t>
  </si>
  <si>
    <t>155.09</t>
  </si>
  <si>
    <t>'51260808603562000212550050000548381011639334</t>
  </si>
  <si>
    <t>2026-08-10 09:24:27.000 -0300</t>
  </si>
  <si>
    <t>42.23</t>
  </si>
  <si>
    <t>2026-08-10 09:22:04.000 -0300</t>
  </si>
  <si>
    <t>2026-08-10 09:12:05.000 -0300</t>
  </si>
  <si>
    <t>339.60</t>
  </si>
  <si>
    <t>'50260800300969000188550010000385841036401570</t>
  </si>
  <si>
    <t>2026-08-10 09:09:09.000 -0300</t>
  </si>
  <si>
    <t>407.54</t>
  </si>
  <si>
    <t>'41260803626094001330550010000505671531988163</t>
  </si>
  <si>
    <t>2026-08-10 09:05:27.000 -0300</t>
  </si>
  <si>
    <t>400.34</t>
  </si>
  <si>
    <t>400.33</t>
  </si>
  <si>
    <t>'50260830432373000100550030000245471003289857</t>
  </si>
  <si>
    <t>2026-08-10 09:01:45.000 -0300</t>
  </si>
  <si>
    <t>9.75</t>
  </si>
  <si>
    <t>'41260879130647000198550030000202131015893371</t>
  </si>
  <si>
    <t>2026-08-10 08:59:23.000 -0300</t>
  </si>
  <si>
    <t>619.15</t>
  </si>
  <si>
    <t>'41260879130647000198550020000563811001432722</t>
  </si>
  <si>
    <t>2026-08-10 08:58:46.000 -0300</t>
  </si>
  <si>
    <t>258.63</t>
  </si>
  <si>
    <t>'17260804985282000184550030000055751166146328</t>
  </si>
  <si>
    <t>2026-08-10 08:55:29.000 -0300</t>
  </si>
  <si>
    <t>29.69</t>
  </si>
  <si>
    <t>'41260807388800000170550050001036931644697538</t>
  </si>
  <si>
    <t>2026-08-10 08:55:10.000 -0300</t>
  </si>
  <si>
    <t>1930.95</t>
  </si>
  <si>
    <t>'41260879964177000591550020008205531011752860</t>
  </si>
  <si>
    <t>2026-08-10 08:54:40.000 -0300</t>
  </si>
  <si>
    <t>1884.22</t>
  </si>
  <si>
    <t>'41260807388800000170550050001036921325937062</t>
  </si>
  <si>
    <t>2026-08-10 08:53:37.000 -0300</t>
  </si>
  <si>
    <t>2176.15</t>
  </si>
  <si>
    <t>'41260879964177000591550020008205521011752855</t>
  </si>
  <si>
    <t>2026-08-10 08:42:28.000 -0300</t>
  </si>
  <si>
    <t>32.44</t>
  </si>
  <si>
    <t>'50260806073995000105550010000459051004590512</t>
  </si>
  <si>
    <t>2026-08-10 08:41:24.000 -0300</t>
  </si>
  <si>
    <t>111.50</t>
  </si>
  <si>
    <t>'51260808603562001103550080000018141304038006</t>
  </si>
  <si>
    <t>2026-08-10 08:40:35.000 -0300</t>
  </si>
  <si>
    <t>386.20</t>
  </si>
  <si>
    <t>'50260806073995000105550010000459041004590418</t>
  </si>
  <si>
    <t>2026-08-10 08:32:58.000 -0300</t>
  </si>
  <si>
    <t>869.99</t>
  </si>
  <si>
    <t>'43260807473735015103550080001110941022014101</t>
  </si>
  <si>
    <t>2026-08-10 08:25:14.000 -0300</t>
  </si>
  <si>
    <t>127.04</t>
  </si>
  <si>
    <t>'51260825220634000342550010001683671954799821</t>
  </si>
  <si>
    <t>2026-08-10 08:24:00.000 -0300</t>
  </si>
  <si>
    <t>418.77</t>
  </si>
  <si>
    <t>'41260801975878000105550100000025241713059741</t>
  </si>
  <si>
    <t>2026-08-10 08:23:10.000 -0300</t>
  </si>
  <si>
    <t>400.70</t>
  </si>
  <si>
    <t>'41260808810726000100550020000064151039284100</t>
  </si>
  <si>
    <t>2026-08-10 08:22:15.000 -0300</t>
  </si>
  <si>
    <t>262.90</t>
  </si>
  <si>
    <t>'51260825220634000342550010001683661732463315</t>
  </si>
  <si>
    <t>2026-08-10 08:20:14.000 -0300</t>
  </si>
  <si>
    <t>965.05</t>
  </si>
  <si>
    <t>'41260833286065000102550040000104641014206911</t>
  </si>
  <si>
    <t>2026-08-10 08:16:29.000 -0300</t>
  </si>
  <si>
    <t>295.31</t>
  </si>
  <si>
    <t>2026-08-10 08:16:09.000 -0300</t>
  </si>
  <si>
    <t>278.01</t>
  </si>
  <si>
    <t>'35260850206655000199550010000155301000328125</t>
  </si>
  <si>
    <t>2026-08-10 08:15:30.000 -0300</t>
  </si>
  <si>
    <t>320.84</t>
  </si>
  <si>
    <t>'52260801756915000194550020000044421000096225</t>
  </si>
  <si>
    <t>2026-08-10 08:14:05.000 -0300</t>
  </si>
  <si>
    <t>427.18</t>
  </si>
  <si>
    <t>'51260850128357000128550050001449651020245996</t>
  </si>
  <si>
    <t>2026-08-10 08:09:48.000 -0300</t>
  </si>
  <si>
    <t>246.40</t>
  </si>
  <si>
    <t>'35260829127799000163550010001173631000637824</t>
  </si>
  <si>
    <t>2026-08-10 08:08:34.000 -0300</t>
  </si>
  <si>
    <t>366.52</t>
  </si>
  <si>
    <t>'43260807473735009308550080000244061017693397</t>
  </si>
  <si>
    <t>2026-08-10 07:57:50.000 -0300</t>
  </si>
  <si>
    <t>659.88</t>
  </si>
  <si>
    <t>'51260823891404000118550110001317451249585887</t>
  </si>
  <si>
    <t>2026-08-10 07:55:51.000 -0300</t>
  </si>
  <si>
    <t>233.91</t>
  </si>
  <si>
    <t>'43260807473735006031550080000753841017279005</t>
  </si>
  <si>
    <t>2026-08-10 07:50:34.000 -0300</t>
  </si>
  <si>
    <t>102.00</t>
  </si>
  <si>
    <t>'51260801594553000182550100000747501010475966</t>
  </si>
  <si>
    <t>2026-08-10 07:45:56.000 -0300</t>
  </si>
  <si>
    <t>89.70</t>
  </si>
  <si>
    <t>'51260854494203000100550000000160381003183312</t>
  </si>
  <si>
    <t>2026-08-10 07:42:44.000 -0300</t>
  </si>
  <si>
    <t>295.07</t>
  </si>
  <si>
    <t>'53260807822636000168550020000042121017912240</t>
  </si>
  <si>
    <t>2026-08-10 07:39:22.000 -0300</t>
  </si>
  <si>
    <t>593.18</t>
  </si>
  <si>
    <t>'43260807473735018200550080000743831014666932</t>
  </si>
  <si>
    <t>2026-08-10 07:34:28.000 -0300</t>
  </si>
  <si>
    <t>315.04</t>
  </si>
  <si>
    <t>'43260807473735006201550080000115961026445089</t>
  </si>
  <si>
    <t>2026-08-10 07:31:05.000 -0300</t>
  </si>
  <si>
    <t>'51260804505289000151550130000116621010054568</t>
  </si>
  <si>
    <t>2026-08-10 07:23:38.000 -0300</t>
  </si>
  <si>
    <t>317.77</t>
  </si>
  <si>
    <t>'51260833855749000170550130000216861887543047</t>
  </si>
  <si>
    <t>2026-08-10 07:21:33.000 -0300</t>
  </si>
  <si>
    <t>242.49</t>
  </si>
  <si>
    <t>'51260850128357000551550050000102511001032406</t>
  </si>
  <si>
    <t>2026-08-10 07:20:26.000 -0300</t>
  </si>
  <si>
    <t>1673.55</t>
  </si>
  <si>
    <t>'41260879964177000591550020008205371011752484</t>
  </si>
  <si>
    <t>2026-08-10 07:17:26.000 -0300</t>
  </si>
  <si>
    <t>392.52</t>
  </si>
  <si>
    <t>'53260807822636000168550020000042101017912067</t>
  </si>
  <si>
    <t>2026-08-10 07:16:28.000 -0300</t>
  </si>
  <si>
    <t>126.28</t>
  </si>
  <si>
    <t>'51260810588554000105550040000339951473172811</t>
  </si>
  <si>
    <t>2026-08-10 07:07:05.000 -0300</t>
  </si>
  <si>
    <t>119.89</t>
  </si>
  <si>
    <t>2026-08-10 06:57:13.000 -0300</t>
  </si>
  <si>
    <t>POSTO NOVA ENERGIA – FORQUILHINHA - SC</t>
  </si>
  <si>
    <t>221.24</t>
  </si>
  <si>
    <t>2026-08-10 06:56:20.000 -0300</t>
  </si>
  <si>
    <t>287.25</t>
  </si>
  <si>
    <t>'51260850128357000128550050001449351020244869</t>
  </si>
  <si>
    <t>2026-08-10 06:41:50.000 -0300</t>
  </si>
  <si>
    <t>214.06</t>
  </si>
  <si>
    <t>'52260802031363000110550020001379881100944017</t>
  </si>
  <si>
    <t>2026-08-10 06:39:04.000 -0300</t>
  </si>
  <si>
    <t>122.08</t>
  </si>
  <si>
    <t>'51260808603562000212550050000548111011638431</t>
  </si>
  <si>
    <t>2026-08-10 06:29:59.000 -0300</t>
  </si>
  <si>
    <t>184.67</t>
  </si>
  <si>
    <t>'41260837607755000169550110000106081003754430</t>
  </si>
  <si>
    <t>2026-08-10 06:21:12.000 -0300</t>
  </si>
  <si>
    <t>POSTO BANDEIRANTE - GOIANIA</t>
  </si>
  <si>
    <t>239.10</t>
  </si>
  <si>
    <t>'52260805658776000117550010002365241091745234</t>
  </si>
  <si>
    <t>2026-08-10 06:20:52.000 -0300</t>
  </si>
  <si>
    <t>175.95</t>
  </si>
  <si>
    <t>'52260800148072000180550010001249851017458254</t>
  </si>
  <si>
    <t>2026-08-10 06:18:25.000 -0300</t>
  </si>
  <si>
    <t>'41260879964177000591550020008205261011752316</t>
  </si>
  <si>
    <t>2026-08-10 06:15:11.000 -0300</t>
  </si>
  <si>
    <t>2630.01</t>
  </si>
  <si>
    <t>'41260879964177000591550020008205251011752300</t>
  </si>
  <si>
    <t>2026-08-10 06:13:22.000 -0300</t>
  </si>
  <si>
    <t>566.38</t>
  </si>
  <si>
    <t>'42260883392050000199550020001297281100913362</t>
  </si>
  <si>
    <t>2026-08-10 06:08:32.000 -0300</t>
  </si>
  <si>
    <t>1764.38</t>
  </si>
  <si>
    <t>'42260804308884000520550020000354911002921773</t>
  </si>
  <si>
    <t>2026-08-10 06:08:27.000 -0300</t>
  </si>
  <si>
    <t>149.05</t>
  </si>
  <si>
    <t>'42260883392050000199550020001297251100908332</t>
  </si>
  <si>
    <t>2026-08-10 05:58:09.000 -0300</t>
  </si>
  <si>
    <t>63.74</t>
  </si>
  <si>
    <t>'43260807473735015103550080001110761022012640</t>
  </si>
  <si>
    <t>2026-08-10 05:57:25.000 -0300</t>
  </si>
  <si>
    <t>130.82</t>
  </si>
  <si>
    <t>'51260808603562000212550050000548071011638269</t>
  </si>
  <si>
    <t>2026-08-10 05:56:29.000 -0300</t>
  </si>
  <si>
    <t>75.99</t>
  </si>
  <si>
    <t>'52260837489429000102550010000044201204769270</t>
  </si>
  <si>
    <t>2026-08-10 05:50:38.000 -0300</t>
  </si>
  <si>
    <t>715.08</t>
  </si>
  <si>
    <t>'41260807388800000170550050001036661353997007</t>
  </si>
  <si>
    <t>2026-08-10 05:44:29.000 -0300</t>
  </si>
  <si>
    <t>291.98</t>
  </si>
  <si>
    <t>291.97</t>
  </si>
  <si>
    <t>'41260801975878000105550100000025231356938815</t>
  </si>
  <si>
    <t>2026-08-10 05:44:01.000 -0300</t>
  </si>
  <si>
    <t>215.87</t>
  </si>
  <si>
    <t>'51260854494203000100550000000160411003183342</t>
  </si>
  <si>
    <t>2026-08-10 05:41:41.000 -0300</t>
  </si>
  <si>
    <t>201.12</t>
  </si>
  <si>
    <t>'42260820630766000167550050000591311271141547</t>
  </si>
  <si>
    <t>2026-08-10 05:41:08.000 -0300</t>
  </si>
  <si>
    <t>245.17</t>
  </si>
  <si>
    <t>'41260803626094001330550010000505661189202621</t>
  </si>
  <si>
    <t>2026-08-10 05:40:39.000 -0300</t>
  </si>
  <si>
    <t>360.35</t>
  </si>
  <si>
    <t>'43260807473735007941550080001010481035008499</t>
  </si>
  <si>
    <t>2026-08-10 05:36:40.000 -0300</t>
  </si>
  <si>
    <t>148.25</t>
  </si>
  <si>
    <t>'51260808603562000212550050000548041011638186</t>
  </si>
  <si>
    <t>2026-08-10 05:36:30.000 -0300</t>
  </si>
  <si>
    <t>244.28</t>
  </si>
  <si>
    <t>'52260801272434001002550020000813211266652299</t>
  </si>
  <si>
    <t>RHS8D36</t>
  </si>
  <si>
    <t>2026-08-10 05:35:23.000 -0300</t>
  </si>
  <si>
    <t>177.23</t>
  </si>
  <si>
    <t>'42260881326258000770550010001012841003937240</t>
  </si>
  <si>
    <t>2026-08-10 05:32:48.000 -0300</t>
  </si>
  <si>
    <t>1790.08</t>
  </si>
  <si>
    <t>'41260879964177000591550020008205161011752115</t>
  </si>
  <si>
    <t>2026-08-10 05:25:00.000 -0300</t>
  </si>
  <si>
    <t>259.80</t>
  </si>
  <si>
    <t>'41260833286065000102550040000104501014205340</t>
  </si>
  <si>
    <t>2026-08-10 05:22:16.000 -0300</t>
  </si>
  <si>
    <t>SIM REDE - RIO GRANDE POVO NOVO 0105-78 - CENTRO RS</t>
  </si>
  <si>
    <t>293.73</t>
  </si>
  <si>
    <t>'43260807473735010578550080000634111011253522</t>
  </si>
  <si>
    <t>2026-08-10 05:17:55.000 -0300</t>
  </si>
  <si>
    <t>89.31</t>
  </si>
  <si>
    <t>2026-08-10 05:17:31.000 -0300</t>
  </si>
  <si>
    <t>152.51</t>
  </si>
  <si>
    <t>'52260837489429000102550010000044191204754913</t>
  </si>
  <si>
    <t>2026-08-10 05:15:36.000 -0300</t>
  </si>
  <si>
    <t>371.23</t>
  </si>
  <si>
    <t>'41260837607755000169550110000106001003753974</t>
  </si>
  <si>
    <t>2026-08-10 05:14:02.000 -0300</t>
  </si>
  <si>
    <t>302.41</t>
  </si>
  <si>
    <t>'52260837489429000102550010000044181204745658</t>
  </si>
  <si>
    <t>2026-08-10 05:07:53.000 -0300</t>
  </si>
  <si>
    <t>109.26</t>
  </si>
  <si>
    <t>'41260827933025000102550090000011381000267154</t>
  </si>
  <si>
    <t>2026-08-10 05:06:12.000 -0300</t>
  </si>
  <si>
    <t>282.70</t>
  </si>
  <si>
    <t>2026-08-10 05:03:34.000 -0300</t>
  </si>
  <si>
    <t>850.36</t>
  </si>
  <si>
    <t>2026-08-10 05:01:40.000 -0300</t>
  </si>
  <si>
    <t>209.06</t>
  </si>
  <si>
    <t>'50260802322969000104550020000160711003479026</t>
  </si>
  <si>
    <t>2026-08-10 04:56:58.000 -0300</t>
  </si>
  <si>
    <t>173.10</t>
  </si>
  <si>
    <t>'42260814631967000186550020000476571100757100</t>
  </si>
  <si>
    <t>2026-08-10 04:54:49.000 -0300</t>
  </si>
  <si>
    <t>302.58</t>
  </si>
  <si>
    <t>'42260883392050000199550020001297001100754557</t>
  </si>
  <si>
    <t>2026-08-10 04:52:12.000 -0300</t>
  </si>
  <si>
    <t>153.60</t>
  </si>
  <si>
    <t>'51260822611652000103550010001718191020352407</t>
  </si>
  <si>
    <t>2026-08-10 04:51:23.000 -0300</t>
  </si>
  <si>
    <t>226.99</t>
  </si>
  <si>
    <t>'41260801975878000105550100000025221982282542</t>
  </si>
  <si>
    <t>2026-08-10 04:50:39.000 -0300</t>
  </si>
  <si>
    <t>146.88</t>
  </si>
  <si>
    <t>'52260801272434001002550020000813161197085505</t>
  </si>
  <si>
    <t>2026-08-10 04:49:29.000 -0300</t>
  </si>
  <si>
    <t>191.49</t>
  </si>
  <si>
    <t>'41260801975878000105550100000025211402920940</t>
  </si>
  <si>
    <t>2026-08-10 04:48:42.000 -0300</t>
  </si>
  <si>
    <t>98.06</t>
  </si>
  <si>
    <t>'43260807473735004250550080000390621029965681</t>
  </si>
  <si>
    <t>2026-08-10 04:39:15.000 -0300</t>
  </si>
  <si>
    <t>686.56</t>
  </si>
  <si>
    <t>'41260879964177000591550020008205051011751883</t>
  </si>
  <si>
    <t>2026-08-10 04:36:46.000 -0300</t>
  </si>
  <si>
    <t>479.03</t>
  </si>
  <si>
    <t>479.02</t>
  </si>
  <si>
    <t>'51260819770285000178550010001543241963807766</t>
  </si>
  <si>
    <t>2026-08-10 04:32:00.000 -0300</t>
  </si>
  <si>
    <t>149.21</t>
  </si>
  <si>
    <t>'53260807822636000168550020000042061017910673</t>
  </si>
  <si>
    <t>2026-08-10 04:24:48.000 -0300</t>
  </si>
  <si>
    <t>350.43</t>
  </si>
  <si>
    <t>'43260807473735022312550080000137661004742440</t>
  </si>
  <si>
    <t>2026-08-10 04:18:13.000 -0300</t>
  </si>
  <si>
    <t>119.72</t>
  </si>
  <si>
    <t>'42260823448964001921550070001792921460792070</t>
  </si>
  <si>
    <t>2026-08-10 04:16:54.000 -0300</t>
  </si>
  <si>
    <t>270.26</t>
  </si>
  <si>
    <t>'41260830429333000282550110000409721005158957</t>
  </si>
  <si>
    <t>2026-08-10 04:16:07.000 -0300</t>
  </si>
  <si>
    <t>372.33</t>
  </si>
  <si>
    <t>'43260807473735022312550080000137651004742389</t>
  </si>
  <si>
    <t>2026-08-10 04:09:45.000 -0300</t>
  </si>
  <si>
    <t>129.59</t>
  </si>
  <si>
    <t>'42260814631967000186550020000476521100709509</t>
  </si>
  <si>
    <t>2026-08-10 03:55:59.000 -0300</t>
  </si>
  <si>
    <t>609.44</t>
  </si>
  <si>
    <t>'41260876493295000147550020000288611002767108</t>
  </si>
  <si>
    <t>2026-08-10 03:42:28.000 -0300</t>
  </si>
  <si>
    <t>134.76</t>
  </si>
  <si>
    <t>'42260823448964001921550070001792821472053123</t>
  </si>
  <si>
    <t>2026-08-10 03:29:41.000 -0300</t>
  </si>
  <si>
    <t>353.83</t>
  </si>
  <si>
    <t>'41260879130647000198550050000168211015889928</t>
  </si>
  <si>
    <t>2026-08-10 03:22:55.000 -0300</t>
  </si>
  <si>
    <t>100.55</t>
  </si>
  <si>
    <t>100.54</t>
  </si>
  <si>
    <t>'53260807822636000168550020000042031017910132</t>
  </si>
  <si>
    <t>2026-08-10 03:21:04.000 -0300</t>
  </si>
  <si>
    <t>249.60</t>
  </si>
  <si>
    <t>'53260807822636000168550020000042021017910062</t>
  </si>
  <si>
    <t>2026-08-10 03:15:53.000 -0300</t>
  </si>
  <si>
    <t>2286.49</t>
  </si>
  <si>
    <t>'41260879964177000591550020008204831011751566</t>
  </si>
  <si>
    <t>2026-08-10 02:59:18.000 -0300</t>
  </si>
  <si>
    <t>1808.35</t>
  </si>
  <si>
    <t>'41260879964177000591550020008204811011751537</t>
  </si>
  <si>
    <t>2026-08-10 02:52:09.000 -0300</t>
  </si>
  <si>
    <t>274.16</t>
  </si>
  <si>
    <t>'42260883392050000199550020001296721100552125</t>
  </si>
  <si>
    <t>2026-08-10 02:47:24.000 -0300</t>
  </si>
  <si>
    <t>685.09</t>
  </si>
  <si>
    <t>'41260876493295000147550020000288571002766729</t>
  </si>
  <si>
    <t>2026-08-10 02:23:03.000 -0300</t>
  </si>
  <si>
    <t>550.54</t>
  </si>
  <si>
    <t>'43260807473735017661550080000888021019100133</t>
  </si>
  <si>
    <t>2026-08-10 02:10:26.000 -0300</t>
  </si>
  <si>
    <t>288.25</t>
  </si>
  <si>
    <t>'41260876493295000147550020000288561002766659</t>
  </si>
  <si>
    <t>2026-08-10 01:35:37.000 -0300</t>
  </si>
  <si>
    <t>205.14</t>
  </si>
  <si>
    <t>'35260805065447000162550060003738141006182099</t>
  </si>
  <si>
    <t>2026-08-09 18:37:26.000 -0300</t>
  </si>
  <si>
    <t>260.24</t>
  </si>
  <si>
    <t>2026-08-08 21:00:00.000 -0300</t>
  </si>
  <si>
    <t>'51260814948822000103550020001548801092138314</t>
  </si>
  <si>
    <t>2026-08-08 20:10:13.000 -0300</t>
  </si>
  <si>
    <t>282.43</t>
  </si>
  <si>
    <t>'53260807822636000168550020000041971017902998</t>
  </si>
  <si>
    <t>2026-08-08 17:26:37.000 -0300</t>
  </si>
  <si>
    <t>1681.13</t>
  </si>
  <si>
    <t>'35260827751075017640550040000011611000720790</t>
  </si>
  <si>
    <t>2026-08-08 17:20:15.000 -0300</t>
  </si>
  <si>
    <t>221.10</t>
  </si>
  <si>
    <t>'35260827751075017640550040000011601000720734</t>
  </si>
  <si>
    <t>2026-08-08 14:27:35.000 -0300</t>
  </si>
  <si>
    <t>162.05</t>
  </si>
  <si>
    <t>'41260803626094001330550010000505521335042977</t>
  </si>
  <si>
    <t>2026-08-08 13:25:39.000 -0300</t>
  </si>
  <si>
    <t>90.33</t>
  </si>
  <si>
    <t>'41260802763612000161551000000019241709870665</t>
  </si>
  <si>
    <t>2026-08-08 12:03:49.000 -0300</t>
  </si>
  <si>
    <t>114.28</t>
  </si>
  <si>
    <t>'43260807473735015103550080001110091021996724</t>
  </si>
  <si>
    <t>2026-08-08 11:34:38.000 -0300</t>
  </si>
  <si>
    <t>215.43</t>
  </si>
  <si>
    <t>'51260850128357000551550050000102271001030416</t>
  </si>
  <si>
    <t>2026-08-08 11:06:50.000 -0300</t>
  </si>
  <si>
    <t>238.32</t>
  </si>
  <si>
    <t>'43260807473735015103550080001110061021996110</t>
  </si>
  <si>
    <t>2026-08-08 10:40:16.000 -0300</t>
  </si>
  <si>
    <t>47.13</t>
  </si>
  <si>
    <t>'42260884711084000161550030001190201081340204</t>
  </si>
  <si>
    <t>2026-08-08 10:38:50.000 -0300</t>
  </si>
  <si>
    <t>492.30</t>
  </si>
  <si>
    <t>'42260884711084000161550030001190181081338546</t>
  </si>
  <si>
    <t>2026-08-08 09:52:39.000 -0300</t>
  </si>
  <si>
    <t>196.03</t>
  </si>
  <si>
    <t>'41260801975878000105550100000025181169370690</t>
  </si>
  <si>
    <t>2026-08-08 09:44:53.000 -0300</t>
  </si>
  <si>
    <t>139.23</t>
  </si>
  <si>
    <t>'41260879964177000168550020002572021015027001</t>
  </si>
  <si>
    <t>2026-08-08 09:39:58.000 -0300</t>
  </si>
  <si>
    <t>121.62</t>
  </si>
  <si>
    <t>'43260807473735015103550080001110021021995387</t>
  </si>
  <si>
    <t>2026-08-08 08:50:33.000 -0300</t>
  </si>
  <si>
    <t>338.45</t>
  </si>
  <si>
    <t>'51260808603562000212550050000547641011632814</t>
  </si>
  <si>
    <t>2026-08-08 08:36:00.000 -0300</t>
  </si>
  <si>
    <t>591.45</t>
  </si>
  <si>
    <t>'41260808810726000100550020000063791331033997</t>
  </si>
  <si>
    <t>2026-08-08 08:11:34.000 -0300</t>
  </si>
  <si>
    <t>197.17</t>
  </si>
  <si>
    <t>'43260807473735015103550080001109961021994578</t>
  </si>
  <si>
    <t>2026-08-08 07:39:08.000 -0300</t>
  </si>
  <si>
    <t>500.93</t>
  </si>
  <si>
    <t>'41260808810726000100550020000063781791005710</t>
  </si>
  <si>
    <t>2026-08-08 06:57:55.000 -0300</t>
  </si>
  <si>
    <t>305.84</t>
  </si>
  <si>
    <t>'41260876493295000147550020000288081002755811</t>
  </si>
  <si>
    <t>2026-08-08 06:46:28.000 -0300</t>
  </si>
  <si>
    <t>508.68</t>
  </si>
  <si>
    <t>'41260876493295000147550020000288061002755744</t>
  </si>
  <si>
    <t>2026-08-08 03:14:18.000 -0300</t>
  </si>
  <si>
    <t>218.83</t>
  </si>
  <si>
    <t>'43260807473735015103550080001109731021991639</t>
  </si>
  <si>
    <t>2026-08-08 02:15:19.000 -0300</t>
  </si>
  <si>
    <t>2110.62</t>
  </si>
  <si>
    <t>'41260879964177000591550020008202761011747946</t>
  </si>
  <si>
    <t>2026-08-08 02:08:08.000 -0300</t>
  </si>
  <si>
    <t>507.71</t>
  </si>
  <si>
    <t>'52260801272434001002550020000812801156581961</t>
  </si>
  <si>
    <t>2026-08-08 01:14:52.000 -0300</t>
  </si>
  <si>
    <t>314.80</t>
  </si>
  <si>
    <t>'31260824187119000183550540003114031986477072</t>
  </si>
  <si>
    <t>2026-08-08 00:40:32.000 -0300</t>
  </si>
  <si>
    <t>377.08</t>
  </si>
  <si>
    <t>'51260850128357000128550050001446911020201305</t>
  </si>
  <si>
    <t>2026-08-07 23:52:47.000 -0300</t>
  </si>
  <si>
    <t>285.12</t>
  </si>
  <si>
    <t>'50260826416003000102550020000488111751016823</t>
  </si>
  <si>
    <t>2026-08-07 21:52:25.000 -0300</t>
  </si>
  <si>
    <t>POSTO COLORADO 68 | REDE SAO LEOPOLDO</t>
  </si>
  <si>
    <t>1490.71</t>
  </si>
  <si>
    <t>'35260845587003000101550010003160061004645751</t>
  </si>
  <si>
    <t>2026-08-07 21:08:10.000 -0300</t>
  </si>
  <si>
    <t>686.52</t>
  </si>
  <si>
    <t>'35260805911517000156550030000368461507508775</t>
  </si>
  <si>
    <t>2026-08-07 20:34:56.000 -0300</t>
  </si>
  <si>
    <t>194.01</t>
  </si>
  <si>
    <t>'52260833360405000190550020000383071008874378</t>
  </si>
  <si>
    <t>2026-08-07 20:09:52.000 -0300</t>
  </si>
  <si>
    <t>165.76</t>
  </si>
  <si>
    <t>'35260855973291000196550030010509441018356770</t>
  </si>
  <si>
    <t>2026-08-07 19:59:16.000 -0300</t>
  </si>
  <si>
    <t>'52260833360405000190550020000383061008874206</t>
  </si>
  <si>
    <t>2026-08-07 19:41:17.000 -0300</t>
  </si>
  <si>
    <t>147.71</t>
  </si>
  <si>
    <t>'35260850206655000199550010000155231000328007</t>
  </si>
  <si>
    <t>2026-08-07 19:09:10.000 -0300</t>
  </si>
  <si>
    <t>285.80</t>
  </si>
  <si>
    <t>'35260842733072000198550080000053021523737023</t>
  </si>
  <si>
    <t>2026-08-07 18:56:32.000 -0300</t>
  </si>
  <si>
    <t>952.39</t>
  </si>
  <si>
    <t>'35260830479450000170550030000204401111419047</t>
  </si>
  <si>
    <t>2026-08-07 18:53:35.000 -0300</t>
  </si>
  <si>
    <t>377.97</t>
  </si>
  <si>
    <t>'41260879964177000591550020008202541011747558</t>
  </si>
  <si>
    <t>2026-08-07 18:48:33.000 -0300</t>
  </si>
  <si>
    <t>66.34</t>
  </si>
  <si>
    <t>'52260820940512000145550540003334491467775413</t>
  </si>
  <si>
    <t>2026-08-07 18:13:12.000 -0300</t>
  </si>
  <si>
    <t>220.00</t>
  </si>
  <si>
    <t>'41260801975878000105550100000025161491534315</t>
  </si>
  <si>
    <t>2026-08-07 17:58:14.000 -0300</t>
  </si>
  <si>
    <t>183.66</t>
  </si>
  <si>
    <t>'35260805065447000162550060003734241006160804</t>
  </si>
  <si>
    <t>2026-08-07 17:45:53.000 -0300</t>
  </si>
  <si>
    <t>SIM REDE - CURITIBA CAMPOS DO SANTANA 0142-12 - PR</t>
  </si>
  <si>
    <t>136.87</t>
  </si>
  <si>
    <t>'41260807473735014212550080001104081030822035</t>
  </si>
  <si>
    <t>2026-08-07 17:14:38.000 -0300</t>
  </si>
  <si>
    <t>152.06</t>
  </si>
  <si>
    <t>'52260837489429000102550010000044141174701322</t>
  </si>
  <si>
    <t>2026-08-07 17:10:45.000 -0300</t>
  </si>
  <si>
    <t>63.60</t>
  </si>
  <si>
    <t>'42260827643038000139550010000610441072010507</t>
  </si>
  <si>
    <t>2026-08-07 17:09:48.000 -0300</t>
  </si>
  <si>
    <t>678.92</t>
  </si>
  <si>
    <t>'42260827643038000139550010000610431072009536</t>
  </si>
  <si>
    <t>2026-08-07 17:07:05.000 -0300</t>
  </si>
  <si>
    <t>447.28</t>
  </si>
  <si>
    <t>'50260873648610000170550010000351011016694759</t>
  </si>
  <si>
    <t>2026-08-07 16:47:46.000 -0300</t>
  </si>
  <si>
    <t>289.46</t>
  </si>
  <si>
    <t>289.45</t>
  </si>
  <si>
    <t>'35260846472822000176550010000231331003133763</t>
  </si>
  <si>
    <t>2026-08-07 16:46:15.000 -0300</t>
  </si>
  <si>
    <t>448.65</t>
  </si>
  <si>
    <t>'41260879964177000591550020008202471011747286</t>
  </si>
  <si>
    <t>2026-08-07 16:38:39.000 -0300</t>
  </si>
  <si>
    <t>74.81</t>
  </si>
  <si>
    <t>'51260823891404000118550110001315741116866720</t>
  </si>
  <si>
    <t>2026-08-07 16:37:41.000 -0300</t>
  </si>
  <si>
    <t>285.41</t>
  </si>
  <si>
    <t>'51260823891404000118550110001315731857280091</t>
  </si>
  <si>
    <t>2026-08-07 16:36:57.000 -0300</t>
  </si>
  <si>
    <t>335.04</t>
  </si>
  <si>
    <t>'41260802763612000161550020001629621057847100</t>
  </si>
  <si>
    <t>2026-08-07 16:35:40.000 -0300</t>
  </si>
  <si>
    <t>437.87</t>
  </si>
  <si>
    <t>'41260808810726000100550020000063731561074853</t>
  </si>
  <si>
    <t>2026-08-07 16:33:33.000 -0300</t>
  </si>
  <si>
    <t>229.87</t>
  </si>
  <si>
    <t>'41260879964177000168550020002571661015023318</t>
  </si>
  <si>
    <t>2026-08-07 16:12:19.000 -0300</t>
  </si>
  <si>
    <t>328.25</t>
  </si>
  <si>
    <t>328.24</t>
  </si>
  <si>
    <t>'53260807822636000168550020000041651017892441</t>
  </si>
  <si>
    <t>2026-08-07 16:05:32.000 -0300</t>
  </si>
  <si>
    <t>475.97</t>
  </si>
  <si>
    <t>'41260801975878000105550100000025151113336907</t>
  </si>
  <si>
    <t>2026-08-07 16:03:56.000 -0300</t>
  </si>
  <si>
    <t>311.42</t>
  </si>
  <si>
    <t>'52260801272434001002550020000812771652883177</t>
  </si>
  <si>
    <t>2026-08-07 15:54:45.000 -0300</t>
  </si>
  <si>
    <t>110.70</t>
  </si>
  <si>
    <t>'51260817084739000121550010003422791007343768</t>
  </si>
  <si>
    <t>2026-08-07 15:51:31.000 -0300</t>
  </si>
  <si>
    <t>254.07</t>
  </si>
  <si>
    <t>'52260801272434001002550020000812731700167686</t>
  </si>
  <si>
    <t>2026-08-07 15:42:05.000 -0300</t>
  </si>
  <si>
    <t>201.51</t>
  </si>
  <si>
    <t>2026-08-07 15:39:32.000 -0300</t>
  </si>
  <si>
    <t>261.15</t>
  </si>
  <si>
    <t>'42260882156977000248550010001684031722123166</t>
  </si>
  <si>
    <t>2026-08-07 15:29:33.000 -0300</t>
  </si>
  <si>
    <t>33.84</t>
  </si>
  <si>
    <t>'43260807473735006031550080000752861017262926</t>
  </si>
  <si>
    <t>2026-08-07 15:29:31.000 -0300</t>
  </si>
  <si>
    <t>616.35</t>
  </si>
  <si>
    <t>'43260807473735004845550080000651181019681251</t>
  </si>
  <si>
    <t>2026-08-07 15:27:30.000 -0300</t>
  </si>
  <si>
    <t>667.94</t>
  </si>
  <si>
    <t>'43260807473735006031550080000752841017262875</t>
  </si>
  <si>
    <t>2026-08-07 15:23:14.000 -0300</t>
  </si>
  <si>
    <t>322.08</t>
  </si>
  <si>
    <t>'41260802763612000161550020001629551581752827</t>
  </si>
  <si>
    <t>2026-08-07 15:19:07.000 -0300</t>
  </si>
  <si>
    <t>247.85</t>
  </si>
  <si>
    <t>'41260802763612000161550020001629531076145043</t>
  </si>
  <si>
    <t>2026-08-07 15:18:30.000 -0300</t>
  </si>
  <si>
    <t>138.15</t>
  </si>
  <si>
    <t>'42260820630766000167550050000591081962803804</t>
  </si>
  <si>
    <t>2026-08-07 15:02:36.000 -0300</t>
  </si>
  <si>
    <t>338.57</t>
  </si>
  <si>
    <t>'41260802763612000161550020001629521005871070</t>
  </si>
  <si>
    <t>2026-08-07 15:01:11.000 -0300</t>
  </si>
  <si>
    <t>432.26</t>
  </si>
  <si>
    <t>'52260858446194000133550540000529571604597331</t>
  </si>
  <si>
    <t>BDW3F49</t>
  </si>
  <si>
    <t>2026-08-07 15:01:00.000 -0300</t>
  </si>
  <si>
    <t>509.30</t>
  </si>
  <si>
    <t>'41260801975878000105550100000025141961523212</t>
  </si>
  <si>
    <t>2026-08-07 14:57:08.000 -0300</t>
  </si>
  <si>
    <t>162.74</t>
  </si>
  <si>
    <t>'52260801272434001002550020000812711000388510</t>
  </si>
  <si>
    <t>2026-08-07 14:56:37.000 -0300</t>
  </si>
  <si>
    <t>666.33</t>
  </si>
  <si>
    <t>'41260879130647000198550030000202101015875339</t>
  </si>
  <si>
    <t>2026-08-07 14:54:08.000 -0300</t>
  </si>
  <si>
    <t>101.90</t>
  </si>
  <si>
    <t>101.89</t>
  </si>
  <si>
    <t>'52260847377960000139550010001130801541361940</t>
  </si>
  <si>
    <t>2026-08-07 14:49:42.000 -0300</t>
  </si>
  <si>
    <t>375.79</t>
  </si>
  <si>
    <t>'42260883392050000199550020001294921071749452</t>
  </si>
  <si>
    <t>2026-08-07 14:41:37.000 -0300</t>
  </si>
  <si>
    <t>169.53</t>
  </si>
  <si>
    <t>'41260830429333000282550110000408711005135717</t>
  </si>
  <si>
    <t>2026-08-07 14:38:43.000 -0300</t>
  </si>
  <si>
    <t>330.36</t>
  </si>
  <si>
    <t>'41260876493295000147550020000287711002751520</t>
  </si>
  <si>
    <t>2026-08-07 14:36:20.000 -0300</t>
  </si>
  <si>
    <t>246.12</t>
  </si>
  <si>
    <t>246.11</t>
  </si>
  <si>
    <t>'41260830429333000282550110000408701005135370</t>
  </si>
  <si>
    <t>2026-08-07 14:28:31.000 -0300</t>
  </si>
  <si>
    <t>288.02</t>
  </si>
  <si>
    <t>'17260804219621000111550010000991651856102101</t>
  </si>
  <si>
    <t>2026-08-07 14:15:24.000 -0300</t>
  </si>
  <si>
    <t>270.73</t>
  </si>
  <si>
    <t>'41260801975878000105550100000025121769162970</t>
  </si>
  <si>
    <t>2026-08-07 14:13:28.000 -0300</t>
  </si>
  <si>
    <t>199.01</t>
  </si>
  <si>
    <t>'42260882156977000248550010001683871636982630</t>
  </si>
  <si>
    <t>2026-08-07 14:11:58.000 -0300</t>
  </si>
  <si>
    <t>71.76</t>
  </si>
  <si>
    <t>'51260808603562000212550050000547281011629353</t>
  </si>
  <si>
    <t>2026-08-07 14:07:07.000 -0300</t>
  </si>
  <si>
    <t>289.98</t>
  </si>
  <si>
    <t>'52260801272434001002550020000812631132438335</t>
  </si>
  <si>
    <t>2026-08-07 13:56:48.000 -0300</t>
  </si>
  <si>
    <t>280.29</t>
  </si>
  <si>
    <t>'43260807473735006465550080002152551040142727</t>
  </si>
  <si>
    <t>2026-08-07 13:55:59.000 -0300</t>
  </si>
  <si>
    <t>240.70</t>
  </si>
  <si>
    <t>'41260801975878000105550100000025111767592962</t>
  </si>
  <si>
    <t>2026-08-07 13:52:36.000 -0300</t>
  </si>
  <si>
    <t>424.97</t>
  </si>
  <si>
    <t>'41260879130647000198550030000202091015874676</t>
  </si>
  <si>
    <t>2026-08-07 13:50:37.000 -0300</t>
  </si>
  <si>
    <t>181.56</t>
  </si>
  <si>
    <t>'51260823891404000118550110001315471553830407</t>
  </si>
  <si>
    <t>2026-08-07 13:49:48.000 -0300</t>
  </si>
  <si>
    <t>252.82</t>
  </si>
  <si>
    <t>'43260807473735006031550080000752681017261786</t>
  </si>
  <si>
    <t>2026-08-07 13:48:35.000 -0300</t>
  </si>
  <si>
    <t>260.31</t>
  </si>
  <si>
    <t>'42260882156977000248550010001683801394473763</t>
  </si>
  <si>
    <t>2026-08-07 13:43:50.000 -0300</t>
  </si>
  <si>
    <t>136.65</t>
  </si>
  <si>
    <t>'43260807473735012350550080000048981005137609</t>
  </si>
  <si>
    <t>2026-08-07 13:31:43.000 -0300</t>
  </si>
  <si>
    <t>227.52</t>
  </si>
  <si>
    <t>'43260807473735014646550080000763491023578379</t>
  </si>
  <si>
    <t>2026-08-07 13:29:42.000 -0300</t>
  </si>
  <si>
    <t>256.80</t>
  </si>
  <si>
    <t>'41260827933025000102550090000011361000267133</t>
  </si>
  <si>
    <t>2026-08-07 13:21:00.000 -0300</t>
  </si>
  <si>
    <t>'43260807473735015103550080001108961021985069</t>
  </si>
  <si>
    <t>2026-08-07 13:20:01.000 -0300</t>
  </si>
  <si>
    <t>224.44</t>
  </si>
  <si>
    <t>'41260803626094001330550010000505161272550419</t>
  </si>
  <si>
    <t>2026-08-07 13:17:15.000 -0300</t>
  </si>
  <si>
    <t>267.68</t>
  </si>
  <si>
    <t>'43260807473735019877550080000577101009156605</t>
  </si>
  <si>
    <t>2026-08-07 13:12:01.000 -0300</t>
  </si>
  <si>
    <t>235.58</t>
  </si>
  <si>
    <t>'42260882156977000248550010001683731288393722</t>
  </si>
  <si>
    <t>2026-08-07 13:03:50.000 -0300</t>
  </si>
  <si>
    <t>281.82</t>
  </si>
  <si>
    <t>'41260801975878000105550100000025101178143805</t>
  </si>
  <si>
    <t>2026-08-07 13:02:51.000 -0300</t>
  </si>
  <si>
    <t>138.00</t>
  </si>
  <si>
    <t>'51260826602128000119550010001361231001771164</t>
  </si>
  <si>
    <t>2026-08-07 12:57:33.000 -0300</t>
  </si>
  <si>
    <t>123.90</t>
  </si>
  <si>
    <t>'51260810588554000105550040000339491852803841</t>
  </si>
  <si>
    <t>2026-08-07 12:53:40.000 -0300</t>
  </si>
  <si>
    <t>312.02</t>
  </si>
  <si>
    <t>'52260833360405000190550020000383051008872125</t>
  </si>
  <si>
    <t>2026-08-07 12:53:32.000 -0300</t>
  </si>
  <si>
    <t>243.23</t>
  </si>
  <si>
    <t>'41260827933025000102550090000011351000267128</t>
  </si>
  <si>
    <t>2026-08-07 12:50:04.000 -0300</t>
  </si>
  <si>
    <t>141.98</t>
  </si>
  <si>
    <t>'41260830429333000282550110000408681005135312</t>
  </si>
  <si>
    <t>2026-08-07 12:48:09.000 -0300</t>
  </si>
  <si>
    <t>307.76</t>
  </si>
  <si>
    <t>'43260807473735001587550080000088551016201371</t>
  </si>
  <si>
    <t>264.28</t>
  </si>
  <si>
    <t>'41260801975878000105550100000025091281913560</t>
  </si>
  <si>
    <t>2026-08-07 12:46:16.000 -0300</t>
  </si>
  <si>
    <t>'42260883392050000199550020001294691071546219</t>
  </si>
  <si>
    <t>2026-08-07 12:44:27.000 -0300</t>
  </si>
  <si>
    <t>179.01</t>
  </si>
  <si>
    <t>'41260879964177000168550020002571461015021533</t>
  </si>
  <si>
    <t>2026-08-07 12:43:06.000 -0300</t>
  </si>
  <si>
    <t>102.43</t>
  </si>
  <si>
    <t>'41260827933025000102550090000011341000267112</t>
  </si>
  <si>
    <t>2026-08-07 12:35:18.000 -0300</t>
  </si>
  <si>
    <t>208.22</t>
  </si>
  <si>
    <t>'41260802763612000161550020001629271952956820</t>
  </si>
  <si>
    <t>2026-08-07 12:34:55.000 -0300</t>
  </si>
  <si>
    <t>666.53</t>
  </si>
  <si>
    <t>'42260883392050000199550020001294631071534586</t>
  </si>
  <si>
    <t>2026-08-07 12:33:39.000 -0300</t>
  </si>
  <si>
    <t>377.04</t>
  </si>
  <si>
    <t>'51260808603562000212550050000547171011628752</t>
  </si>
  <si>
    <t>2026-08-07 12:29:22.000 -0300</t>
  </si>
  <si>
    <t>156.20</t>
  </si>
  <si>
    <t>'51260808512459000690550130000104651128969474</t>
  </si>
  <si>
    <t>2026-08-07 12:28:34.000 -0300</t>
  </si>
  <si>
    <t>624.10</t>
  </si>
  <si>
    <t>'41260803680814000102550080000094221246250670</t>
  </si>
  <si>
    <t>2026-08-07 12:26:54.000 -0300</t>
  </si>
  <si>
    <t>27.48</t>
  </si>
  <si>
    <t>'42260820630766000167550040000591941158725397</t>
  </si>
  <si>
    <t>2026-08-07 12:26:36.000 -0300</t>
  </si>
  <si>
    <t>226.82</t>
  </si>
  <si>
    <t>'41260879964177000168550020002571441015021423</t>
  </si>
  <si>
    <t>2026-08-07 12:25:21.000 -0300</t>
  </si>
  <si>
    <t>231.82</t>
  </si>
  <si>
    <t>'42260820630766000167550040000591931113163295</t>
  </si>
  <si>
    <t>2026-08-07 12:20:23.000 -0300</t>
  </si>
  <si>
    <t>594.22</t>
  </si>
  <si>
    <t>'43260807473735015103550080001108851021984409</t>
  </si>
  <si>
    <t>2026-08-07 12:16:08.000 -0300</t>
  </si>
  <si>
    <t>163.08</t>
  </si>
  <si>
    <t>'41260830429333000282550110000408671005135285</t>
  </si>
  <si>
    <t>2026-08-07 12:15:13.000 -0300</t>
  </si>
  <si>
    <t>201.20</t>
  </si>
  <si>
    <t>'43260807473735015103550080001108831021984323</t>
  </si>
  <si>
    <t>2026-08-07 12:13:10.000 -0300</t>
  </si>
  <si>
    <t>186.81</t>
  </si>
  <si>
    <t>'52260842183609000193550540000468631013237496</t>
  </si>
  <si>
    <t>SFM7D72</t>
  </si>
  <si>
    <t>2026-08-07 12:07:27.000 -0300</t>
  </si>
  <si>
    <t>133.80</t>
  </si>
  <si>
    <t>'41260876493295000147550020000287451002750095</t>
  </si>
  <si>
    <t>2026-08-07 12:04:41.000 -0300</t>
  </si>
  <si>
    <t>205.18</t>
  </si>
  <si>
    <t>'43260807473735001587550080000088461016201038</t>
  </si>
  <si>
    <t>2026-08-07 11:54:42.000 -0300</t>
  </si>
  <si>
    <t>685.20</t>
  </si>
  <si>
    <t>'43260807473735000777550080000321301017133171</t>
  </si>
  <si>
    <t>2026-08-07 11:49:08.000 -0300</t>
  </si>
  <si>
    <t>1979.99</t>
  </si>
  <si>
    <t>'41260879964177000591550020008201931011746430</t>
  </si>
  <si>
    <t>2026-08-07 11:47:53.000 -0300</t>
  </si>
  <si>
    <t>247.45</t>
  </si>
  <si>
    <t>'42260823448964001921550070001790511754180745</t>
  </si>
  <si>
    <t>2026-08-07 11:33:33.000 -0300</t>
  </si>
  <si>
    <t>39.24</t>
  </si>
  <si>
    <t>'41260802763612000161550020001629171774128148</t>
  </si>
  <si>
    <t>2026-08-07 11:32:40.000 -0300</t>
  </si>
  <si>
    <t>835.11</t>
  </si>
  <si>
    <t>'41260802763612000161550020001629161578312074</t>
  </si>
  <si>
    <t>2026-08-07 11:32:24.000 -0300</t>
  </si>
  <si>
    <t>156.55</t>
  </si>
  <si>
    <t>'51260822611652000103550010001716721020270571</t>
  </si>
  <si>
    <t>2026-08-07 11:31:48.000 -0300</t>
  </si>
  <si>
    <t>XANXERE AV. BRASIL - FILIAL 41 - REDE TRADICAO</t>
  </si>
  <si>
    <t>277.77</t>
  </si>
  <si>
    <t>'42260837435735001391551820000010201422201380</t>
  </si>
  <si>
    <t>2026-08-07 11:30:33.000 -0300</t>
  </si>
  <si>
    <t>276.36</t>
  </si>
  <si>
    <t>'41260803626094001330550010000505121195222654</t>
  </si>
  <si>
    <t>2026-08-07 11:27:43.000 -0300</t>
  </si>
  <si>
    <t>67.47</t>
  </si>
  <si>
    <t>'52260827098262000197550040000085651126248414</t>
  </si>
  <si>
    <t>2026-08-07 11:23:19.000 -0300</t>
  </si>
  <si>
    <t>247.01</t>
  </si>
  <si>
    <t>'41260801975878000105550100000025081695610085</t>
  </si>
  <si>
    <t>2026-08-07 11:10:45.000 -0300</t>
  </si>
  <si>
    <t>17.45</t>
  </si>
  <si>
    <t>'41260879130647000198550030000202081015873176</t>
  </si>
  <si>
    <t>2026-08-07 11:08:33.000 -0300</t>
  </si>
  <si>
    <t>214.49</t>
  </si>
  <si>
    <t>'41260879130647000198550030000202071015873136</t>
  </si>
  <si>
    <t>2026-08-07 11:06:14.000 -0300</t>
  </si>
  <si>
    <t>410.04</t>
  </si>
  <si>
    <t>410.03</t>
  </si>
  <si>
    <t>'42260801172040000183550030000527731009877334</t>
  </si>
  <si>
    <t>2026-08-07 10:50:45.000 -0300</t>
  </si>
  <si>
    <t>'42260878253424000155550010000381461000752930</t>
  </si>
  <si>
    <t>2026-08-07 10:49:11.000 -0300</t>
  </si>
  <si>
    <t>27.60</t>
  </si>
  <si>
    <t>248.82</t>
  </si>
  <si>
    <t>'35260806068493000188550010002639811001794521</t>
  </si>
  <si>
    <t>2026-08-07 10:48:13.000 -0300</t>
  </si>
  <si>
    <t>221.22</t>
  </si>
  <si>
    <t>2026-08-07 10:47:16.000 -0300</t>
  </si>
  <si>
    <t>306.54</t>
  </si>
  <si>
    <t>'52260858446194000133550010003715451983246879</t>
  </si>
  <si>
    <t>2026-08-07 10:46:48.000 -0300</t>
  </si>
  <si>
    <t>278.51</t>
  </si>
  <si>
    <t>'41260803626094001330550010000505111418132318</t>
  </si>
  <si>
    <t>2026-08-07 10:34:18.000 -0300</t>
  </si>
  <si>
    <t>675.47</t>
  </si>
  <si>
    <t>675.48</t>
  </si>
  <si>
    <t>'52260801272434001002550020000812641414801418</t>
  </si>
  <si>
    <t>2026-08-07 10:28:55.000 -0300</t>
  </si>
  <si>
    <t>36.19</t>
  </si>
  <si>
    <t>'42260882156977000248550010001683511746390832</t>
  </si>
  <si>
    <t>2026-08-07 10:28:08.000 -0300</t>
  </si>
  <si>
    <t>524.93</t>
  </si>
  <si>
    <t>'42260882156977000248550010001683501624314921</t>
  </si>
  <si>
    <t>2026-08-07 10:24:23.000 -0300</t>
  </si>
  <si>
    <t>336.85</t>
  </si>
  <si>
    <t>'52260802651099000117550050002870321113134782</t>
  </si>
  <si>
    <t>2026-08-07 10:16:48.000 -0300</t>
  </si>
  <si>
    <t>11.71</t>
  </si>
  <si>
    <t>'43260807473735006031550080000752411017259974</t>
  </si>
  <si>
    <t>2026-08-07 10:16:25.000 -0300</t>
  </si>
  <si>
    <t>146.75</t>
  </si>
  <si>
    <t>'43260807473735015103550080001108741021983247</t>
  </si>
  <si>
    <t>2026-08-07 10:14:43.000 -0300</t>
  </si>
  <si>
    <t>310.89</t>
  </si>
  <si>
    <t>'43260807473735018552550080000562391011983532</t>
  </si>
  <si>
    <t>2026-08-07 10:14:29.000 -0300</t>
  </si>
  <si>
    <t>244.54</t>
  </si>
  <si>
    <t>'43260807473735006031550080000752401017259926</t>
  </si>
  <si>
    <t>2026-08-07 10:10:37.000 -0300</t>
  </si>
  <si>
    <t>833.59</t>
  </si>
  <si>
    <t>'43260807473735015103550080001108721021983153</t>
  </si>
  <si>
    <t>2026-08-07 10:10:24.000 -0300</t>
  </si>
  <si>
    <t>'52260802162964000161550020000677901046028975</t>
  </si>
  <si>
    <t>2026-08-07 10:07:06.000 -0300</t>
  </si>
  <si>
    <t>474.37</t>
  </si>
  <si>
    <t>'51260803623054000282550010033828441013415422</t>
  </si>
  <si>
    <t>2026-08-07 10:06:03.000 -0300</t>
  </si>
  <si>
    <t>105.30</t>
  </si>
  <si>
    <t>'51260854494203000100550000000158431003134914</t>
  </si>
  <si>
    <t>2026-08-07 09:57:25.000 -0300</t>
  </si>
  <si>
    <t>202.07</t>
  </si>
  <si>
    <t>'42260823448964001921550070001790201902079803</t>
  </si>
  <si>
    <t>2026-08-07 09:53:18.000 -0300</t>
  </si>
  <si>
    <t>235.93</t>
  </si>
  <si>
    <t>'41260879964177000168550020002571271015020353</t>
  </si>
  <si>
    <t>2026-08-07 09:45:12.000 -0300</t>
  </si>
  <si>
    <t>283.84</t>
  </si>
  <si>
    <t>'42260804308884000520550020000354101002894301</t>
  </si>
  <si>
    <t>2026-08-07 09:31:50.000 -0300</t>
  </si>
  <si>
    <t>473.07</t>
  </si>
  <si>
    <t>'51260850128357000128550050001445861020184456</t>
  </si>
  <si>
    <t>2026-08-07 09:27:33.000 -0300</t>
  </si>
  <si>
    <t>233.19</t>
  </si>
  <si>
    <t>2026-08-07 09:26:44.000 -0300</t>
  </si>
  <si>
    <t>'52260847377960000139550010001130421540983946</t>
  </si>
  <si>
    <t>2026-08-07 09:23:28.000 -0300</t>
  </si>
  <si>
    <t>101.37</t>
  </si>
  <si>
    <t>'51260810588554000105550040000339391321996308</t>
  </si>
  <si>
    <t>2026-08-07 09:20:17.000 -0300</t>
  </si>
  <si>
    <t>423.90</t>
  </si>
  <si>
    <t>'53260807822636000168550020000041481017888060</t>
  </si>
  <si>
    <t>2026-08-07 09:07:03.000 -0300</t>
  </si>
  <si>
    <t>POSTO BUGRENSE</t>
  </si>
  <si>
    <t>85.94</t>
  </si>
  <si>
    <t>'51260832962458000118550100001903741071118223</t>
  </si>
  <si>
    <t>SFJ4D50</t>
  </si>
  <si>
    <t>2026-08-07 09:03:29.000 -0300</t>
  </si>
  <si>
    <t>72.04</t>
  </si>
  <si>
    <t>'51260810588554000105550040000339381257297850</t>
  </si>
  <si>
    <t>2026-08-07 09:01:14.000 -0300</t>
  </si>
  <si>
    <t>SIM REDE - SAO SEBASTIAO DO CAI RETRO 0130-40 - METROPOLITANA / SERRA</t>
  </si>
  <si>
    <t>577.02</t>
  </si>
  <si>
    <t>'43260807473735013240550080000376031033822834</t>
  </si>
  <si>
    <t>2026-08-07 08:57:19.000 -0300</t>
  </si>
  <si>
    <t>134.81</t>
  </si>
  <si>
    <t>'51260809663620000185550070000929581537370310</t>
  </si>
  <si>
    <t>2026-08-07 08:50:36.000 -0300</t>
  </si>
  <si>
    <t>203.04</t>
  </si>
  <si>
    <t>'43260807473735006031550080000752321017259428</t>
  </si>
  <si>
    <t>2026-08-07 08:48:23.000 -0300</t>
  </si>
  <si>
    <t>262.17</t>
  </si>
  <si>
    <t>'42260882156977000248550010001683391510950090</t>
  </si>
  <si>
    <t>2026-08-07 08:40:47.000 -0300</t>
  </si>
  <si>
    <t>172.25</t>
  </si>
  <si>
    <t>'52260802310460000141550010000537611554798627</t>
  </si>
  <si>
    <t>2026-08-07 08:30:39.000 -0300</t>
  </si>
  <si>
    <t>236.43</t>
  </si>
  <si>
    <t>'35260829127799000163550010001171921000636977</t>
  </si>
  <si>
    <t>2026-08-07 08:23:24.000 -0300</t>
  </si>
  <si>
    <t>SIM REDE - MONTENEGRO 0213-40 - METROPOLITANA / SERRA</t>
  </si>
  <si>
    <t>295.61</t>
  </si>
  <si>
    <t>2026-08-07 08:14:13.000 -0300</t>
  </si>
  <si>
    <t>231.05</t>
  </si>
  <si>
    <t>'41260833286065000102550100000042841014187620</t>
  </si>
  <si>
    <t>2026-08-07 08:13:58.000 -0300</t>
  </si>
  <si>
    <t>760.18</t>
  </si>
  <si>
    <t>'41260879964177000591550020008201591011745785</t>
  </si>
  <si>
    <t>2026-08-07 08:08:52.000 -0300</t>
  </si>
  <si>
    <t>305.57</t>
  </si>
  <si>
    <t>2026-08-07 07:54:18.000 -0300</t>
  </si>
  <si>
    <t>1065.53</t>
  </si>
  <si>
    <t>'41260833286065000102550100000042831014187436</t>
  </si>
  <si>
    <t>2026-08-07 07:53:04.000 -0300</t>
  </si>
  <si>
    <t>30.56</t>
  </si>
  <si>
    <t>'41260833286065000102550100000042821014187420</t>
  </si>
  <si>
    <t>2026-08-07 07:48:39.000 -0300</t>
  </si>
  <si>
    <t>99.72</t>
  </si>
  <si>
    <t>'43260807473735018200550080000740831014622076</t>
  </si>
  <si>
    <t>2026-08-07 07:45:42.000 -0300</t>
  </si>
  <si>
    <t>1044.34</t>
  </si>
  <si>
    <t>'43260807473735018200550080000740821014622001</t>
  </si>
  <si>
    <t>2026-08-07 07:43:27.000 -0300</t>
  </si>
  <si>
    <t>244.20</t>
  </si>
  <si>
    <t>'52260837489429000102550010000044131174690927</t>
  </si>
  <si>
    <t>2026-08-07 07:43:19.000 -0300</t>
  </si>
  <si>
    <t>54.46</t>
  </si>
  <si>
    <t>'42260804308884000520550020000354051002893283</t>
  </si>
  <si>
    <t>2026-08-07 07:37:11.000 -0300</t>
  </si>
  <si>
    <t>2198.99</t>
  </si>
  <si>
    <t>'42260804308884000520550020000354031002893246</t>
  </si>
  <si>
    <t>2026-08-07 07:37:08.000 -0300</t>
  </si>
  <si>
    <t>462.22</t>
  </si>
  <si>
    <t>'41260827933025000102550090000011331000267107</t>
  </si>
  <si>
    <t>2026-08-07 07:35:10.000 -0300</t>
  </si>
  <si>
    <t>1386.14</t>
  </si>
  <si>
    <t>'41260833286065000102550100000042801014187256</t>
  </si>
  <si>
    <t>2026-08-07 07:33:56.000 -0300</t>
  </si>
  <si>
    <t>35.95</t>
  </si>
  <si>
    <t>'41260833286065000102550100000042791014187247</t>
  </si>
  <si>
    <t>2026-08-07 07:28:11.000 -0300</t>
  </si>
  <si>
    <t>81.90</t>
  </si>
  <si>
    <t>'51260823891404000118550110001315041899646933</t>
  </si>
  <si>
    <t>2026-08-07 07:20:20.000 -0300</t>
  </si>
  <si>
    <t>1628.43</t>
  </si>
  <si>
    <t>'42260882156977000248550010001683261528905641</t>
  </si>
  <si>
    <t>2026-08-07 07:20:17.000 -0300</t>
  </si>
  <si>
    <t>153.00</t>
  </si>
  <si>
    <t>'51260808512459000186550110000304441300089040</t>
  </si>
  <si>
    <t>2026-08-07 07:15:20.000 -0300</t>
  </si>
  <si>
    <t>127.64</t>
  </si>
  <si>
    <t>'41260830429333000282550110000407731005122762</t>
  </si>
  <si>
    <t>2026-08-07 07:14:50.000 -0300</t>
  </si>
  <si>
    <t>210.03</t>
  </si>
  <si>
    <t>2026-08-07 07:03:07.000 -0300</t>
  </si>
  <si>
    <t>502.94</t>
  </si>
  <si>
    <t>'43260807473735015375550080000268181009966006</t>
  </si>
  <si>
    <t>2026-08-07 07:03:05.000 -0300</t>
  </si>
  <si>
    <t>40.96</t>
  </si>
  <si>
    <t>'41260833286065000102550100000042741014186996</t>
  </si>
  <si>
    <t>2026-08-07 07:01:56.000 -0300</t>
  </si>
  <si>
    <t>940.69</t>
  </si>
  <si>
    <t>'41260833286065000102550100000042731014186980</t>
  </si>
  <si>
    <t>2026-08-07 06:57:51.000 -0300</t>
  </si>
  <si>
    <t>372.18</t>
  </si>
  <si>
    <t>'43260807473735014999550080000428441048888444</t>
  </si>
  <si>
    <t>2026-08-07 06:52:30.000 -0300</t>
  </si>
  <si>
    <t>199.84</t>
  </si>
  <si>
    <t>'41260833286065000102550100000042721014186894</t>
  </si>
  <si>
    <t>2026-08-07 06:52:04.000 -0300</t>
  </si>
  <si>
    <t>10.62</t>
  </si>
  <si>
    <t>'41260837607755000169550110000105551003743025</t>
  </si>
  <si>
    <t>2026-08-07 06:49:50.000 -0300</t>
  </si>
  <si>
    <t>520.58</t>
  </si>
  <si>
    <t>'41260837607755000169550110000105541003743010</t>
  </si>
  <si>
    <t>2026-08-07 06:43:26.000 -0300</t>
  </si>
  <si>
    <t>193.01</t>
  </si>
  <si>
    <t>'41260802763612000161550020001628914202868380</t>
  </si>
  <si>
    <t>2026-08-07 06:38:06.000 -0300</t>
  </si>
  <si>
    <t>138.24</t>
  </si>
  <si>
    <t>'41260830429333000282550110000407521005121375</t>
  </si>
  <si>
    <t>2026-08-07 06:22:53.000 -0300</t>
  </si>
  <si>
    <t>168.25</t>
  </si>
  <si>
    <t>'41260837607755000169550110000105491003742854</t>
  </si>
  <si>
    <t>2026-08-07 06:20:23.000 -0300</t>
  </si>
  <si>
    <t>262.03</t>
  </si>
  <si>
    <t>'52260847377960000139550010001130231540797977</t>
  </si>
  <si>
    <t>2026-08-07 06:17:33.000 -0300</t>
  </si>
  <si>
    <t>335.52</t>
  </si>
  <si>
    <t>'17260804985282000184550030000055711476019430</t>
  </si>
  <si>
    <t>2026-08-07 06:13:25.000 -0300</t>
  </si>
  <si>
    <t>299.75</t>
  </si>
  <si>
    <t>2026-08-07 06:08:39.000 -0300</t>
  </si>
  <si>
    <t>275.09</t>
  </si>
  <si>
    <t>'41260801975878000105550100000025061395105909</t>
  </si>
  <si>
    <t>2026-08-07 06:05:44.000 -0300</t>
  </si>
  <si>
    <t>146.67</t>
  </si>
  <si>
    <t>'51260805218335000102550010002978721546687610</t>
  </si>
  <si>
    <t>2026-08-07 05:58:55.000 -0300</t>
  </si>
  <si>
    <t>134.60</t>
  </si>
  <si>
    <t>'52260801272434001002550020000812241846155203</t>
  </si>
  <si>
    <t>2026-08-07 05:57:47.000 -0300</t>
  </si>
  <si>
    <t>2758.56</t>
  </si>
  <si>
    <t>'41260879964177000591550020008201401011745414</t>
  </si>
  <si>
    <t>2026-08-07 05:54:11.000 -0300</t>
  </si>
  <si>
    <t>203.02</t>
  </si>
  <si>
    <t>'42260823448964001921550070001789721025179574</t>
  </si>
  <si>
    <t>2026-08-07 05:52:16.000 -0300</t>
  </si>
  <si>
    <t>228.55</t>
  </si>
  <si>
    <t>'42260827643038000139550010000609701070852203</t>
  </si>
  <si>
    <t>2026-08-07 05:49:54.000 -0300</t>
  </si>
  <si>
    <t>194.80</t>
  </si>
  <si>
    <t>'43260807473735013593550080000455771015195093</t>
  </si>
  <si>
    <t>2026-08-07 05:45:33.000 -0300</t>
  </si>
  <si>
    <t>'50260824601882000109550010000915291022946014</t>
  </si>
  <si>
    <t>2026-08-07 05:40:45.000 -0300</t>
  </si>
  <si>
    <t>152.47</t>
  </si>
  <si>
    <t>'42260883392050000199550020001293601070840481</t>
  </si>
  <si>
    <t>2026-08-07 05:39:31.000 -0300</t>
  </si>
  <si>
    <t>'42260883392050000199550020001293591070839334</t>
  </si>
  <si>
    <t>2026-08-07 05:36:43.000 -0300</t>
  </si>
  <si>
    <t>176.65</t>
  </si>
  <si>
    <t>'41260830429333000282550110000407511005121343</t>
  </si>
  <si>
    <t>2026-08-07 05:32:59.000 -0300</t>
  </si>
  <si>
    <t>390.20</t>
  </si>
  <si>
    <t>'42260881326258000770550010001011661003895773</t>
  </si>
  <si>
    <t>2026-08-07 05:31:11.000 -0300</t>
  </si>
  <si>
    <t>241.64</t>
  </si>
  <si>
    <t>241.63</t>
  </si>
  <si>
    <t>'53260807822636000168550020000041421017885904</t>
  </si>
  <si>
    <t>2026-08-07 05:29:38.000 -0300</t>
  </si>
  <si>
    <t>245.52</t>
  </si>
  <si>
    <t>'42260883392050000199550020001293581070829447</t>
  </si>
  <si>
    <t>2026-08-07 05:25:29.000 -0300</t>
  </si>
  <si>
    <t>322.91</t>
  </si>
  <si>
    <t>'52260800148072000180550010001249621017451212</t>
  </si>
  <si>
    <t>2026-08-07 05:24:06.000 -0300</t>
  </si>
  <si>
    <t>139.05</t>
  </si>
  <si>
    <t>'41260837607755000169550110000105481003742652</t>
  </si>
  <si>
    <t>2026-08-07 05:18:57.000 -0300</t>
  </si>
  <si>
    <t>208.19</t>
  </si>
  <si>
    <t>'41260833286065000102550040000104001014186220</t>
  </si>
  <si>
    <t>2026-08-07 05:16:45.000 -0300</t>
  </si>
  <si>
    <t>293.36</t>
  </si>
  <si>
    <t>'51260822611652000286550010003233361020269958</t>
  </si>
  <si>
    <t>2026-08-07 05:15:58.000 -0300</t>
  </si>
  <si>
    <t>426.42</t>
  </si>
  <si>
    <t>'51260809380191000139550120000443891544560411</t>
  </si>
  <si>
    <t>2026-08-07 05:15:16.000 -0300</t>
  </si>
  <si>
    <t>169.39</t>
  </si>
  <si>
    <t>'42260823448964001921550070001789561077599015</t>
  </si>
  <si>
    <t>2026-08-07 05:13:28.000 -0300</t>
  </si>
  <si>
    <t>95.18</t>
  </si>
  <si>
    <t>'43260807473735015103550080001108321021980043</t>
  </si>
  <si>
    <t>2026-08-07 05:11:17.000 -0300</t>
  </si>
  <si>
    <t>2212.92</t>
  </si>
  <si>
    <t>2212.93</t>
  </si>
  <si>
    <t>'41260879964177000591550020008201291011745212</t>
  </si>
  <si>
    <t>2026-08-07 05:04:41.000 -0300</t>
  </si>
  <si>
    <t>394.10</t>
  </si>
  <si>
    <t>394.09</t>
  </si>
  <si>
    <t>'41260879964177000591550020008201271011745196</t>
  </si>
  <si>
    <t>2026-08-07 04:52:24.000 -0300</t>
  </si>
  <si>
    <t>89.59</t>
  </si>
  <si>
    <t>'51260832962458000118550100001903351070654255</t>
  </si>
  <si>
    <t>2026-08-07 04:51:57.000 -0300</t>
  </si>
  <si>
    <t>11.97</t>
  </si>
  <si>
    <t>'42260823448964001921550070001789491081393103</t>
  </si>
  <si>
    <t>2026-08-07 04:50:44.000 -0300</t>
  </si>
  <si>
    <t>228.67</t>
  </si>
  <si>
    <t>'42260823448964001921550070001789481437877389</t>
  </si>
  <si>
    <t>2026-08-07 04:48:24.000 -0300</t>
  </si>
  <si>
    <t>981.13</t>
  </si>
  <si>
    <t>'35260845587003000101550010003159091004644077</t>
  </si>
  <si>
    <t>2026-08-07 04:47:44.000 -0300</t>
  </si>
  <si>
    <t>306.32</t>
  </si>
  <si>
    <t>306.31</t>
  </si>
  <si>
    <t>'53260807822636000168550020000041411017885370</t>
  </si>
  <si>
    <t>2026-08-07 04:45:38.000 -0300</t>
  </si>
  <si>
    <t>171.88</t>
  </si>
  <si>
    <t>2026-08-07 04:45:00.000 -0300</t>
  </si>
  <si>
    <t>255.10</t>
  </si>
  <si>
    <t>'50260802322969000104550020000159121003433771</t>
  </si>
  <si>
    <t>2026-08-07 04:43:55.000 -0300</t>
  </si>
  <si>
    <t>228.03</t>
  </si>
  <si>
    <t>'43260807473735022312550080000136801004729529</t>
  </si>
  <si>
    <t>2026-08-07 04:32:33.000 -0300</t>
  </si>
  <si>
    <t>158.02</t>
  </si>
  <si>
    <t>'42260814631967000186550020000475031070732389</t>
  </si>
  <si>
    <t>2026-08-07 04:29:46.000 -0300</t>
  </si>
  <si>
    <t>169.33</t>
  </si>
  <si>
    <t>'42260823448964001921550070001789401828371183</t>
  </si>
  <si>
    <t>2026-08-07 04:29:38.000 -0300</t>
  </si>
  <si>
    <t>116.29</t>
  </si>
  <si>
    <t>'41260803626094001330550010000505081955866650</t>
  </si>
  <si>
    <t>2026-08-07 04:27:45.000 -0300</t>
  </si>
  <si>
    <t>284.42</t>
  </si>
  <si>
    <t>'42260823448964001921550070001789381078858881</t>
  </si>
  <si>
    <t>2026-08-07 04:20:44.000 -0300</t>
  </si>
  <si>
    <t>117.45</t>
  </si>
  <si>
    <t>'43260807473735015103550080001108251021979474</t>
  </si>
  <si>
    <t>2026-08-07 04:19:30.000 -0300</t>
  </si>
  <si>
    <t>43.89</t>
  </si>
  <si>
    <t>'42260823448964001921550070001789331625422749</t>
  </si>
  <si>
    <t>2026-08-07 04:18:38.000 -0300</t>
  </si>
  <si>
    <t>1839.06</t>
  </si>
  <si>
    <t>'41260879964177000591550020008201211011745087</t>
  </si>
  <si>
    <t>2026-08-07 04:18:33.000 -0300</t>
  </si>
  <si>
    <t>596.03</t>
  </si>
  <si>
    <t>'42260823448964001921550070001789321611339316</t>
  </si>
  <si>
    <t>2026-08-07 04:18:30.000 -0300</t>
  </si>
  <si>
    <t>164.81</t>
  </si>
  <si>
    <t>'51260814948822000103550020001547701070719193</t>
  </si>
  <si>
    <t>2026-08-07 04:05:44.000 -0300</t>
  </si>
  <si>
    <t>'43260807473735015103550080001108221021979359</t>
  </si>
  <si>
    <t>2026-08-07 03:49:39.000 -0300</t>
  </si>
  <si>
    <t>230.10</t>
  </si>
  <si>
    <t>'43260807473735018552550080000562001011979883</t>
  </si>
  <si>
    <t>2026-08-07 03:46:52.000 -0300</t>
  </si>
  <si>
    <t>226.17</t>
  </si>
  <si>
    <t>'42260881326258000770550010001011581003894821</t>
  </si>
  <si>
    <t>2026-08-07 03:35:48.000 -0300</t>
  </si>
  <si>
    <t>142.44</t>
  </si>
  <si>
    <t>142.43</t>
  </si>
  <si>
    <t>'41260801975878000105550100000025051401312292</t>
  </si>
  <si>
    <t>SDR9E15</t>
  </si>
  <si>
    <t>2026-08-07 03:12:51.000 -0300</t>
  </si>
  <si>
    <t>307.58</t>
  </si>
  <si>
    <t>307.57</t>
  </si>
  <si>
    <t>'53260807822636000168550020000041401017884695</t>
  </si>
  <si>
    <t>2026-08-07 03:10:10.000 -0300</t>
  </si>
  <si>
    <t>2182.28</t>
  </si>
  <si>
    <t>'41260879964177000591550020008201141011744892</t>
  </si>
  <si>
    <t>2026-08-07 03:06:49.000 -0300</t>
  </si>
  <si>
    <t>232.93</t>
  </si>
  <si>
    <t>'41260879130647000198550050000167951015868244</t>
  </si>
  <si>
    <t>2026-08-07 02:58:20.000 -0300</t>
  </si>
  <si>
    <t>146.18</t>
  </si>
  <si>
    <t>146.19</t>
  </si>
  <si>
    <t>'42260804308884000520550030000020471104986175</t>
  </si>
  <si>
    <t>2026-08-07 02:57:16.000 -0300</t>
  </si>
  <si>
    <t>217.14</t>
  </si>
  <si>
    <t>'41260803626094001330550010000505071505110131</t>
  </si>
  <si>
    <t>2026-08-07 02:48:41.000 -0300</t>
  </si>
  <si>
    <t>51.22</t>
  </si>
  <si>
    <t>'43260807473735017661550080000885061019066167</t>
  </si>
  <si>
    <t>2026-08-07 02:46:35.000 -0300</t>
  </si>
  <si>
    <t>581.54</t>
  </si>
  <si>
    <t>'43260807473735017661550080000885051019066143</t>
  </si>
  <si>
    <t>2026-08-07 02:21:53.000 -0300</t>
  </si>
  <si>
    <t>POSTO TARTARUGAS - GRUPO GISA</t>
  </si>
  <si>
    <t>281.25</t>
  </si>
  <si>
    <t>'41260880786031000159550200000011021609498796</t>
  </si>
  <si>
    <t>2026-08-07 02:18:18.000 -0300</t>
  </si>
  <si>
    <t>212.87</t>
  </si>
  <si>
    <t>'35260805065447000162550060003732561006152464</t>
  </si>
  <si>
    <t>2026-08-07 02:09:08.000 -0300</t>
  </si>
  <si>
    <t>'43260807473735015103550080001108151021978714</t>
  </si>
  <si>
    <t>2026-08-07 01:07:54.000 -0300</t>
  </si>
  <si>
    <t>290.83</t>
  </si>
  <si>
    <t>'31260824187119000183550540003112501453530888</t>
  </si>
  <si>
    <t>2026-08-07 00:11:42.000 -0300</t>
  </si>
  <si>
    <t>324.06</t>
  </si>
  <si>
    <t>'50260826416003000102550020000488151937466291</t>
  </si>
  <si>
    <t>2026-08-07 00:06:49.000 -0300</t>
  </si>
  <si>
    <t>388.18</t>
  </si>
  <si>
    <t>'51260850128357000128550050001444961020178171</t>
  </si>
  <si>
    <t>2026-08-06 22:41:28.000 -0300</t>
  </si>
  <si>
    <t>1224.61</t>
  </si>
  <si>
    <t>'35260854052204000103550020005615771006950316</t>
  </si>
  <si>
    <t>2026-08-06 22:35:59.000 -0300</t>
  </si>
  <si>
    <t>'35260827751075017640550040000009701000695506</t>
  </si>
  <si>
    <t>2026-08-06 21:38:33.000 -0300</t>
  </si>
  <si>
    <t>48.61</t>
  </si>
  <si>
    <t>'43260807473735017661550080000884881019064792</t>
  </si>
  <si>
    <t>2026-08-06 21:36:01.000 -0300</t>
  </si>
  <si>
    <t>533.46</t>
  </si>
  <si>
    <t>'43260807473735017661550080000884871019064779</t>
  </si>
  <si>
    <t>2026-08-06 20:49:47.000 -0300</t>
  </si>
  <si>
    <t>280.98</t>
  </si>
  <si>
    <t>'52260833360405000190550020000383041008869950</t>
  </si>
  <si>
    <t>2026-08-06 20:04:34.000 -0300</t>
  </si>
  <si>
    <t>307.97</t>
  </si>
  <si>
    <t>'41260879964177000591550020008200871011744389</t>
  </si>
  <si>
    <t>2026-08-06 20:02:19.000 -0300</t>
  </si>
  <si>
    <t>369.34</t>
  </si>
  <si>
    <t>'35260827751075017640550040000009681000695060</t>
  </si>
  <si>
    <t>2026-08-06 19:52:52.000 -0300</t>
  </si>
  <si>
    <t>'52260833360405000190550020000383031008869758</t>
  </si>
  <si>
    <t>2026-08-06 19:37:09.000 -0300</t>
  </si>
  <si>
    <t>765.27</t>
  </si>
  <si>
    <t>'41260802763612000161550020001628884328547412</t>
  </si>
  <si>
    <t>2026-08-06 19:27:15.000 -0300</t>
  </si>
  <si>
    <t>276.51</t>
  </si>
  <si>
    <t>'35260842733072000198550080000052941522269456</t>
  </si>
  <si>
    <t>2026-08-06 19:11:36.000 -0300</t>
  </si>
  <si>
    <t>272.38</t>
  </si>
  <si>
    <t>'35260855973291000196550030010502041018328161</t>
  </si>
  <si>
    <t>2026-08-06 18:50:39.000 -0300</t>
  </si>
  <si>
    <t>1349.62</t>
  </si>
  <si>
    <t>'43260893489243007471550080000044211232201495</t>
  </si>
  <si>
    <t>2026-08-06 18:48:54.000 -0300</t>
  </si>
  <si>
    <t>664.43</t>
  </si>
  <si>
    <t>'41260879964177000591550020008200731011744111</t>
  </si>
  <si>
    <t>2026-08-06 18:20:33.000 -0300</t>
  </si>
  <si>
    <t>199.56</t>
  </si>
  <si>
    <t>'35260805065447000162550060003732141006150755</t>
  </si>
  <si>
    <t>2026-08-06 18:06:47.000 -0300</t>
  </si>
  <si>
    <t>350.94</t>
  </si>
  <si>
    <t>'41260879964177000591550020008200681011743999</t>
  </si>
  <si>
    <t>2026-08-06 17:47:52.000 -0300</t>
  </si>
  <si>
    <t>293.32</t>
  </si>
  <si>
    <t>'43260807473735015103550080001107931021976399</t>
  </si>
  <si>
    <t>2026-08-06 17:29:50.000 -0300</t>
  </si>
  <si>
    <t>191.41</t>
  </si>
  <si>
    <t>'51260854494203000100550000000158531003135020</t>
  </si>
  <si>
    <t>2026-08-06 17:27:12.000 -0300</t>
  </si>
  <si>
    <t>255.75</t>
  </si>
  <si>
    <t>'17260804219621000111550010000990451610762778</t>
  </si>
  <si>
    <t>2026-08-06 17:25:16.000 -0300</t>
  </si>
  <si>
    <t>1600.66</t>
  </si>
  <si>
    <t>'41260879964177000591550020008200601011743877</t>
  </si>
  <si>
    <t>2026-08-06 17:10:15.000 -0300</t>
  </si>
  <si>
    <t>2420.73</t>
  </si>
  <si>
    <t>'42260883392050000199550020001292881062010195</t>
  </si>
  <si>
    <t>2026-08-06 17:05:44.000 -0300</t>
  </si>
  <si>
    <t>492.07</t>
  </si>
  <si>
    <t>'41260876493295000147550020000286541002744250</t>
  </si>
  <si>
    <t>2026-08-06 16:50:20.000 -0300</t>
  </si>
  <si>
    <t>312.99</t>
  </si>
  <si>
    <t>'41260802763612000161550020001628844821041009</t>
  </si>
  <si>
    <t>2026-08-06 16:40:43.000 -0300</t>
  </si>
  <si>
    <t>370.64</t>
  </si>
  <si>
    <t>'41260833286065000102550040000103891014183923</t>
  </si>
  <si>
    <t>2026-08-06 16:37:00.000 -0300</t>
  </si>
  <si>
    <t>118.83</t>
  </si>
  <si>
    <t>'51260808603562001103550080000018101303606990</t>
  </si>
  <si>
    <t>2026-08-06 16:32:53.000 -0300</t>
  </si>
  <si>
    <t>438.07</t>
  </si>
  <si>
    <t>'50260801550726000160550030000166931110756444</t>
  </si>
  <si>
    <t>2026-08-06 16:31:36.000 -0300</t>
  </si>
  <si>
    <t>312.52</t>
  </si>
  <si>
    <t>'52260801272434001002550020000812081195809266</t>
  </si>
  <si>
    <t>2026-08-06 16:28:45.000 -0300</t>
  </si>
  <si>
    <t>402.86</t>
  </si>
  <si>
    <t>402.85</t>
  </si>
  <si>
    <t>'50260830432373000100550030000241671003275776</t>
  </si>
  <si>
    <t>2026-08-06 16:21:21.000 -0300</t>
  </si>
  <si>
    <t>219.62</t>
  </si>
  <si>
    <t>'42260882156977000248550010001682841901888725</t>
  </si>
  <si>
    <t>2026-08-06 16:15:46.000 -0300</t>
  </si>
  <si>
    <t>407.59</t>
  </si>
  <si>
    <t>'41260876493295000147550020000286471002743926</t>
  </si>
  <si>
    <t>2026-08-06 15:56:01.000 -0300</t>
  </si>
  <si>
    <t>668.20</t>
  </si>
  <si>
    <t>668.19</t>
  </si>
  <si>
    <t>'35260844746308000156550010000208681002814147</t>
  </si>
  <si>
    <t>2026-08-06 15:53:31.000 -0300</t>
  </si>
  <si>
    <t>248.03</t>
  </si>
  <si>
    <t>'41260802763612000161550020001628794487887960</t>
  </si>
  <si>
    <t>2026-08-06 15:51:32.000 -0300</t>
  </si>
  <si>
    <t>21.39</t>
  </si>
  <si>
    <t>'42260882156977000248550010001682791261110078</t>
  </si>
  <si>
    <t>2026-08-06 15:50:21.000 -0300</t>
  </si>
  <si>
    <t>'42260882156977000248550010001682781667619495</t>
  </si>
  <si>
    <t>2026-08-06 15:49:00.000 -0300</t>
  </si>
  <si>
    <t>500.18</t>
  </si>
  <si>
    <t>'43260807473735006031550080000751771017255224</t>
  </si>
  <si>
    <t>2026-08-06 15:35:29.000 -0300</t>
  </si>
  <si>
    <t>301.18</t>
  </si>
  <si>
    <t>'52260833360405000190550020000383021008868940</t>
  </si>
  <si>
    <t>2026-08-06 15:30:38.000 -0300</t>
  </si>
  <si>
    <t>279.82</t>
  </si>
  <si>
    <t>'43260807473735019877550080000576271009151087</t>
  </si>
  <si>
    <t>2026-08-06 15:30:22.000 -0300</t>
  </si>
  <si>
    <t>273.97</t>
  </si>
  <si>
    <t>'42260882156977000248550010001682741805865586</t>
  </si>
  <si>
    <t>2026-08-06 15:25:07.000 -0300</t>
  </si>
  <si>
    <t>303.24</t>
  </si>
  <si>
    <t>'52260801272434001002550020000812061632360312</t>
  </si>
  <si>
    <t>2026-08-06 15:23:56.000 -0300</t>
  </si>
  <si>
    <t>420.17</t>
  </si>
  <si>
    <t>'41260801975878000105550100000025041728998134</t>
  </si>
  <si>
    <t>2026-08-06 15:21:40.000 -0300</t>
  </si>
  <si>
    <t>158.38</t>
  </si>
  <si>
    <t>'52260801272434001002550020000812051471643493</t>
  </si>
  <si>
    <t>2026-08-06 15:17:58.000 -0300</t>
  </si>
  <si>
    <t>23.81</t>
  </si>
  <si>
    <t>'43260807473735019877550080000576261009150946</t>
  </si>
  <si>
    <t>2026-08-06 15:16:36.000 -0300</t>
  </si>
  <si>
    <t>198.96</t>
  </si>
  <si>
    <t>'42260882156977000248550010001682721921147347</t>
  </si>
  <si>
    <t>2026-08-06 15:13:50.000 -0300</t>
  </si>
  <si>
    <t>365.91</t>
  </si>
  <si>
    <t>'42260882156977000248550010001682711221819507</t>
  </si>
  <si>
    <t>2026-08-06 15:11:08.000 -0300</t>
  </si>
  <si>
    <t>1223.35</t>
  </si>
  <si>
    <t>'41260833286065000102550040000103861014183255</t>
  </si>
  <si>
    <t>2026-08-06 15:09:51.000 -0300</t>
  </si>
  <si>
    <t>28.77</t>
  </si>
  <si>
    <t>'41260833286065000102550040000103871014183260</t>
  </si>
  <si>
    <t>2026-08-06 15:08:10.000 -0300</t>
  </si>
  <si>
    <t>158.73</t>
  </si>
  <si>
    <t>'43260807473735019877550080000576251009150876</t>
  </si>
  <si>
    <t>2026-08-06 15:07:27.000 -0300</t>
  </si>
  <si>
    <t>282.53</t>
  </si>
  <si>
    <t>'52260801272434001002550020000812031232026790</t>
  </si>
  <si>
    <t>2026-08-06 15:05:27.000 -0300</t>
  </si>
  <si>
    <t>331.87</t>
  </si>
  <si>
    <t>'52260837489429000102550010000044121164683920</t>
  </si>
  <si>
    <t>2026-08-06 14:54:28.000 -0300</t>
  </si>
  <si>
    <t>'52260801272434001002550020000812011682153837</t>
  </si>
  <si>
    <t>2026-08-06 14:52:56.000 -0300</t>
  </si>
  <si>
    <t>307.40</t>
  </si>
  <si>
    <t>'41260802763612000161550020001628694961929863</t>
  </si>
  <si>
    <t>RHQ6I63</t>
  </si>
  <si>
    <t>2026-08-06 14:45:59.000 -0300</t>
  </si>
  <si>
    <t>336.12</t>
  </si>
  <si>
    <t>'41260837607755000169550100000085761003741126</t>
  </si>
  <si>
    <t>2026-08-06 14:44:16.000 -0300</t>
  </si>
  <si>
    <t>202.74</t>
  </si>
  <si>
    <t>'52260802031363000110550020001376691061744510</t>
  </si>
  <si>
    <t>2026-08-06 14:43:56.000 -0300</t>
  </si>
  <si>
    <t>281.36</t>
  </si>
  <si>
    <t>'42260814631967000186550020000474611061744157</t>
  </si>
  <si>
    <t>2026-08-06 14:40:57.000 -0300</t>
  </si>
  <si>
    <t>227.66</t>
  </si>
  <si>
    <t>'41260802763612000161550020001628684297981342</t>
  </si>
  <si>
    <t>2026-08-06 14:39:59.000 -0300</t>
  </si>
  <si>
    <t>268.57</t>
  </si>
  <si>
    <t>'17260804219621000111550010000990441101401044</t>
  </si>
  <si>
    <t>2026-08-06 14:39:53.000 -0300</t>
  </si>
  <si>
    <t>308.13</t>
  </si>
  <si>
    <t>'52260802031363000110550020001376681061740291</t>
  </si>
  <si>
    <t>SFI6G53</t>
  </si>
  <si>
    <t>2026-08-06 14:35:41.000 -0300</t>
  </si>
  <si>
    <t>284.95</t>
  </si>
  <si>
    <t>'41260876493295000147550020000286391002742774</t>
  </si>
  <si>
    <t>2026-08-06 14:35:12.000 -0300</t>
  </si>
  <si>
    <t>246.39</t>
  </si>
  <si>
    <t>'41260802763612000161550020001628664752554490</t>
  </si>
  <si>
    <t>2026-08-06 14:19:06.000 -0300</t>
  </si>
  <si>
    <t>443.73</t>
  </si>
  <si>
    <t>2026-08-06 14:14:47.000 -0300</t>
  </si>
  <si>
    <t>20.70</t>
  </si>
  <si>
    <t>'41260802763612000161550020001628644320804910</t>
  </si>
  <si>
    <t>2026-08-06 14:13:19.000 -0300</t>
  </si>
  <si>
    <t>197.99</t>
  </si>
  <si>
    <t>'41260802763612000161550020001628634497137964</t>
  </si>
  <si>
    <t>2026-08-06 14:11:37.000 -0300</t>
  </si>
  <si>
    <t>148.96</t>
  </si>
  <si>
    <t>'51260804505289000151550130000115831010034120</t>
  </si>
  <si>
    <t>2026-08-06 14:07:21.000 -0300</t>
  </si>
  <si>
    <t>204.99</t>
  </si>
  <si>
    <t>'41260830429333000282550110000406771005111721</t>
  </si>
  <si>
    <t>2026-08-06 14:06:51.000 -0300</t>
  </si>
  <si>
    <t>168.72</t>
  </si>
  <si>
    <t>'51260808603562000212550050000546521011623703</t>
  </si>
  <si>
    <t>2026-08-06 14:02:55.000 -0300</t>
  </si>
  <si>
    <t>143.91</t>
  </si>
  <si>
    <t>'51260817084739000121550010003421471007339982</t>
  </si>
  <si>
    <t>2026-08-06 14:00:14.000 -0300</t>
  </si>
  <si>
    <t>192.86</t>
  </si>
  <si>
    <t>'52260837489429000102550010000044111164671950</t>
  </si>
  <si>
    <t>2026-08-06 13:41:48.000 -0300</t>
  </si>
  <si>
    <t>272.56</t>
  </si>
  <si>
    <t>'42260823448964001921550070001788611484976718</t>
  </si>
  <si>
    <t>2026-08-06 13:39:45.000 -0300</t>
  </si>
  <si>
    <t>334.25</t>
  </si>
  <si>
    <t>'41260801975878000105550100000025031928079925</t>
  </si>
  <si>
    <t>2026-08-06 13:38:27.000 -0300</t>
  </si>
  <si>
    <t>286.75</t>
  </si>
  <si>
    <t>'41260830858891000182550080000029581522181914</t>
  </si>
  <si>
    <t>2026-08-06 13:38:08.000 -0300</t>
  </si>
  <si>
    <t>413.10</t>
  </si>
  <si>
    <t>'41260801975878000105550100000025021149083296</t>
  </si>
  <si>
    <t>2026-08-06 13:36:24.000 -0300</t>
  </si>
  <si>
    <t>71.37</t>
  </si>
  <si>
    <t>'41260801975878000105550100000025011586627164</t>
  </si>
  <si>
    <t>2026-08-06 13:31:47.000 -0300</t>
  </si>
  <si>
    <t>533.10</t>
  </si>
  <si>
    <t>'41260801975878000105550100000025001398846825</t>
  </si>
  <si>
    <t>2026-08-06 13:28:45.000 -0300</t>
  </si>
  <si>
    <t>236.95</t>
  </si>
  <si>
    <t>'41260827933025000102550090000011281000266607</t>
  </si>
  <si>
    <t>2026-08-06 13:22:56.000 -0300</t>
  </si>
  <si>
    <t>496.36</t>
  </si>
  <si>
    <t>'42260883392050000199550020001292371061622597</t>
  </si>
  <si>
    <t>2026-08-06 13:15:25.000 -0300</t>
  </si>
  <si>
    <t>481.16</t>
  </si>
  <si>
    <t>'43260807473735006112550080000215861016594430</t>
  </si>
  <si>
    <t>2026-08-06 13:15:15.000 -0300</t>
  </si>
  <si>
    <t>'52260833360405000190550020000383011008868200</t>
  </si>
  <si>
    <t>2026-08-06 13:13:36.000 -0300</t>
  </si>
  <si>
    <t>94.58</t>
  </si>
  <si>
    <t>'51260808603562000212550050000546561011623753</t>
  </si>
  <si>
    <t>2026-08-06 13:10:19.000 -0300</t>
  </si>
  <si>
    <t>464.18</t>
  </si>
  <si>
    <t>2026-08-06 13:09:42.000 -0300</t>
  </si>
  <si>
    <t>675.58</t>
  </si>
  <si>
    <t>'41260879964177000591550020008200201011743154</t>
  </si>
  <si>
    <t>2026-08-06 13:07:33.000 -0300</t>
  </si>
  <si>
    <t>409.40</t>
  </si>
  <si>
    <t>'41260801975878000105550100000024991903903212</t>
  </si>
  <si>
    <t>2026-08-06 13:05:23.000 -0300</t>
  </si>
  <si>
    <t>'42260823448964001921550070001788511059824566</t>
  </si>
  <si>
    <t>2026-08-06 13:04:17.000 -0300</t>
  </si>
  <si>
    <t>304.28</t>
  </si>
  <si>
    <t>'17260833210337000182550060000831241046048100</t>
  </si>
  <si>
    <t>2026-08-06 13:04:15.000 -0300</t>
  </si>
  <si>
    <t>152.59</t>
  </si>
  <si>
    <t>'41260879964177000168550020002570531015015451</t>
  </si>
  <si>
    <t>2026-08-06 13:04:04.000 -0300</t>
  </si>
  <si>
    <t>2194.50</t>
  </si>
  <si>
    <t>'42260823448964001921550070001788501420792450</t>
  </si>
  <si>
    <t>2026-08-06 13:03:38.000 -0300</t>
  </si>
  <si>
    <t>SIM REDE - CACHOEIRA DO SUL 0175-80 - CENTRO RS</t>
  </si>
  <si>
    <t>204.91</t>
  </si>
  <si>
    <t>'43260807473735017580550080000188741014316015</t>
  </si>
  <si>
    <t>2026-08-06 13:00:15.000 -0300</t>
  </si>
  <si>
    <t>145.51</t>
  </si>
  <si>
    <t>'51260801300979000186550010000375421209785517</t>
  </si>
  <si>
    <t>2026-08-06 12:57:19.000 -0300</t>
  </si>
  <si>
    <t>172.45</t>
  </si>
  <si>
    <t>'41260801975878000105550100000024981267158623</t>
  </si>
  <si>
    <t>2026-08-06 12:44:27.000 -0300</t>
  </si>
  <si>
    <t>'41260802764141000106550030008382861121009369</t>
  </si>
  <si>
    <t>2026-08-06 12:42:17.000 -0300</t>
  </si>
  <si>
    <t>300.48</t>
  </si>
  <si>
    <t>'43260807473735015375550080000267911009957842</t>
  </si>
  <si>
    <t>2026-08-06 12:40:18.000 -0300</t>
  </si>
  <si>
    <t>109.95</t>
  </si>
  <si>
    <t>'41260827933025000102550090000011271000266596</t>
  </si>
  <si>
    <t>2026-08-06 12:33:45.000 -0300</t>
  </si>
  <si>
    <t>146.99</t>
  </si>
  <si>
    <t>'51260830476433000189550010000728441642256798</t>
  </si>
  <si>
    <t>2026-08-06 12:30:49.000 -0300</t>
  </si>
  <si>
    <t>AUTO POSTO IPIRANGA - REDE RAVANELLO</t>
  </si>
  <si>
    <t>'41260881642308000132550010004664271015378124</t>
  </si>
  <si>
    <t>2026-08-06 12:30:34.000 -0300</t>
  </si>
  <si>
    <t>412.25</t>
  </si>
  <si>
    <t>2026-08-06 12:27:13.000 -0300</t>
  </si>
  <si>
    <t>235.66</t>
  </si>
  <si>
    <t>'42260823448964001921550070001788411423596238</t>
  </si>
  <si>
    <t>2026-08-06 12:26:35.000 -0300</t>
  </si>
  <si>
    <t>674.75</t>
  </si>
  <si>
    <t>'43260807473735000777550080000320681017126029</t>
  </si>
  <si>
    <t>2026-08-06 12:23:11.000 -0300</t>
  </si>
  <si>
    <t>225.69</t>
  </si>
  <si>
    <t>'17260808318079000105550010000622491108357356</t>
  </si>
  <si>
    <t>2026-08-06 12:23:09.000 -0300</t>
  </si>
  <si>
    <t>'53260807822636000168550010000164701962937652</t>
  </si>
  <si>
    <t>2026-08-06 12:21:56.000 -0300</t>
  </si>
  <si>
    <t>173.86</t>
  </si>
  <si>
    <t>'43260807473735021421550080000090281008862345</t>
  </si>
  <si>
    <t>2026-08-06 12:21:01.000 -0300</t>
  </si>
  <si>
    <t>178.95</t>
  </si>
  <si>
    <t>'41260879964177000168550020002570481015015176</t>
  </si>
  <si>
    <t>2026-08-06 12:17:56.000 -0300</t>
  </si>
  <si>
    <t>198.76</t>
  </si>
  <si>
    <t>'41260879964177000168550020002570471015015152</t>
  </si>
  <si>
    <t>2026-08-06 12:13:04.000 -0300</t>
  </si>
  <si>
    <t>190.07</t>
  </si>
  <si>
    <t>'41260830429333000282550110000406591005110298</t>
  </si>
  <si>
    <t>2026-08-06 12:10:47.000 -0300</t>
  </si>
  <si>
    <t>233.63</t>
  </si>
  <si>
    <t>'53260807822636000168550020000041311017881271</t>
  </si>
  <si>
    <t>2026-08-06 11:55:20.000 -0300</t>
  </si>
  <si>
    <t>230.26</t>
  </si>
  <si>
    <t>'52260826914325000173550020000257531680900310</t>
  </si>
  <si>
    <t>2026-08-06 11:54:38.000 -0300</t>
  </si>
  <si>
    <t>696.21</t>
  </si>
  <si>
    <t>'41260802763612000161550020001628504337112833</t>
  </si>
  <si>
    <t>2026-08-06 11:52:48.000 -0300</t>
  </si>
  <si>
    <t>139.02</t>
  </si>
  <si>
    <t>'42260883392050000199550020001292061061452474</t>
  </si>
  <si>
    <t>2026-08-06 11:51:52.000 -0300</t>
  </si>
  <si>
    <t>329.08</t>
  </si>
  <si>
    <t>'52260837489429000102550010000044101164663747</t>
  </si>
  <si>
    <t>TAW9I27</t>
  </si>
  <si>
    <t>2026-08-06 11:50:39.000 -0300</t>
  </si>
  <si>
    <t>'41260876493295000147550020000286001002741080</t>
  </si>
  <si>
    <t>2026-08-06 11:47:15.000 -0300</t>
  </si>
  <si>
    <t>471.63</t>
  </si>
  <si>
    <t>'51260805082661000550550050000525281005111865</t>
  </si>
  <si>
    <t>2026-08-06 11:42:51.000 -0300</t>
  </si>
  <si>
    <t>271.25</t>
  </si>
  <si>
    <t>'52260850780684000160550020000053841964474275</t>
  </si>
  <si>
    <t>2026-08-06 11:29:55.000 -0300</t>
  </si>
  <si>
    <t>787.09</t>
  </si>
  <si>
    <t>'42260878253424000155550010000380841000750208</t>
  </si>
  <si>
    <t>RHC2F18</t>
  </si>
  <si>
    <t>2026-08-06 11:28:26.000 -0300</t>
  </si>
  <si>
    <t>182.36</t>
  </si>
  <si>
    <t>'51260808603562000212550080000019011304152369</t>
  </si>
  <si>
    <t>2026-08-06 11:12:12.000 -0300</t>
  </si>
  <si>
    <t>'41260803626094001330550010000504841276337846</t>
  </si>
  <si>
    <t>2026-08-06 11:11:05.000 -0300</t>
  </si>
  <si>
    <t>250.42</t>
  </si>
  <si>
    <t>'52260802310460000141550010000537271662282332</t>
  </si>
  <si>
    <t>2026-08-06 11:09:06.000 -0300</t>
  </si>
  <si>
    <t>138.17</t>
  </si>
  <si>
    <t>2026-08-06 11:06:37.000 -0300</t>
  </si>
  <si>
    <t>225.53</t>
  </si>
  <si>
    <t>'41260879130647000198550030000202031015863867</t>
  </si>
  <si>
    <t>2026-08-06 10:59:57.000 -0300</t>
  </si>
  <si>
    <t>108.03</t>
  </si>
  <si>
    <t>'41260827933025000102550090000011291000266612</t>
  </si>
  <si>
    <t>2026-08-06 10:59:37.000 -0300</t>
  </si>
  <si>
    <t>181.25</t>
  </si>
  <si>
    <t>'51260832951238000199550030000437151063919042</t>
  </si>
  <si>
    <t>2026-08-06 10:58:12.000 -0300</t>
  </si>
  <si>
    <t>131.85</t>
  </si>
  <si>
    <t>'51260801300979000186550010000375411841081035</t>
  </si>
  <si>
    <t>2026-08-06 10:57:25.000 -0300</t>
  </si>
  <si>
    <t>193.41</t>
  </si>
  <si>
    <t>'43260807473735006031550080000751401017252934</t>
  </si>
  <si>
    <t>2026-08-06 10:55:09.000 -0300</t>
  </si>
  <si>
    <t>261.48</t>
  </si>
  <si>
    <t>'43260807473735006031550080000751391017252917</t>
  </si>
  <si>
    <t>25.84</t>
  </si>
  <si>
    <t>242.84</t>
  </si>
  <si>
    <t>'35260806068493000188550010002638201001793710</t>
  </si>
  <si>
    <t>2026-08-06 10:54:24.000 -0300</t>
  </si>
  <si>
    <t>2026-08-06 10:48:27.000 -0300</t>
  </si>
  <si>
    <t>214.43</t>
  </si>
  <si>
    <t>'43260807473735006031550080000751371017252866</t>
  </si>
  <si>
    <t>2026-08-06 10:25:30.000 -0300</t>
  </si>
  <si>
    <t>150.00</t>
  </si>
  <si>
    <t>'51260801594553000182550100000743441010447203</t>
  </si>
  <si>
    <t>2026-08-06 10:21:53.000 -0300</t>
  </si>
  <si>
    <t>178.17</t>
  </si>
  <si>
    <t>'51260810588554000105550040000339091066480616</t>
  </si>
  <si>
    <t>2026-08-06 10:19:44.000 -0300</t>
  </si>
  <si>
    <t>162.26</t>
  </si>
  <si>
    <t>'52260853741408000180550010000091931942492476</t>
  </si>
  <si>
    <t>2026-08-06 10:17:50.000 -0300</t>
  </si>
  <si>
    <t>326.60</t>
  </si>
  <si>
    <t>'43260807473735006031550080000751361017252745</t>
  </si>
  <si>
    <t>2026-08-06 10:16:43.000 -0300</t>
  </si>
  <si>
    <t>259.23</t>
  </si>
  <si>
    <t>'42260882156977000248550010001682191878020274</t>
  </si>
  <si>
    <t>2026-08-06 10:08:40.000 -0300</t>
  </si>
  <si>
    <t>142.94</t>
  </si>
  <si>
    <t>'51260810588554000105550040000339081473283707</t>
  </si>
  <si>
    <t>2026-08-06 10:06:04.000 -0300</t>
  </si>
  <si>
    <t>SIM REDE LIVRAMENTO JOAO GOULART - 0208-83 - FRONTEIRA</t>
  </si>
  <si>
    <t>353.84</t>
  </si>
  <si>
    <t>2026-08-06 10:01:20.000 -0300</t>
  </si>
  <si>
    <t>225.27</t>
  </si>
  <si>
    <t>'42260801387686000340550230000085741655092601</t>
  </si>
  <si>
    <t>2026-08-06 09:57:25.000 -0300</t>
  </si>
  <si>
    <t>POSTO DA BASE</t>
  </si>
  <si>
    <t>331.70</t>
  </si>
  <si>
    <t>'52260802982547000165550020000093741275779319</t>
  </si>
  <si>
    <t>2026-08-06 09:57:16.000 -0300</t>
  </si>
  <si>
    <t>310.60</t>
  </si>
  <si>
    <t>'17260804219621000111550010000992251435774359</t>
  </si>
  <si>
    <t>2026-08-06 09:55:20.000 -0300</t>
  </si>
  <si>
    <t>115.59</t>
  </si>
  <si>
    <t>'51260810588554000105550040000339061524963063</t>
  </si>
  <si>
    <t>2026-08-06 09:51:53.000 -0300</t>
  </si>
  <si>
    <t>156.42</t>
  </si>
  <si>
    <t>'51260810588554000105550040000339071092165116</t>
  </si>
  <si>
    <t>2026-08-06 09:36:51.000 -0300</t>
  </si>
  <si>
    <t>334.22</t>
  </si>
  <si>
    <t>2026-08-06 09:36:00.000 -0300</t>
  </si>
  <si>
    <t>87.03</t>
  </si>
  <si>
    <t>'41260879964177000168550020002570331015014142</t>
  </si>
  <si>
    <t>2026-08-06 09:26:48.000 -0300</t>
  </si>
  <si>
    <t>2613.45</t>
  </si>
  <si>
    <t>'42260883392050000199550020001291671061226520</t>
  </si>
  <si>
    <t>2026-08-06 09:25:36.000 -0300</t>
  </si>
  <si>
    <t>254.05</t>
  </si>
  <si>
    <t>'52260802031363000110550020001376311061226598</t>
  </si>
  <si>
    <t>2026-08-06 09:22:16.000 -0300</t>
  </si>
  <si>
    <t>284.35</t>
  </si>
  <si>
    <t>'52260801756915000194550020000044401000096182</t>
  </si>
  <si>
    <t>2026-08-06 09:17:12.000 -0300</t>
  </si>
  <si>
    <t>459.01</t>
  </si>
  <si>
    <t>'41260879964177000591550020008199651011742202</t>
  </si>
  <si>
    <t>TAX0C66</t>
  </si>
  <si>
    <t>2026-08-06 09:09:07.000 -0300</t>
  </si>
  <si>
    <t>258.44</t>
  </si>
  <si>
    <t>'41260876493295000147550020000285661002739589</t>
  </si>
  <si>
    <t>2026-08-06 08:50:15.000 -0300</t>
  </si>
  <si>
    <t>152.54</t>
  </si>
  <si>
    <t>'51260825220634000342550010001677111388321488</t>
  </si>
  <si>
    <t>2026-08-06 08:41:49.000 -0300</t>
  </si>
  <si>
    <t>234.65</t>
  </si>
  <si>
    <t>'35260829127799000163550010001171881000636958</t>
  </si>
  <si>
    <t>2026-08-06 08:41:40.000 -0300</t>
  </si>
  <si>
    <t>863.00</t>
  </si>
  <si>
    <t>'43260807473735015103550080001107321021971464</t>
  </si>
  <si>
    <t>2026-08-06 08:37:05.000 -0300</t>
  </si>
  <si>
    <t>15.31</t>
  </si>
  <si>
    <t>'41260833286065000102550100000042311014180435</t>
  </si>
  <si>
    <t>2026-08-06 08:35:53.000 -0300</t>
  </si>
  <si>
    <t>719.90</t>
  </si>
  <si>
    <t>'41260833286065000102550100000042301014180411</t>
  </si>
  <si>
    <t>2026-08-06 08:34:31.000 -0300</t>
  </si>
  <si>
    <t>103.00</t>
  </si>
  <si>
    <t>'51260854494203000100550000000158521003135014</t>
  </si>
  <si>
    <t>2026-08-06 08:34:08.000 -0300</t>
  </si>
  <si>
    <t>308.59</t>
  </si>
  <si>
    <t>2026-08-06 08:31:41.000 -0300</t>
  </si>
  <si>
    <t>'51260850128357000551550050000101851001026808</t>
  </si>
  <si>
    <t>2026-08-06 08:24:01.000 -0300</t>
  </si>
  <si>
    <t>314.05</t>
  </si>
  <si>
    <t>'51260833855749000170550130000215631846315945</t>
  </si>
  <si>
    <t>2026-08-06 08:20:29.000 -0300</t>
  </si>
  <si>
    <t>321.01</t>
  </si>
  <si>
    <t>'42260881326258001156550010000360371001570304</t>
  </si>
  <si>
    <t>2026-08-06 07:59:40.000 -0300</t>
  </si>
  <si>
    <t>183.60</t>
  </si>
  <si>
    <t>'15260834453861000147550540000217201008211721</t>
  </si>
  <si>
    <t>2026-08-06 07:46:56.000 -0300</t>
  </si>
  <si>
    <t>3627.18</t>
  </si>
  <si>
    <t>'42260884711084000161550030001185641061047037</t>
  </si>
  <si>
    <t>2026-08-06 07:45:07.000 -0300</t>
  </si>
  <si>
    <t>256.25</t>
  </si>
  <si>
    <t>'17260804985282000184550030000055661519410179</t>
  </si>
  <si>
    <t>2026-08-06 07:36:17.000 -0300</t>
  </si>
  <si>
    <t>366.25</t>
  </si>
  <si>
    <t>'41260827933025000102550090000011261000266580</t>
  </si>
  <si>
    <t>2026-08-06 07:32:31.000 -0300</t>
  </si>
  <si>
    <t>'41260879964177000591550020008199451011741530</t>
  </si>
  <si>
    <t>2026-08-06 07:30:58.000 -0300</t>
  </si>
  <si>
    <t>1482.11</t>
  </si>
  <si>
    <t>'43260807473735018200550080000739231014608010</t>
  </si>
  <si>
    <t>2026-08-06 07:16:36.000 -0300</t>
  </si>
  <si>
    <t>47.64</t>
  </si>
  <si>
    <t>'51260804505289000151550130000115741010031962</t>
  </si>
  <si>
    <t>2026-08-06 07:14:15.000 -0300</t>
  </si>
  <si>
    <t>185.72</t>
  </si>
  <si>
    <t>'51260804505289000151550130000115731010031957</t>
  </si>
  <si>
    <t>BEY3F46</t>
  </si>
  <si>
    <t>2026-08-06 07:12:43.000 -0300</t>
  </si>
  <si>
    <t>516.32</t>
  </si>
  <si>
    <t>'29260826814629000169550030000114121010018548</t>
  </si>
  <si>
    <t>2026-08-06 07:05:27.000 -0300</t>
  </si>
  <si>
    <t>327.00</t>
  </si>
  <si>
    <t>'51260822611652000286550010003231431020229399</t>
  </si>
  <si>
    <t>2026-08-06 06:56:15.000 -0300</t>
  </si>
  <si>
    <t>278.22</t>
  </si>
  <si>
    <t>'35260846472822000176550010000230121003112639</t>
  </si>
  <si>
    <t>2026-08-06 06:44:27.000 -0300</t>
  </si>
  <si>
    <t>279.25</t>
  </si>
  <si>
    <t>'52260801272434001002550020000811651354618606</t>
  </si>
  <si>
    <t>2026-08-06 06:36:56.000 -0300</t>
  </si>
  <si>
    <t>644.02</t>
  </si>
  <si>
    <t>'41260817125457000206550070000024421007206926</t>
  </si>
  <si>
    <t>2026-08-06 06:35:34.000 -0300</t>
  </si>
  <si>
    <t>POSTO ZANDONA 5</t>
  </si>
  <si>
    <t>298.92</t>
  </si>
  <si>
    <t>'42260803157705000105550030001991701060935389</t>
  </si>
  <si>
    <t>2026-08-06 06:31:11.000 -0300</t>
  </si>
  <si>
    <t>450.71</t>
  </si>
  <si>
    <t>'42260827643038000139550010000608971060931176</t>
  </si>
  <si>
    <t>2026-08-06 06:30:43.000 -0300</t>
  </si>
  <si>
    <t>185.66</t>
  </si>
  <si>
    <t>'52260801272434001002550020000811641063915186</t>
  </si>
  <si>
    <t>2026-08-06 06:26:14.000 -0300</t>
  </si>
  <si>
    <t>93.47</t>
  </si>
  <si>
    <t>'17260808318079000105550010000622471194398210</t>
  </si>
  <si>
    <t>2026-08-06 06:22:09.000 -0300</t>
  </si>
  <si>
    <t>1679.00</t>
  </si>
  <si>
    <t>'41260879964177000591550020008199321011741310</t>
  </si>
  <si>
    <t>2026-08-06 06:14:26.000 -0300</t>
  </si>
  <si>
    <t>148.63</t>
  </si>
  <si>
    <t>2026-08-06 06:12:50.000 -0300</t>
  </si>
  <si>
    <t>89.01</t>
  </si>
  <si>
    <t>'51260808512459000186550110000303001951411382</t>
  </si>
  <si>
    <t>2026-08-06 06:05:00.000 -0300</t>
  </si>
  <si>
    <t>646.51</t>
  </si>
  <si>
    <t>'42260883392050000199550020001291231060905047</t>
  </si>
  <si>
    <t>2026-08-06 06:00:29.000 -0300</t>
  </si>
  <si>
    <t>304.54</t>
  </si>
  <si>
    <t>'42260823448964001921550070001787721469051286</t>
  </si>
  <si>
    <t>2026-08-06 05:56:54.000 -0300</t>
  </si>
  <si>
    <t>253.05</t>
  </si>
  <si>
    <t>'52260837489429000102550010000044081164644531</t>
  </si>
  <si>
    <t>2026-08-06 05:55:27.000 -0300</t>
  </si>
  <si>
    <t>505.17</t>
  </si>
  <si>
    <t>'41260807388800000170550050001033701605763788</t>
  </si>
  <si>
    <t>2026-08-06 05:36:51.000 -0300</t>
  </si>
  <si>
    <t>444.41</t>
  </si>
  <si>
    <t>'42260881326258000770550010001011071003884010</t>
  </si>
  <si>
    <t>SFI6G49</t>
  </si>
  <si>
    <t>2026-08-06 05:31:51.000 -0300</t>
  </si>
  <si>
    <t>179.64</t>
  </si>
  <si>
    <t>'41260833286065000102550100000042101014178899</t>
  </si>
  <si>
    <t>2026-08-06 05:30:45.000 -0300</t>
  </si>
  <si>
    <t>237.51</t>
  </si>
  <si>
    <t>'42260823448964001921550070001787561453616501</t>
  </si>
  <si>
    <t>2026-08-06 05:27:18.000 -0300</t>
  </si>
  <si>
    <t>173.27</t>
  </si>
  <si>
    <t>2026-08-06 05:27:03.000 -0300</t>
  </si>
  <si>
    <t>58.01</t>
  </si>
  <si>
    <t>'42260883392050000199550020001291131060827040</t>
  </si>
  <si>
    <t>2026-08-06 05:25:51.000 -0300</t>
  </si>
  <si>
    <t>372.40</t>
  </si>
  <si>
    <t>'42260883392050000199550020001291121060825562</t>
  </si>
  <si>
    <t>2026-08-06 05:25:14.000 -0300</t>
  </si>
  <si>
    <t>193.89</t>
  </si>
  <si>
    <t>193.88</t>
  </si>
  <si>
    <t>'41260801975878000105550100000024971615437734</t>
  </si>
  <si>
    <t>2026-08-06 05:25:02.000 -0300</t>
  </si>
  <si>
    <t>210.32</t>
  </si>
  <si>
    <t>2026-08-06 05:24:36.000 -0300</t>
  </si>
  <si>
    <t>'51260808399617000303550130001099671729474550</t>
  </si>
  <si>
    <t>2026-08-06 05:20:17.000 -0300</t>
  </si>
  <si>
    <t>245.18</t>
  </si>
  <si>
    <t>'41260837607755000169550110000105181003739130</t>
  </si>
  <si>
    <t>BDN7J89</t>
  </si>
  <si>
    <t>2026-08-06 05:17:58.000 -0300</t>
  </si>
  <si>
    <t>309.44</t>
  </si>
  <si>
    <t>2026-08-06 05:16:41.000 -0300</t>
  </si>
  <si>
    <t>187.94</t>
  </si>
  <si>
    <t>'51260800656619000230550120000698561901018613</t>
  </si>
  <si>
    <t>2026-08-06 05:13:30.000 -0300</t>
  </si>
  <si>
    <t>2292.74</t>
  </si>
  <si>
    <t>'41260879964177000591550020008199061011740950</t>
  </si>
  <si>
    <t>2026-08-06 05:12:36.000 -0300</t>
  </si>
  <si>
    <t>190.22</t>
  </si>
  <si>
    <t>'42260823448964001921550070001787481762743549</t>
  </si>
  <si>
    <t>2026-08-06 05:12:19.000 -0300</t>
  </si>
  <si>
    <t>218.62</t>
  </si>
  <si>
    <t>'52260801272434001002550020000811581345187881</t>
  </si>
  <si>
    <t>2026-08-06 05:12:05.000 -0300</t>
  </si>
  <si>
    <t>182.58</t>
  </si>
  <si>
    <t>'52260847377960000139550010001130311540874639</t>
  </si>
  <si>
    <t>2026-08-06 05:09:07.000 -0300</t>
  </si>
  <si>
    <t>254.14</t>
  </si>
  <si>
    <t>254.13</t>
  </si>
  <si>
    <t>'41260801975878000105550100000024961508604729</t>
  </si>
  <si>
    <t>2026-08-06 05:07:52.000 -0300</t>
  </si>
  <si>
    <t>'42260882156977000248550010001681851390572657</t>
  </si>
  <si>
    <t>2026-08-06 05:04:10.000 -0300</t>
  </si>
  <si>
    <t>255.25</t>
  </si>
  <si>
    <t>'53260807822636000168550020000041131017876890</t>
  </si>
  <si>
    <t>2026-08-06 05:03:27.000 -0300</t>
  </si>
  <si>
    <t>139.89</t>
  </si>
  <si>
    <t>139.88</t>
  </si>
  <si>
    <t>'41260801975878000105550100000024951966828839</t>
  </si>
  <si>
    <t>2026-08-06 04:58:23.000 -0300</t>
  </si>
  <si>
    <t>172.63</t>
  </si>
  <si>
    <t>'43260807473735015103550080001107071021969548</t>
  </si>
  <si>
    <t>2026-08-06 04:54:13.000 -0300</t>
  </si>
  <si>
    <t>369.99</t>
  </si>
  <si>
    <t>'42260823448964001921550070001787401085774415</t>
  </si>
  <si>
    <t>2026-08-06 04:53:50.000 -0300</t>
  </si>
  <si>
    <t>43.72</t>
  </si>
  <si>
    <t>'42260882156977000248550010001681841947137352</t>
  </si>
  <si>
    <t>2026-08-06 04:52:31.000 -0300</t>
  </si>
  <si>
    <t>1397.89</t>
  </si>
  <si>
    <t>'42260882156977000248550010001681831538781657</t>
  </si>
  <si>
    <t>2026-08-06 04:51:49.000 -0300</t>
  </si>
  <si>
    <t>254.78</t>
  </si>
  <si>
    <t>'41260801975878000105550100000024941961839150</t>
  </si>
  <si>
    <t>2026-08-06 04:50:40.000 -0300</t>
  </si>
  <si>
    <t>127.86</t>
  </si>
  <si>
    <t>'43260807473735018552550080000561401011971769</t>
  </si>
  <si>
    <t>2026-08-06 04:44:03.000 -0300</t>
  </si>
  <si>
    <t>277.58</t>
  </si>
  <si>
    <t>2026-08-06 04:42:46.000 -0300</t>
  </si>
  <si>
    <t>249.64</t>
  </si>
  <si>
    <t>'42260814631967000186550020000474081060742510</t>
  </si>
  <si>
    <t>2026-08-06 04:40:25.000 -0300</t>
  </si>
  <si>
    <t>171.11</t>
  </si>
  <si>
    <t>'43260807473735019877550080000575481009146401</t>
  </si>
  <si>
    <t>2026-08-06 04:39:58.000 -0300</t>
  </si>
  <si>
    <t>165.31</t>
  </si>
  <si>
    <t>'53260807822636000168550020000041111017876658</t>
  </si>
  <si>
    <t>2026-08-06 04:36:15.000 -0300</t>
  </si>
  <si>
    <t>168.79</t>
  </si>
  <si>
    <t>'42260823448964001921550070001787341758626708</t>
  </si>
  <si>
    <t>2026-08-06 04:34:14.000 -0300</t>
  </si>
  <si>
    <t>102.84</t>
  </si>
  <si>
    <t>'17260833210337000182550060000831221046047894</t>
  </si>
  <si>
    <t>2026-08-06 04:25:15.000 -0300</t>
  </si>
  <si>
    <t>298.96</t>
  </si>
  <si>
    <t>'43260807473735015375550080000267491009952782</t>
  </si>
  <si>
    <t>2026-08-06 04:18:22.000 -0300</t>
  </si>
  <si>
    <t>91.39</t>
  </si>
  <si>
    <t>'43260807473735015103550080001107041021969163</t>
  </si>
  <si>
    <t>2026-08-06 04:13:46.000 -0300</t>
  </si>
  <si>
    <t>271.60</t>
  </si>
  <si>
    <t>'42260823448964001921550070001787281335380155</t>
  </si>
  <si>
    <t>2026-08-06 04:09:48.000 -0300</t>
  </si>
  <si>
    <t>136.08</t>
  </si>
  <si>
    <t>'51260805218335000102550010002977761350323686</t>
  </si>
  <si>
    <t>2026-08-06 04:06:47.000 -0300</t>
  </si>
  <si>
    <t>1563.15</t>
  </si>
  <si>
    <t>'41260879964177000591550020008198901011740754</t>
  </si>
  <si>
    <t>2026-08-06 04:02:21.000 -0300</t>
  </si>
  <si>
    <t>235.12</t>
  </si>
  <si>
    <t>'42260881326258000770550010001011011003883126</t>
  </si>
  <si>
    <t>2026-08-06 03:48:23.000 -0300</t>
  </si>
  <si>
    <t>829.63</t>
  </si>
  <si>
    <t>'41260879964177000591550020008198861011740697</t>
  </si>
  <si>
    <t>2026-08-06 03:33:20.000 -0300</t>
  </si>
  <si>
    <t>250.43</t>
  </si>
  <si>
    <t>'43260807473735022312550080000136321004725232</t>
  </si>
  <si>
    <t>2026-08-06 03:31:01.000 -0300</t>
  </si>
  <si>
    <t>253.24</t>
  </si>
  <si>
    <t>253.23</t>
  </si>
  <si>
    <t>'53260807822636000168550020000041121017876728</t>
  </si>
  <si>
    <t>2026-08-06 03:29:09.000 -0300</t>
  </si>
  <si>
    <t>252.58</t>
  </si>
  <si>
    <t>'42260804308884000520550020000353391002880737</t>
  </si>
  <si>
    <t>2026-08-06 03:28:12.000 -0300</t>
  </si>
  <si>
    <t>2548.73</t>
  </si>
  <si>
    <t>'41260879964177000591550020008198771011740590</t>
  </si>
  <si>
    <t>2026-08-06 03:25:40.000 -0300</t>
  </si>
  <si>
    <t>241.13</t>
  </si>
  <si>
    <t>'52260801272434001002550020000811541501951653</t>
  </si>
  <si>
    <t>2026-08-06 03:20:08.000 -0300</t>
  </si>
  <si>
    <t>188.18</t>
  </si>
  <si>
    <t>'43260807473735015103550080001106981021968591</t>
  </si>
  <si>
    <t>2026-08-06 03:19:51.000 -0300</t>
  </si>
  <si>
    <t>1961.60</t>
  </si>
  <si>
    <t>'41260879964177000591550020008198751011740545</t>
  </si>
  <si>
    <t>2026-08-06 03:08:42.000 -0300</t>
  </si>
  <si>
    <t>273.40</t>
  </si>
  <si>
    <t>'41260830429333000282550110000406081005105422</t>
  </si>
  <si>
    <t>2026-08-06 02:33:11.000 -0300</t>
  </si>
  <si>
    <t>210.01</t>
  </si>
  <si>
    <t>'35260805065447000162550060003729871006141799</t>
  </si>
  <si>
    <t>2026-08-06 02:03:14.000 -0300</t>
  </si>
  <si>
    <t>536.57</t>
  </si>
  <si>
    <t>'52260801272434001002550020000811531533065350</t>
  </si>
  <si>
    <t>2026-08-06 02:01:06.000 -0300</t>
  </si>
  <si>
    <t>89.52</t>
  </si>
  <si>
    <t>'51260805773237000129550010001033961656486058</t>
  </si>
  <si>
    <t>2026-08-06 01:23:42.000 -0300</t>
  </si>
  <si>
    <t>328.95</t>
  </si>
  <si>
    <t>'31260824187119000183550540003110751832824934</t>
  </si>
  <si>
    <t>2026-08-06 00:08:50.000 -0300</t>
  </si>
  <si>
    <t>272.22</t>
  </si>
  <si>
    <t>'50260826416003000102550020000488131335357201</t>
  </si>
  <si>
    <t>2026-08-05 23:57:54.000 -0300</t>
  </si>
  <si>
    <t>376.75</t>
  </si>
  <si>
    <t>'51260850128357000128550050001442931020157406</t>
  </si>
  <si>
    <t>2026-08-05 20:25:34.000 -0300</t>
  </si>
  <si>
    <t>REDE MARAJO - POSTO MARAJO RIO VERDE</t>
  </si>
  <si>
    <t>179.71</t>
  </si>
  <si>
    <t>'52260842874317000105550540001058171581866830</t>
  </si>
  <si>
    <t>2026-08-05 20:08:32.000 -0300</t>
  </si>
  <si>
    <t>120.00</t>
  </si>
  <si>
    <t>'52260842874317000105550540001058141804592407</t>
  </si>
  <si>
    <t>2026-08-05 20:05:16.000 -0300</t>
  </si>
  <si>
    <t>214.08</t>
  </si>
  <si>
    <t>'52260833360405000190550020000383001008866099</t>
  </si>
  <si>
    <t>2026-08-05 20:04:06.000 -0300</t>
  </si>
  <si>
    <t>240.84</t>
  </si>
  <si>
    <t>'52260833360405000190550020000382991008866088</t>
  </si>
  <si>
    <t>2026-08-05 19:37:45.000 -0300</t>
  </si>
  <si>
    <t>271.62</t>
  </si>
  <si>
    <t>'35260842733072000198550080000052711521727138</t>
  </si>
  <si>
    <t>2026-08-05 19:28:28.000 -0300</t>
  </si>
  <si>
    <t>289.80</t>
  </si>
  <si>
    <t>'43260807473735018200550080000738511014602593</t>
  </si>
  <si>
    <t>2026-08-05 19:17:01.000 -0300</t>
  </si>
  <si>
    <t>306.67</t>
  </si>
  <si>
    <t>'35260855973291000196550030010494921018302295</t>
  </si>
  <si>
    <t>2026-08-05 18:12:32.000 -0300</t>
  </si>
  <si>
    <t>685.85</t>
  </si>
  <si>
    <t>'43260807473735006465550080002149021040111422</t>
  </si>
  <si>
    <t>2026-08-05 18:01:22.000 -0300</t>
  </si>
  <si>
    <t>'17260804219621000111550010000990001786502653</t>
  </si>
  <si>
    <t>2026-08-05 17:59:54.000 -0300</t>
  </si>
  <si>
    <t>194.74</t>
  </si>
  <si>
    <t>'43260807473735019877550080000575301009145052</t>
  </si>
  <si>
    <t>2026-08-05 17:58:33.000 -0300</t>
  </si>
  <si>
    <t>221.83</t>
  </si>
  <si>
    <t>'43260807473735019877550080000575291009145027</t>
  </si>
  <si>
    <t>2026-08-05 17:57:22.000 -0300</t>
  </si>
  <si>
    <t>224.87</t>
  </si>
  <si>
    <t>'35260805065447000162550060003729151006139400</t>
  </si>
  <si>
    <t>2026-08-05 17:49:49.000 -0300</t>
  </si>
  <si>
    <t>290.29</t>
  </si>
  <si>
    <t>'51260814948822000103550020001547211052050118</t>
  </si>
  <si>
    <t>2026-08-05 17:31:39.000 -0300</t>
  </si>
  <si>
    <t>276.10</t>
  </si>
  <si>
    <t>'52260801272434001002550020000811511941798711</t>
  </si>
  <si>
    <t>2026-08-05 17:25:49.000 -0300</t>
  </si>
  <si>
    <t>542.59</t>
  </si>
  <si>
    <t>'41260801975878000105550100000024931240293361</t>
  </si>
  <si>
    <t>2026-08-05 17:25:46.000 -0300</t>
  </si>
  <si>
    <t>35.23</t>
  </si>
  <si>
    <t>2026-08-05 17:23:59.000 -0300</t>
  </si>
  <si>
    <t>388.57</t>
  </si>
  <si>
    <t>2026-08-05 17:15:04.000 -0300</t>
  </si>
  <si>
    <t>269.03</t>
  </si>
  <si>
    <t>2026-08-05 16:55:54.000 -0300</t>
  </si>
  <si>
    <t>697.22</t>
  </si>
  <si>
    <t>'41260876493295000147550020000285051002736134</t>
  </si>
  <si>
    <t>2026-08-05 16:49:12.000 -0300</t>
  </si>
  <si>
    <t>285.40</t>
  </si>
  <si>
    <t>'41260802763612000161550020001628031924730718</t>
  </si>
  <si>
    <t>2026-08-05 16:48:54.000 -0300</t>
  </si>
  <si>
    <t>97.63</t>
  </si>
  <si>
    <t>'42260827643038000139550010000608781051948597</t>
  </si>
  <si>
    <t>2026-08-05 16:48:10.000 -0300</t>
  </si>
  <si>
    <t>480.22</t>
  </si>
  <si>
    <t>'50260873648610000170550010000351001016694743</t>
  </si>
  <si>
    <t>2026-08-05 16:48:04.000 -0300</t>
  </si>
  <si>
    <t>764.94</t>
  </si>
  <si>
    <t>'42260827643038000139550010000608771051948093</t>
  </si>
  <si>
    <t>2026-08-05 16:47:56.000 -0300</t>
  </si>
  <si>
    <t>'51260823891404000118550110001313691769733473</t>
  </si>
  <si>
    <t>2026-08-05 16:40:33.000 -0300</t>
  </si>
  <si>
    <t>'41260803626094001330550010000504761502297674</t>
  </si>
  <si>
    <t>2026-08-05 16:37:18.000 -0300</t>
  </si>
  <si>
    <t>436.92</t>
  </si>
  <si>
    <t>'41260876493295000147550020000285031002736008</t>
  </si>
  <si>
    <t>2026-08-05 16:36:31.000 -0300</t>
  </si>
  <si>
    <t>81.18</t>
  </si>
  <si>
    <t>'51260817084739000121550010003420561007337762</t>
  </si>
  <si>
    <t>2026-08-05 16:23:29.000 -0300</t>
  </si>
  <si>
    <t>473.45</t>
  </si>
  <si>
    <t>473.44</t>
  </si>
  <si>
    <t>'51260819770285000178550010001540691911258520</t>
  </si>
  <si>
    <t>2026-08-05 16:17:50.000 -0300</t>
  </si>
  <si>
    <t>445.23</t>
  </si>
  <si>
    <t>'41260802763612000161550020001627991957917839</t>
  </si>
  <si>
    <t>2026-08-05 16:13:08.000 -0300</t>
  </si>
  <si>
    <t>'17260804985282000184550030000055641323738290</t>
  </si>
  <si>
    <t>2026-08-05 16:09:44.000 -0300</t>
  </si>
  <si>
    <t>683.63</t>
  </si>
  <si>
    <t>'41260808810726000100550020000063131534911032</t>
  </si>
  <si>
    <t>2026-08-05 16:09:19.000 -0300</t>
  </si>
  <si>
    <t>908.75</t>
  </si>
  <si>
    <t>'41260833286065000102550040000103451014177015</t>
  </si>
  <si>
    <t>2026-08-05 16:08:18.000 -0300</t>
  </si>
  <si>
    <t>59.56</t>
  </si>
  <si>
    <t>'41260833286065000102550040000103461014177020</t>
  </si>
  <si>
    <t>2026-08-05 16:07:34.000 -0300</t>
  </si>
  <si>
    <t>390.98</t>
  </si>
  <si>
    <t>'52260801272434001002550020000811491654542288</t>
  </si>
  <si>
    <t>2026-08-05 16:04:28.000 -0300</t>
  </si>
  <si>
    <t>277.26</t>
  </si>
  <si>
    <t>'41260802763612000161550020001627961830160474</t>
  </si>
  <si>
    <t>2026-08-05 15:59:51.000 -0300</t>
  </si>
  <si>
    <t>247.76</t>
  </si>
  <si>
    <t>'52260801272434001002550020000811471486382440</t>
  </si>
  <si>
    <t>2026-08-05 15:59:50.000 -0300</t>
  </si>
  <si>
    <t>188.00</t>
  </si>
  <si>
    <t>'51260850128357000551550050000101701001025906</t>
  </si>
  <si>
    <t>2026-08-05 15:53:17.000 -0300</t>
  </si>
  <si>
    <t>239.34</t>
  </si>
  <si>
    <t>'41260802763612000161550020001627911185353674</t>
  </si>
  <si>
    <t>2026-08-05 15:40:33.000 -0300</t>
  </si>
  <si>
    <t>244.82</t>
  </si>
  <si>
    <t>'52260813759928000104550010000221931966592400</t>
  </si>
  <si>
    <t>2026-08-05 15:40:14.000 -0300</t>
  </si>
  <si>
    <t>269.10</t>
  </si>
  <si>
    <t>'41260837607755000169550110000105051003738038</t>
  </si>
  <si>
    <t>2026-08-05 15:39:40.000 -0300</t>
  </si>
  <si>
    <t>245.42</t>
  </si>
  <si>
    <t>'52260801272434001002550020000811451791918272</t>
  </si>
  <si>
    <t>2026-08-05 15:39:35.000 -0300</t>
  </si>
  <si>
    <t>546.26</t>
  </si>
  <si>
    <t>'51260823891404000118550110001313601649966173</t>
  </si>
  <si>
    <t>2026-08-05 15:35:38.000 -0300</t>
  </si>
  <si>
    <t>155.86</t>
  </si>
  <si>
    <t>'51260826602128000119550010001360461001770027</t>
  </si>
  <si>
    <t>2026-08-05 15:31:40.000 -0300</t>
  </si>
  <si>
    <t>465.88</t>
  </si>
  <si>
    <t>'41260879964177000591550020008198031011739181</t>
  </si>
  <si>
    <t>2026-08-05 15:31:15.000 -0300</t>
  </si>
  <si>
    <t>218.26</t>
  </si>
  <si>
    <t>'41260802763612000161550020001627881530752005</t>
  </si>
  <si>
    <t>2026-08-05 15:23:03.000 -0300</t>
  </si>
  <si>
    <t>36.47</t>
  </si>
  <si>
    <t>'41260803626094001330550010000504751748717915</t>
  </si>
  <si>
    <t>2026-08-05 15:22:24.000 -0300</t>
  </si>
  <si>
    <t>1308.45</t>
  </si>
  <si>
    <t>'41260803626094001330550010000504741089771531</t>
  </si>
  <si>
    <t>2026-08-05 15:19:13.000 -0300</t>
  </si>
  <si>
    <t>SIM REDE – BOM PRINCIPIO 0220-70 - METROPOLITANA / SERRA</t>
  </si>
  <si>
    <t>545.08</t>
  </si>
  <si>
    <t>'43260807473735022070550050000038941006963100</t>
  </si>
  <si>
    <t>2026-08-05 15:13:42.000 -0300</t>
  </si>
  <si>
    <t>215.72</t>
  </si>
  <si>
    <t>'41260802763612000161550020001627821774831970</t>
  </si>
  <si>
    <t>2026-08-05 15:13:39.000 -0300</t>
  </si>
  <si>
    <t>181.05</t>
  </si>
  <si>
    <t>'51260808603562001103550080000018071303436534</t>
  </si>
  <si>
    <t>2026-08-05 15:12:47.000 -0300</t>
  </si>
  <si>
    <t>271.52</t>
  </si>
  <si>
    <t>'42260882156977000248550010001681601670064563</t>
  </si>
  <si>
    <t>2026-08-05 15:10:43.000 -0300</t>
  </si>
  <si>
    <t>32.65</t>
  </si>
  <si>
    <t>'41260884923127000172550020002967221610561772</t>
  </si>
  <si>
    <t>2026-08-05 15:09:47.000 -0300</t>
  </si>
  <si>
    <t>1083.24</t>
  </si>
  <si>
    <t>'41260884923127000172550020002967211459776330</t>
  </si>
  <si>
    <t>2026-08-05 15:09:12.000 -0300</t>
  </si>
  <si>
    <t>307.79</t>
  </si>
  <si>
    <t>'41260830429333000282550110000406061005105304</t>
  </si>
  <si>
    <t>2026-08-05 15:01:17.000 -0300</t>
  </si>
  <si>
    <t>237.76</t>
  </si>
  <si>
    <t>'52260833360405000190550020000382981008865335</t>
  </si>
  <si>
    <t>2026-08-05 14:57:49.000 -0300</t>
  </si>
  <si>
    <t>545.09</t>
  </si>
  <si>
    <t>'42260882156977000248550010001681591587654242</t>
  </si>
  <si>
    <t>2026-08-05 14:49:56.000 -0300</t>
  </si>
  <si>
    <t>192.64</t>
  </si>
  <si>
    <t>'41260802763612000161550020001627781387575072</t>
  </si>
  <si>
    <t>2026-08-05 14:47:25.000 -0300</t>
  </si>
  <si>
    <t>'43260807473735015294550080001505481020621679</t>
  </si>
  <si>
    <t>2026-08-05 14:47:24.000 -0300</t>
  </si>
  <si>
    <t>325.82</t>
  </si>
  <si>
    <t>'41260805291412000141550020000208141018131477</t>
  </si>
  <si>
    <t>2026-08-05 14:47:08.000 -0300</t>
  </si>
  <si>
    <t>441.59</t>
  </si>
  <si>
    <t>'52260858446194000133550540000527071543980863</t>
  </si>
  <si>
    <t>2026-08-05 14:34:30.000 -0300</t>
  </si>
  <si>
    <t>291.60</t>
  </si>
  <si>
    <t>'42260882156977000248550010001681541617067610</t>
  </si>
  <si>
    <t>2026-08-05 14:26:33.000 -0300</t>
  </si>
  <si>
    <t>267.88</t>
  </si>
  <si>
    <t>'41260801975878000105550100000024911770831153</t>
  </si>
  <si>
    <t>2026-08-05 14:18:56.000 -0300</t>
  </si>
  <si>
    <t>343.21</t>
  </si>
  <si>
    <t>'43260807473735001587550080000088041016190770</t>
  </si>
  <si>
    <t>2026-08-05 14:17:16.000 -0300</t>
  </si>
  <si>
    <t>389.01</t>
  </si>
  <si>
    <t>389.02</t>
  </si>
  <si>
    <t>'41260879130647000198550030000202011015856866</t>
  </si>
  <si>
    <t>2026-08-05 14:09:26.000 -0300</t>
  </si>
  <si>
    <t>181.61</t>
  </si>
  <si>
    <t>'52260847377960000139550010001128161528729210</t>
  </si>
  <si>
    <t>2026-08-05 14:04:37.000 -0300</t>
  </si>
  <si>
    <t>266.76</t>
  </si>
  <si>
    <t>'42260884711084000161550030001184221051704390</t>
  </si>
  <si>
    <t>2026-08-05 14:04:03.000 -0300</t>
  </si>
  <si>
    <t>297.22</t>
  </si>
  <si>
    <t>'41260827933025000102550090000011241000266560</t>
  </si>
  <si>
    <t>2026-08-05 14:01:41.000 -0300</t>
  </si>
  <si>
    <t>181.04</t>
  </si>
  <si>
    <t>'42260823448964001921550070001786611530134841</t>
  </si>
  <si>
    <t>2026-08-05 13:57:52.000 -0300</t>
  </si>
  <si>
    <t>314.02</t>
  </si>
  <si>
    <t>'41260803626094001330550010000504731855659590</t>
  </si>
  <si>
    <t>2026-08-05 13:57:23.000 -0300</t>
  </si>
  <si>
    <t>135.03</t>
  </si>
  <si>
    <t>'51260822611652000103550010001714871020209815</t>
  </si>
  <si>
    <t>2026-08-05 13:57:17.000 -0300</t>
  </si>
  <si>
    <t>214.50</t>
  </si>
  <si>
    <t>'42260882156977000248550010001681501639162021</t>
  </si>
  <si>
    <t>2026-08-05 13:54:24.000 -0300</t>
  </si>
  <si>
    <t>217.57</t>
  </si>
  <si>
    <t>'42260882156977000248550010001681491359865129</t>
  </si>
  <si>
    <t>2026-08-05 13:53:42.000 -0300</t>
  </si>
  <si>
    <t>286.59</t>
  </si>
  <si>
    <t>'17260804985282000184550030000055631153456519</t>
  </si>
  <si>
    <t>2026-08-05 13:51:27.000 -0300</t>
  </si>
  <si>
    <t>233.09</t>
  </si>
  <si>
    <t>'43260807473735006031550080000750741017247690</t>
  </si>
  <si>
    <t>2026-08-05 13:48:02.000 -0300</t>
  </si>
  <si>
    <t>264.31</t>
  </si>
  <si>
    <t>'17260804219621000111550010000989991791062000</t>
  </si>
  <si>
    <t>2026-08-05 13:46:28.000 -0300</t>
  </si>
  <si>
    <t>231.43</t>
  </si>
  <si>
    <t>'41260827933025000102550090000011231000266554</t>
  </si>
  <si>
    <t>2026-08-05 13:43:01.000 -0300</t>
  </si>
  <si>
    <t>417.54</t>
  </si>
  <si>
    <t>'41260827933025000102550090000011221000266549</t>
  </si>
  <si>
    <t>2026-08-05 13:38:59.000 -0300</t>
  </si>
  <si>
    <t>258.83</t>
  </si>
  <si>
    <t>'42260823448964001921550070001786561462131072</t>
  </si>
  <si>
    <t>2026-08-05 13:37:27.000 -0300</t>
  </si>
  <si>
    <t>167.29</t>
  </si>
  <si>
    <t>'41260830429333000282550110000406041005105261</t>
  </si>
  <si>
    <t>2026-08-05 13:36:20.000 -0300</t>
  </si>
  <si>
    <t>192.01</t>
  </si>
  <si>
    <t>'41260879964177000168550020002569581015010043</t>
  </si>
  <si>
    <t>2026-08-05 13:31:34.000 -0300</t>
  </si>
  <si>
    <t>361.13</t>
  </si>
  <si>
    <t>'52260833360405000190550020000382961008864717</t>
  </si>
  <si>
    <t>2026-08-05 13:31:24.000 -0300</t>
  </si>
  <si>
    <t>247.00</t>
  </si>
  <si>
    <t>'41260879964177000168550020002569571015010011</t>
  </si>
  <si>
    <t>2026-08-05 13:24:18.000 -0300</t>
  </si>
  <si>
    <t>184.54</t>
  </si>
  <si>
    <t>'41260879964177000168550020002569561015009946</t>
  </si>
  <si>
    <t>2026-08-05 13:24:08.000 -0300</t>
  </si>
  <si>
    <t>352.54</t>
  </si>
  <si>
    <t>'41260879130647000198550050000167741015856300</t>
  </si>
  <si>
    <t>2026-08-05 13:16:54.000 -0300</t>
  </si>
  <si>
    <t>205.48</t>
  </si>
  <si>
    <t>'51260803623054000282550010033826011013405100</t>
  </si>
  <si>
    <t>2026-08-05 13:16:26.000 -0300</t>
  </si>
  <si>
    <t>127.39</t>
  </si>
  <si>
    <t>'51260808603562000212550050000545711011618610</t>
  </si>
  <si>
    <t>2026-08-05 13:13:23.000 -0300</t>
  </si>
  <si>
    <t>163.76</t>
  </si>
  <si>
    <t>'41260833286065000102550040000103371014175754</t>
  </si>
  <si>
    <t>2026-08-05 13:07:54.000 -0300</t>
  </si>
  <si>
    <t>394.03</t>
  </si>
  <si>
    <t>'17260838132296000177550020000062031051628320</t>
  </si>
  <si>
    <t>2026-08-05 13:06:31.000 -0300</t>
  </si>
  <si>
    <t>148.58</t>
  </si>
  <si>
    <t>'42260882156977000248550010001681421550268597</t>
  </si>
  <si>
    <t>RHT9E50</t>
  </si>
  <si>
    <t>2026-08-05 12:57:10.000 -0300</t>
  </si>
  <si>
    <t>270.34</t>
  </si>
  <si>
    <t>'41260801975878000105550100000024901779093158</t>
  </si>
  <si>
    <t>2026-08-05 12:56:42.000 -0300</t>
  </si>
  <si>
    <t>119.82</t>
  </si>
  <si>
    <t>'42260883392050000199550020001289791051556447</t>
  </si>
  <si>
    <t>2026-08-05 12:55:00.000 -0300</t>
  </si>
  <si>
    <t>276.87</t>
  </si>
  <si>
    <t>'50260830432373000100550030000239611003269500</t>
  </si>
  <si>
    <t>2026-08-05 12:49:42.000 -0300</t>
  </si>
  <si>
    <t>139.41</t>
  </si>
  <si>
    <t>2026-08-05 12:44:29.000 -0300</t>
  </si>
  <si>
    <t>174.33</t>
  </si>
  <si>
    <t>'43260807473735021421550080000090061008857603</t>
  </si>
  <si>
    <t>2026-08-05 12:44:15.000 -0300</t>
  </si>
  <si>
    <t>167.56</t>
  </si>
  <si>
    <t>'41260830429333000282550110000405121005095475</t>
  </si>
  <si>
    <t>2026-08-05 12:43:04.000 -0300</t>
  </si>
  <si>
    <t>183.13</t>
  </si>
  <si>
    <t>'17260816823762000128550040006961261257360084</t>
  </si>
  <si>
    <t>2026-08-05 12:41:53.000 -0300</t>
  </si>
  <si>
    <t>139.85</t>
  </si>
  <si>
    <t>'51260808603562000212550050000545611011618134</t>
  </si>
  <si>
    <t>2026-08-05 12:41:39.000 -0300</t>
  </si>
  <si>
    <t>174.17</t>
  </si>
  <si>
    <t>'51260808512459000690550130000104251912827259</t>
  </si>
  <si>
    <t>2026-08-05 12:40:50.000 -0300</t>
  </si>
  <si>
    <t>99.81</t>
  </si>
  <si>
    <t>'41260827933025000102550090000011211000266533</t>
  </si>
  <si>
    <t>2026-08-05 12:39:01.000 -0300</t>
  </si>
  <si>
    <t>102.86</t>
  </si>
  <si>
    <t>102.85</t>
  </si>
  <si>
    <t>'42260881326258001407550010000281051003128358</t>
  </si>
  <si>
    <t>2026-08-05 12:38:06.000 -0300</t>
  </si>
  <si>
    <t>185.12</t>
  </si>
  <si>
    <t>'41260801975878000105550100000024891384261634</t>
  </si>
  <si>
    <t>2026-08-05 12:32:14.000 -0300</t>
  </si>
  <si>
    <t>2925.29</t>
  </si>
  <si>
    <t>'42260881326258001407550010000281041003128229</t>
  </si>
  <si>
    <t>2026-08-05 12:31:19.000 -0300</t>
  </si>
  <si>
    <t>127.97</t>
  </si>
  <si>
    <t>'51260815361488000150550020000690081630654458</t>
  </si>
  <si>
    <t>2026-08-05 12:30:24.000 -0300</t>
  </si>
  <si>
    <t>37.02</t>
  </si>
  <si>
    <t>'43260807473735006112550080000215341016586643</t>
  </si>
  <si>
    <t>2026-08-05 12:29:29.000 -0300</t>
  </si>
  <si>
    <t>379.31</t>
  </si>
  <si>
    <t>'51260808603562000212550050000545591011618063</t>
  </si>
  <si>
    <t>2026-08-05 12:28:29.000 -0300</t>
  </si>
  <si>
    <t>223.01</t>
  </si>
  <si>
    <t>'42260814631967000186550020000473451051528371</t>
  </si>
  <si>
    <t>2026-08-05 12:28:08.000 -0300</t>
  </si>
  <si>
    <t>265.85</t>
  </si>
  <si>
    <t>'43260807473735006112550080000215331016586620</t>
  </si>
  <si>
    <t>2026-08-05 12:27:20.000 -0300</t>
  </si>
  <si>
    <t>33.78</t>
  </si>
  <si>
    <t>'43260807473735015103550080001106271021962540</t>
  </si>
  <si>
    <t>2026-08-05 12:23:27.000 -0300</t>
  </si>
  <si>
    <t>544.03</t>
  </si>
  <si>
    <t>'43260807473735015103550080001106251021962490</t>
  </si>
  <si>
    <t>2026-08-05 12:21:44.000 -0300</t>
  </si>
  <si>
    <t>321.99</t>
  </si>
  <si>
    <t>'50260802322969000104550020000157811003409079</t>
  </si>
  <si>
    <t>2026-08-05 12:20:15.000 -0300</t>
  </si>
  <si>
    <t>87.27</t>
  </si>
  <si>
    <t>'51260808603562000212550050000545581011618007</t>
  </si>
  <si>
    <t>2026-08-05 12:11:00.000 -0300</t>
  </si>
  <si>
    <t>249.97</t>
  </si>
  <si>
    <t>'52260809427958000138550010000977761518327622</t>
  </si>
  <si>
    <t>2026-08-05 12:09:04.000 -0300</t>
  </si>
  <si>
    <t>197.06</t>
  </si>
  <si>
    <t>'42260823448964001921550070001786411755145767</t>
  </si>
  <si>
    <t>2026-08-05 12:07:06.000 -0300</t>
  </si>
  <si>
    <t>669.18</t>
  </si>
  <si>
    <t>'43260807473735000777550080000320101017118646</t>
  </si>
  <si>
    <t>2026-08-05 12:00:40.000 -0300</t>
  </si>
  <si>
    <t>189.50</t>
  </si>
  <si>
    <t>'42260882156977000248550010001681331139410459</t>
  </si>
  <si>
    <t>2026-08-05 11:54:02.000 -0300</t>
  </si>
  <si>
    <t>172.33</t>
  </si>
  <si>
    <t>'51260808603562002002550050000557781001439957</t>
  </si>
  <si>
    <t>2026-08-05 11:44:53.000 -0300</t>
  </si>
  <si>
    <t>218.36</t>
  </si>
  <si>
    <t>'43260807473735014646550080000762181023563647</t>
  </si>
  <si>
    <t>SFA6I77</t>
  </si>
  <si>
    <t>2026-08-05 11:44:36.000 -0300</t>
  </si>
  <si>
    <t>633.96</t>
  </si>
  <si>
    <t>'41260876493295000147550020000284671002733400</t>
  </si>
  <si>
    <t>2026-08-05 11:38:21.000 -0300</t>
  </si>
  <si>
    <t>129.78</t>
  </si>
  <si>
    <t>'53260807822636000168550020000041041017871988</t>
  </si>
  <si>
    <t>2026-08-05 11:32:40.000 -0300</t>
  </si>
  <si>
    <t>85.08</t>
  </si>
  <si>
    <t>'51260810588554000105550040000338781540910835</t>
  </si>
  <si>
    <t>2026-08-05 11:26:30.000 -0300</t>
  </si>
  <si>
    <t>234.16</t>
  </si>
  <si>
    <t>'17260804985282000184550030000055611803992075</t>
  </si>
  <si>
    <t>2026-08-05 11:26:25.000 -0300</t>
  </si>
  <si>
    <t>109.32</t>
  </si>
  <si>
    <t>'51260810588554000105550040000338771685614156</t>
  </si>
  <si>
    <t>2026-08-05 11:26:16.000 -0300</t>
  </si>
  <si>
    <t>'52260801272434001002550020000811241021247988</t>
  </si>
  <si>
    <t>2026-08-05 11:23:03.000 -0300</t>
  </si>
  <si>
    <t>67.35</t>
  </si>
  <si>
    <t>'43260807473735015103550080001106191021961976</t>
  </si>
  <si>
    <t>2026-08-05 11:17:43.000 -0300</t>
  </si>
  <si>
    <t>270.28</t>
  </si>
  <si>
    <t>2026-08-05 11:17:37.000 -0300</t>
  </si>
  <si>
    <t>26.61</t>
  </si>
  <si>
    <t>'43260807473735018048550080000776711008763745</t>
  </si>
  <si>
    <t>2026-08-05 11:17:08.000 -0300</t>
  </si>
  <si>
    <t>830.01</t>
  </si>
  <si>
    <t>'43260807473735015103550080001106171021961920</t>
  </si>
  <si>
    <t>2026-08-05 11:15:17.000 -0300</t>
  </si>
  <si>
    <t>226.58</t>
  </si>
  <si>
    <t>'43260807473735018048550080000776691008763682</t>
  </si>
  <si>
    <t>2026-08-05 11:13:18.000 -0300</t>
  </si>
  <si>
    <t>41.44</t>
  </si>
  <si>
    <t>'41260803626094001330550010000504621011806077</t>
  </si>
  <si>
    <t>2026-08-05 11:12:30.000 -0300</t>
  </si>
  <si>
    <t>375.41</t>
  </si>
  <si>
    <t>'41260803626094001330550010000504611529420890</t>
  </si>
  <si>
    <t>2026-08-05 11:04:50.000 -0300</t>
  </si>
  <si>
    <t>262.10</t>
  </si>
  <si>
    <t>'52260858446194000133550540000526751283940241</t>
  </si>
  <si>
    <t>2026-08-05 11:01:51.000 -0300</t>
  </si>
  <si>
    <t>137.80</t>
  </si>
  <si>
    <t>'52260802310460000141550010000536611614667722</t>
  </si>
  <si>
    <t>2026-08-05 11:01:30.000 -0300</t>
  </si>
  <si>
    <t>216.38</t>
  </si>
  <si>
    <t>'41260879130647000198550030000201981015855064</t>
  </si>
  <si>
    <t>2026-08-05 10:57:07.000 -0300</t>
  </si>
  <si>
    <t>317.29</t>
  </si>
  <si>
    <t>'35260850206655000199550010000155221000327992</t>
  </si>
  <si>
    <t>SFF3C33</t>
  </si>
  <si>
    <t>2026-08-05 10:41:01.000 -0300</t>
  </si>
  <si>
    <t>402.48</t>
  </si>
  <si>
    <t>'52260801272434001002550020000811201943821609</t>
  </si>
  <si>
    <t>2026-08-05 10:34:42.000 -0300</t>
  </si>
  <si>
    <t>743.16</t>
  </si>
  <si>
    <t>'41260808810726000100550020000063021590269215</t>
  </si>
  <si>
    <t>2026-08-05 10:34:35.000 -0300</t>
  </si>
  <si>
    <t>24.69</t>
  </si>
  <si>
    <t>240.99</t>
  </si>
  <si>
    <t>'35260806068493000188550010002637781001793502</t>
  </si>
  <si>
    <t>2026-08-05 10:33:48.000 -0300</t>
  </si>
  <si>
    <t>216.30</t>
  </si>
  <si>
    <t>2026-08-05 10:30:45.000 -0300</t>
  </si>
  <si>
    <t>SIM REDE - VACARIA GTM 0126-00 - METROPOLITANA / SERRA</t>
  </si>
  <si>
    <t>181.92</t>
  </si>
  <si>
    <t>'43260807473735012600550050000391101019162153</t>
  </si>
  <si>
    <t>2026-08-05 10:17:03.000 -0300</t>
  </si>
  <si>
    <t>SIM REDE - BOM JESUS - 0229-08</t>
  </si>
  <si>
    <t>228.08</t>
  </si>
  <si>
    <t>'43260807473735022908550050000076471002548699</t>
  </si>
  <si>
    <t>2026-08-05 10:16:13.000 -0300</t>
  </si>
  <si>
    <t>187.87</t>
  </si>
  <si>
    <t>2026-08-05 09:42:20.000 -0300</t>
  </si>
  <si>
    <t>64.25</t>
  </si>
  <si>
    <t>'52260827098262000197550010000735971106532602</t>
  </si>
  <si>
    <t>2026-08-05 09:40:14.000 -0300</t>
  </si>
  <si>
    <t>2026-08-05 09:39:33.000 -0300</t>
  </si>
  <si>
    <t>154.49</t>
  </si>
  <si>
    <t>'43260807473735015103550080001105981021960889</t>
  </si>
  <si>
    <t>2026-08-05 09:37:32.000 -0300</t>
  </si>
  <si>
    <t>370.45</t>
  </si>
  <si>
    <t>2026-08-05 09:34:06.000 -0300</t>
  </si>
  <si>
    <t>320.09</t>
  </si>
  <si>
    <t>2026-08-05 09:28:31.000 -0300</t>
  </si>
  <si>
    <t>33.36</t>
  </si>
  <si>
    <t>'43260807473735015103550080001105971021960822</t>
  </si>
  <si>
    <t>2026-08-05 09:25:39.000 -0300</t>
  </si>
  <si>
    <t>73.02</t>
  </si>
  <si>
    <t>'43260807473735015103550080001105951021960780</t>
  </si>
  <si>
    <t>SDR4D29</t>
  </si>
  <si>
    <t>2026-08-05 09:14:39.000 -0300</t>
  </si>
  <si>
    <t>241.51</t>
  </si>
  <si>
    <t>'41260876493295000147550020000284461002732268</t>
  </si>
  <si>
    <t>2026-08-05 08:56:33.000 -0300</t>
  </si>
  <si>
    <t>99.80</t>
  </si>
  <si>
    <t>'43260893489243007471550080000044141071301049</t>
  </si>
  <si>
    <t>2026-08-05 08:56:24.000 -0300</t>
  </si>
  <si>
    <t>'52260802162964000161550020000676971679887647</t>
  </si>
  <si>
    <t>2026-08-05 08:54:41.000 -0300</t>
  </si>
  <si>
    <t>885.48</t>
  </si>
  <si>
    <t>'43260893489243007471550080000044131011301045</t>
  </si>
  <si>
    <t>2026-08-05 08:51:40.000 -0300</t>
  </si>
  <si>
    <t>POSTO ORLEANS (ESTACAO 3) - REDE SAO MARCOS</t>
  </si>
  <si>
    <t>121.81</t>
  </si>
  <si>
    <t>121.80</t>
  </si>
  <si>
    <t>'42260810626167000388550010000531951007411265</t>
  </si>
  <si>
    <t>2026-08-05 08:49:51.000 -0300</t>
  </si>
  <si>
    <t>161.02</t>
  </si>
  <si>
    <t>'52260842183609000193550540000466161083436861</t>
  </si>
  <si>
    <t>2026-08-05 08:47:40.000 -0300</t>
  </si>
  <si>
    <t>107.34</t>
  </si>
  <si>
    <t>'51260854494203000100550000000158471003134956</t>
  </si>
  <si>
    <t>2026-08-05 08:47:09.000 -0300</t>
  </si>
  <si>
    <t>1839.00</t>
  </si>
  <si>
    <t>'41260879964177000591550020008197181011737631</t>
  </si>
  <si>
    <t>2026-08-05 08:46:54.000 -0300</t>
  </si>
  <si>
    <t>485.39</t>
  </si>
  <si>
    <t>2026-08-05 08:45:46.000 -0300</t>
  </si>
  <si>
    <t>401.57</t>
  </si>
  <si>
    <t>'41260833286065000102550100000041741014173899</t>
  </si>
  <si>
    <t>2026-08-05 08:29:54.000 -0300</t>
  </si>
  <si>
    <t>146.70</t>
  </si>
  <si>
    <t>'52260804283686000126550010000469101007823064</t>
  </si>
  <si>
    <t>2026-08-05 08:29:07.000 -0300</t>
  </si>
  <si>
    <t>876.06</t>
  </si>
  <si>
    <t>'35260850206655000199550010000155211000327987</t>
  </si>
  <si>
    <t>2026-08-05 08:26:49.000 -0300</t>
  </si>
  <si>
    <t>240.08</t>
  </si>
  <si>
    <t>'35260829127799000163550010001170341000636188</t>
  </si>
  <si>
    <t>2026-08-05 08:20:41.000 -0300</t>
  </si>
  <si>
    <t>720.45</t>
  </si>
  <si>
    <t>'43260807473735018200550080000737421014594332</t>
  </si>
  <si>
    <t>2026-08-05 08:20:10.000 -0300</t>
  </si>
  <si>
    <t>163.69</t>
  </si>
  <si>
    <t>'41260830429333000282550110000404601005090980</t>
  </si>
  <si>
    <t>2026-08-05 08:06:54.000 -0300</t>
  </si>
  <si>
    <t>1238.86</t>
  </si>
  <si>
    <t>'41260833286065000102550100000041711014173650</t>
  </si>
  <si>
    <t>2026-08-05 08:05:39.000 -0300</t>
  </si>
  <si>
    <t>32.00</t>
  </si>
  <si>
    <t>'41260833286065000102550100000041721014173665</t>
  </si>
  <si>
    <t>2026-08-05 08:02:14.000 -0300</t>
  </si>
  <si>
    <t>277.55</t>
  </si>
  <si>
    <t>'42260807473735007356550080004932931021482340</t>
  </si>
  <si>
    <t>2026-08-05 07:54:10.000 -0300</t>
  </si>
  <si>
    <t>152.60</t>
  </si>
  <si>
    <t>'52260847377960000139550010001127771528337400</t>
  </si>
  <si>
    <t>2026-08-05 07:50:22.000 -0300</t>
  </si>
  <si>
    <t>'41260879964177000591550020008197041011737458</t>
  </si>
  <si>
    <t>2026-08-05 07:39:27.000 -0300</t>
  </si>
  <si>
    <t>108.17</t>
  </si>
  <si>
    <t>'51260808603562001294550050000391871011915827</t>
  </si>
  <si>
    <t>2026-08-05 07:37:24.000 -0300</t>
  </si>
  <si>
    <t>140.02</t>
  </si>
  <si>
    <t>'51260808512459000186550110000301951992890431</t>
  </si>
  <si>
    <t>2026-08-05 07:36:21.000 -0300</t>
  </si>
  <si>
    <t>514.04</t>
  </si>
  <si>
    <t>'35260850206655000199550010000155201000327971</t>
  </si>
  <si>
    <t>2026-08-05 07:36:20.000 -0300</t>
  </si>
  <si>
    <t>305.38</t>
  </si>
  <si>
    <t>'17260804219621000111550010000989981041034933</t>
  </si>
  <si>
    <t>2026-08-05 07:26:07.000 -0300</t>
  </si>
  <si>
    <t>SIM REDE - SANTA MARIA AEROPORTO 0150-22 - CENTRO RS</t>
  </si>
  <si>
    <t>289.92</t>
  </si>
  <si>
    <t>'43260807473735015022550080000560501025974740</t>
  </si>
  <si>
    <t>RHK5H90</t>
  </si>
  <si>
    <t>2026-08-05 07:23:04.000 -0300</t>
  </si>
  <si>
    <t>294.35</t>
  </si>
  <si>
    <t>'42260823448964001921550070001785891963411820</t>
  </si>
  <si>
    <t>SES1B65</t>
  </si>
  <si>
    <t>2026-08-05 07:22:42.000 -0300</t>
  </si>
  <si>
    <t>SIM REDE - POA AV ASSIS BRASIL 0059-06 - 07.473.735/0059-06</t>
  </si>
  <si>
    <t>560.35</t>
  </si>
  <si>
    <t>'43260807473735005906550080000727161014428168</t>
  </si>
  <si>
    <t>2026-08-05 07:19:56.000 -0300</t>
  </si>
  <si>
    <t>449.70</t>
  </si>
  <si>
    <t>2026-08-05 07:12:56.000 -0300</t>
  </si>
  <si>
    <t>358.45</t>
  </si>
  <si>
    <t>'43260807473735018552550080000560671011964442</t>
  </si>
  <si>
    <t>2026-08-05 07:04:28.000 -0300</t>
  </si>
  <si>
    <t>27.26</t>
  </si>
  <si>
    <t>'43260807473735018200550080000737341014593466</t>
  </si>
  <si>
    <t>2026-08-05 07:02:25.000 -0300</t>
  </si>
  <si>
    <t>308.02</t>
  </si>
  <si>
    <t>'51260808603562000212550050000545301011616178</t>
  </si>
  <si>
    <t>2026-08-05 07:02:18.000 -0300</t>
  </si>
  <si>
    <t>303.34</t>
  </si>
  <si>
    <t>'43260807473735018200550080000737331014593434</t>
  </si>
  <si>
    <t>2026-08-05 07:02:15.000 -0300</t>
  </si>
  <si>
    <t>249.87</t>
  </si>
  <si>
    <t>'42260878253424000155550010000380131000746551</t>
  </si>
  <si>
    <t>2026-08-05 06:58:19.000 -0300</t>
  </si>
  <si>
    <t>80.17</t>
  </si>
  <si>
    <t>'42260882156977000248550010001681001960632620</t>
  </si>
  <si>
    <t>2026-08-05 06:57:12.000 -0300</t>
  </si>
  <si>
    <t>1359.11</t>
  </si>
  <si>
    <t>'42260882156977000248550010001680991306945221</t>
  </si>
  <si>
    <t>2026-08-05 06:52:37.000 -0300</t>
  </si>
  <si>
    <t>167.91</t>
  </si>
  <si>
    <t>'51260805218335000102550010002977091747386847</t>
  </si>
  <si>
    <t>2026-08-05 06:37:45.000 -0300</t>
  </si>
  <si>
    <t>273.10</t>
  </si>
  <si>
    <t>2026-08-05 06:35:53.000 -0300</t>
  </si>
  <si>
    <t>124.08</t>
  </si>
  <si>
    <t>'17260816823762000128550040006959911696506307</t>
  </si>
  <si>
    <t>2026-08-05 06:33:35.000 -0300</t>
  </si>
  <si>
    <t>796.90</t>
  </si>
  <si>
    <t>'41260879964177000591550020008196821011737106</t>
  </si>
  <si>
    <t>2026-08-05 06:32:24.000 -0300</t>
  </si>
  <si>
    <t>'41260808810726000100550020000064351101001105</t>
  </si>
  <si>
    <t>2026-08-05 06:30:21.000 -0300</t>
  </si>
  <si>
    <t>408.03</t>
  </si>
  <si>
    <t>'41260808810726000100550020000064341745060100</t>
  </si>
  <si>
    <t>2026-08-05 06:29:47.000 -0300</t>
  </si>
  <si>
    <t>126.82</t>
  </si>
  <si>
    <t>2026-08-05 06:24:40.000 -0300</t>
  </si>
  <si>
    <t>281.13</t>
  </si>
  <si>
    <t>'52260800148072000180550020001207791632852260</t>
  </si>
  <si>
    <t>2026-08-05 06:19:38.000 -0300</t>
  </si>
  <si>
    <t>191.72</t>
  </si>
  <si>
    <t>'42260883392050000199550020001288841050919427</t>
  </si>
  <si>
    <t>2026-08-05 06:16:25.000 -0300</t>
  </si>
  <si>
    <t>463.29</t>
  </si>
  <si>
    <t>'41260801975878000105550100000024881767153020</t>
  </si>
  <si>
    <t>2026-08-05 06:16:05.000 -0300</t>
  </si>
  <si>
    <t>278.71</t>
  </si>
  <si>
    <t>'53260807822636000168550020000040931017868981</t>
  </si>
  <si>
    <t>2026-08-05 06:14:40.000 -0300</t>
  </si>
  <si>
    <t>137.65</t>
  </si>
  <si>
    <t>'43260807473735019877550080000574601009140658</t>
  </si>
  <si>
    <t>2026-08-05 06:14:09.000 -0300</t>
  </si>
  <si>
    <t>107.94</t>
  </si>
  <si>
    <t>'41260802763612000161550020001626931505244187</t>
  </si>
  <si>
    <t>2026-08-05 06:09:51.000 -0300</t>
  </si>
  <si>
    <t>271.19</t>
  </si>
  <si>
    <t>'35260846472822000176550010000228151003093813</t>
  </si>
  <si>
    <t>2026-08-05 06:07:31.000 -0300</t>
  </si>
  <si>
    <t>375.97</t>
  </si>
  <si>
    <t>'35260850206655000199550010000155191000327962</t>
  </si>
  <si>
    <t>2026-08-05 05:59:04.000 -0300</t>
  </si>
  <si>
    <t>263.14</t>
  </si>
  <si>
    <t>'51260809663620000185550070000928431717683555</t>
  </si>
  <si>
    <t>2026-08-05 05:56:29.000 -0300</t>
  </si>
  <si>
    <t>685.94</t>
  </si>
  <si>
    <t>'42260823448964001921550070001785671855638227</t>
  </si>
  <si>
    <t>2026-08-05 05:50:45.000 -0300</t>
  </si>
  <si>
    <t>229.14</t>
  </si>
  <si>
    <t>'42260827643038000139550010000608181050850510</t>
  </si>
  <si>
    <t>2026-08-05 05:45:36.000 -0300</t>
  </si>
  <si>
    <t>244.79</t>
  </si>
  <si>
    <t>'42260883392050000199550020001288691050845397</t>
  </si>
  <si>
    <t>2026-08-05 05:43:13.000 -0300</t>
  </si>
  <si>
    <t>186.45</t>
  </si>
  <si>
    <t>'42260883392050000199550020001288681050843168</t>
  </si>
  <si>
    <t>2026-08-05 05:40:08.000 -0300</t>
  </si>
  <si>
    <t>122.61</t>
  </si>
  <si>
    <t>'52260801272434001002550020000810981077765583</t>
  </si>
  <si>
    <t>2026-08-05 05:39:01.000 -0300</t>
  </si>
  <si>
    <t>171.96</t>
  </si>
  <si>
    <t>'41260833286065000102550040000103201014172570</t>
  </si>
  <si>
    <t>2026-08-05 05:38:15.000 -0300</t>
  </si>
  <si>
    <t>223.68</t>
  </si>
  <si>
    <t>'42260823448964001921550070001785571952692463</t>
  </si>
  <si>
    <t>2026-08-05 05:22:06.000 -0300</t>
  </si>
  <si>
    <t>309.24</t>
  </si>
  <si>
    <t>'50260824601882000109550010000915281022945983</t>
  </si>
  <si>
    <t>2026-08-05 05:21:14.000 -0300</t>
  </si>
  <si>
    <t>716.67</t>
  </si>
  <si>
    <t>'42260883392050000199550020001288601050821166</t>
  </si>
  <si>
    <t>2026-08-05 05:19:10.000 -0300</t>
  </si>
  <si>
    <t>170.63</t>
  </si>
  <si>
    <t>'51260808603562002002550050000557411001438012</t>
  </si>
  <si>
    <t>2026-08-05 05:16:23.000 -0300</t>
  </si>
  <si>
    <t>13.28</t>
  </si>
  <si>
    <t>'43260807473735002800550090000172821006216058</t>
  </si>
  <si>
    <t>2026-08-05 05:11:39.000 -0300</t>
  </si>
  <si>
    <t>250.72</t>
  </si>
  <si>
    <t>'52260847377960000139550010001127521528086484</t>
  </si>
  <si>
    <t>2026-08-05 05:05:25.000 -0300</t>
  </si>
  <si>
    <t>119.00</t>
  </si>
  <si>
    <t>'41260801975878000105550100000024871922131105</t>
  </si>
  <si>
    <t>2026-08-05 05:01:18.000 -0300</t>
  </si>
  <si>
    <t>242.50</t>
  </si>
  <si>
    <t>'42260823448964001921550070001785461705963890</t>
  </si>
  <si>
    <t>2026-08-05 04:57:07.000 -0300</t>
  </si>
  <si>
    <t>277.06</t>
  </si>
  <si>
    <t>'42260881326258000770550010001010341003868017</t>
  </si>
  <si>
    <t>2026-08-05 04:54:18.000 -0300</t>
  </si>
  <si>
    <t>276.72</t>
  </si>
  <si>
    <t>'53260807822636000168550020000040901017868386</t>
  </si>
  <si>
    <t>2026-08-05 04:39:55.000 -0300</t>
  </si>
  <si>
    <t>809.17</t>
  </si>
  <si>
    <t>'43260807473735014646550080000762001023561275</t>
  </si>
  <si>
    <t>2026-08-05 04:39:10.000 -0300</t>
  </si>
  <si>
    <t>1428.29</t>
  </si>
  <si>
    <t>'41260879964177000591550020008196561011736630</t>
  </si>
  <si>
    <t>2026-08-05 04:38:48.000 -0300</t>
  </si>
  <si>
    <t>122.00</t>
  </si>
  <si>
    <t>'42260823448964001921550070001785401612914365</t>
  </si>
  <si>
    <t>2026-08-05 04:36:56.000 -0300</t>
  </si>
  <si>
    <t>308.92</t>
  </si>
  <si>
    <t>'42260823448964001921550070001785391003101088</t>
  </si>
  <si>
    <t>2026-08-05 04:32:18.000 -0300</t>
  </si>
  <si>
    <t>'42260823448964001921550070001785371463008281</t>
  </si>
  <si>
    <t>2026-08-05 04:31:26.000 -0300</t>
  </si>
  <si>
    <t>380.17</t>
  </si>
  <si>
    <t>'41260801975878000105550100000024861417862753</t>
  </si>
  <si>
    <t>2026-08-05 04:23:17.000 -0300</t>
  </si>
  <si>
    <t>378.21</t>
  </si>
  <si>
    <t>'51260809380191000139550120000442251522923136</t>
  </si>
  <si>
    <t>2026-08-05 04:23:07.000 -0300</t>
  </si>
  <si>
    <t>177.68</t>
  </si>
  <si>
    <t>'43260807473735015103550080001105731021958451</t>
  </si>
  <si>
    <t>2026-08-05 04:22:14.000 -0300</t>
  </si>
  <si>
    <t>299.59</t>
  </si>
  <si>
    <t>'50260830432373000100550030000238511003266851</t>
  </si>
  <si>
    <t>2026-08-05 04:18:38.000 -0300</t>
  </si>
  <si>
    <t>237.03</t>
  </si>
  <si>
    <t>'43260807473735022312550080000135961004720992</t>
  </si>
  <si>
    <t>2026-08-05 04:16:22.000 -0300</t>
  </si>
  <si>
    <t>224.36</t>
  </si>
  <si>
    <t>'51260814948822000103550020001546591050717451</t>
  </si>
  <si>
    <t>2026-08-05 04:09:40.000 -0300</t>
  </si>
  <si>
    <t>426.11</t>
  </si>
  <si>
    <t>'41260876493295000147550020000283921002729914</t>
  </si>
  <si>
    <t>2026-08-05 04:00:25.000 -0300</t>
  </si>
  <si>
    <t>188.46</t>
  </si>
  <si>
    <t>'43260807473735015103550080001105681021958222</t>
  </si>
  <si>
    <t>2026-08-05 04:00:01.000 -0300</t>
  </si>
  <si>
    <t>155.28</t>
  </si>
  <si>
    <t>'42260814631967000186550020000472931050700075</t>
  </si>
  <si>
    <t>2026-08-05 03:54:23.000 -0300</t>
  </si>
  <si>
    <t>242.82</t>
  </si>
  <si>
    <t>'53260807822636000168550020000040871017867899</t>
  </si>
  <si>
    <t>2026-08-05 03:51:01.000 -0300</t>
  </si>
  <si>
    <t>2850.45</t>
  </si>
  <si>
    <t>'41260879964177000591550020008196421011736465</t>
  </si>
  <si>
    <t>2026-08-05 03:31:20.000 -0300</t>
  </si>
  <si>
    <t>1855.67</t>
  </si>
  <si>
    <t>'41260879964177000591550020008196371011736384</t>
  </si>
  <si>
    <t>2026-08-05 03:28:48.000 -0300</t>
  </si>
  <si>
    <t>284.40</t>
  </si>
  <si>
    <t>'51260803623054000282550010033825971013404983</t>
  </si>
  <si>
    <t>2026-08-05 03:18:43.000 -0300</t>
  </si>
  <si>
    <t>255.89</t>
  </si>
  <si>
    <t>'53260807822636000168550020000040861017867611</t>
  </si>
  <si>
    <t>2026-08-05 03:03:33.000 -0300</t>
  </si>
  <si>
    <t>526.18</t>
  </si>
  <si>
    <t>'43260807473735017661550080000881031019040512</t>
  </si>
  <si>
    <t>2026-08-05 02:55:28.000 -0300</t>
  </si>
  <si>
    <t>665.21</t>
  </si>
  <si>
    <t>'52260801272434001002550020000810831828812249</t>
  </si>
  <si>
    <t>2026-08-05 02:15:16.000 -0300</t>
  </si>
  <si>
    <t>231.88</t>
  </si>
  <si>
    <t>'35260805065447000162550060003727131006130784</t>
  </si>
  <si>
    <t>2026-08-05 02:13:09.000 -0300</t>
  </si>
  <si>
    <t>67.56</t>
  </si>
  <si>
    <t>'43260807473735015103550080001105641021957731</t>
  </si>
  <si>
    <t>2026-08-05 02:07:30.000 -0300</t>
  </si>
  <si>
    <t>466.18</t>
  </si>
  <si>
    <t>'41260876493295000147550020000283861002729429</t>
  </si>
  <si>
    <t>2026-08-05 02:03:47.000 -0300</t>
  </si>
  <si>
    <t>399.17</t>
  </si>
  <si>
    <t>'50260826416003000102550020000488141335834945</t>
  </si>
  <si>
    <t>2026-08-05 01:15:12.000 -0300</t>
  </si>
  <si>
    <t>POSTO DRAGAO - REDE RAVANELLO</t>
  </si>
  <si>
    <t>5.82</t>
  </si>
  <si>
    <t>'41260878793189000104550010003131881012032138</t>
  </si>
  <si>
    <t>2026-08-05 01:13:56.000 -0300</t>
  </si>
  <si>
    <t>299.38</t>
  </si>
  <si>
    <t>'41260878793189000104550010003131871012032114</t>
  </si>
  <si>
    <t>2026-08-05 00:40:30.000 -0300</t>
  </si>
  <si>
    <t>292.23</t>
  </si>
  <si>
    <t>'31260824187119000183550540003108901515107464</t>
  </si>
  <si>
    <t>2026-08-05 00:06:15.000 -0300</t>
  </si>
  <si>
    <t>1800.18</t>
  </si>
  <si>
    <t>'41260820169844000178550100000271821004990974</t>
  </si>
  <si>
    <t>2026-08-04 23:57:51.000 -0300</t>
  </si>
  <si>
    <t>384.26</t>
  </si>
  <si>
    <t>'51260850128357000128550050001440951020140035</t>
  </si>
  <si>
    <t>2026-08-04 23:47:31.000 -0300</t>
  </si>
  <si>
    <t>1684.96</t>
  </si>
  <si>
    <t>1684.95</t>
  </si>
  <si>
    <t>'35260846472822000176550010000228141003093786</t>
  </si>
  <si>
    <t>2026-08-04 22:38:58.000 -0300</t>
  </si>
  <si>
    <t>215.08</t>
  </si>
  <si>
    <t>'35260827751075017640550040000006991000665552</t>
  </si>
  <si>
    <t>2026-08-04 21:11:06.000 -0300</t>
  </si>
  <si>
    <t>485.21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</si>
</sst>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0&quot;.&quot;000&quot;.&quot;000&quot;/&quot;0000&quot;-&quot;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FFFFF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/>
    <xf numFmtId="0" fontId="1" fillId="4" borderId="0" xfId="0" applyFont="1" applyFill="1"/>
    <xf numFmtId="164" fontId="2" fillId="3" borderId="0" xfId="0" applyNumberFormat="1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164" fontId="1" fillId="4" borderId="0" xfId="0" applyNumberFormat="1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center" wrapText="1"/>
    </xf>
    <xf numFmtId="22" fontId="2" fillId="2" borderId="0" xfId="0" applyNumberFormat="1" applyFont="1" applyFill="1" applyAlignment="1">
      <alignment horizontal="center" wrapText="1"/>
    </xf>
    <xf numFmtId="14" fontId="2" fillId="2" borderId="0" xfId="0" applyNumberFormat="1" applyFont="1" applyFill="1" applyAlignment="1">
      <alignment horizontal="center" wrapText="1"/>
    </xf>
    <xf numFmtId="165" fontId="0" fillId="0" borderId="0" xfId="0" applyNumberFormat="1"/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164" fontId="0" fillId="5" borderId="0" xfId="0" applyNumberFormat="1" applyFill="1" applyAlignment="1">
      <alignment horizontal="right"/>
    </xf>
    <xf numFmtId="10" fontId="0" fillId="5" borderId="0" xfId="0" applyNumberFormat="1" applyFill="1" applyAlignment="1">
      <alignment horizontal="right"/>
    </xf>
    <xf numFmtId="10" fontId="0" fillId="0" borderId="0" xfId="0" applyNumberFormat="1" applyAlignment="1">
      <alignment horizontal="right"/>
    </xf>
    <xf numFmtId="10" fontId="2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10" fontId="3" fillId="2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2" borderId="0" xfId="0" applyFont="1" applyFill="1"/>
    <xf numFmtId="165" fontId="0" fillId="5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65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right"/>
    </xf>
    <xf numFmtId="10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2D250D-EA88-4CD1-B02B-5B8809CA30E9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ebc7f325-bc84-4da2-b693-a6d5ad4f695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46D1-7AFD-48BC-8D94-211E36BB811F}">
  <dimension ref="A1:D10"/>
  <sheetViews>
    <sheetView workbookViewId="0">
      <selection activeCell="A2" sqref="A2:D10"/>
    </sheetView>
  </sheetViews>
  <sheetFormatPr defaultRowHeight="14.4" x14ac:dyDescent="0.3"/>
  <cols>
    <col min="1" max="1" width="13.88671875" customWidth="1"/>
    <col min="2" max="2" width="7.44140625" customWidth="1"/>
    <col min="3" max="3" width="48.109375" customWidth="1"/>
    <col min="4" max="4" width="24.109375" customWidth="1"/>
  </cols>
  <sheetData>
    <row r="1" spans="1:4" ht="22.05" customHeight="1" x14ac:dyDescent="0.3">
      <c r="A1" s="5" t="s">
        <v>429</v>
      </c>
      <c r="B1" s="5" t="s">
        <v>430</v>
      </c>
      <c r="C1" s="5" t="s">
        <v>431</v>
      </c>
      <c r="D1" s="5" t="s">
        <v>432</v>
      </c>
    </row>
    <row r="2" spans="1:4" x14ac:dyDescent="0.3">
      <c r="A2" s="6">
        <v>269308</v>
      </c>
      <c r="B2" s="6">
        <v>1</v>
      </c>
      <c r="C2" s="6" t="s">
        <v>515</v>
      </c>
      <c r="D2" s="8"/>
    </row>
    <row r="3" spans="1:4" x14ac:dyDescent="0.3">
      <c r="A3">
        <v>269308</v>
      </c>
      <c r="B3">
        <v>2</v>
      </c>
      <c r="C3" t="s">
        <v>433</v>
      </c>
      <c r="D3" s="10" t="s">
        <v>709</v>
      </c>
    </row>
    <row r="4" spans="1:4" x14ac:dyDescent="0.3">
      <c r="A4">
        <v>269308</v>
      </c>
      <c r="B4">
        <v>3</v>
      </c>
      <c r="C4" t="s">
        <v>434</v>
      </c>
      <c r="D4" s="10" t="s">
        <v>710</v>
      </c>
    </row>
    <row r="5" spans="1:4" x14ac:dyDescent="0.3">
      <c r="A5" s="7">
        <v>269308</v>
      </c>
      <c r="B5" s="7">
        <v>4</v>
      </c>
      <c r="C5" s="7" t="s">
        <v>516</v>
      </c>
      <c r="D5" s="11" t="s">
        <v>711</v>
      </c>
    </row>
    <row r="6" spans="1:4" x14ac:dyDescent="0.3">
      <c r="A6" s="6">
        <v>269308</v>
      </c>
      <c r="B6" s="6">
        <v>5</v>
      </c>
      <c r="C6" s="6" t="s">
        <v>517</v>
      </c>
      <c r="D6" s="12"/>
    </row>
    <row r="7" spans="1:4" x14ac:dyDescent="0.3">
      <c r="A7">
        <v>269308</v>
      </c>
      <c r="B7">
        <v>6</v>
      </c>
      <c r="C7" t="s">
        <v>435</v>
      </c>
      <c r="D7" s="10" t="s">
        <v>712</v>
      </c>
    </row>
    <row r="8" spans="1:4" x14ac:dyDescent="0.3">
      <c r="A8">
        <v>269308</v>
      </c>
      <c r="B8">
        <v>7</v>
      </c>
      <c r="C8" t="s">
        <v>436</v>
      </c>
      <c r="D8" s="10" t="s">
        <v>713</v>
      </c>
    </row>
    <row r="9" spans="1:4" x14ac:dyDescent="0.3">
      <c r="A9" s="7">
        <v>269308</v>
      </c>
      <c r="B9" s="7">
        <v>8</v>
      </c>
      <c r="C9" s="7" t="s">
        <v>518</v>
      </c>
      <c r="D9" s="11" t="s">
        <v>714</v>
      </c>
    </row>
    <row r="10" spans="1:4" x14ac:dyDescent="0.3">
      <c r="A10" s="3">
        <v>269308</v>
      </c>
      <c r="B10" s="3">
        <v>9</v>
      </c>
      <c r="C10" s="3" t="s">
        <v>437</v>
      </c>
      <c r="D10" s="13" t="s">
        <v>715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9EBA-C896-4957-9008-48EFD61BCFEE}">
  <dimension ref="A1:AE1274"/>
  <sheetViews>
    <sheetView workbookViewId="0">
      <pane ySplit="1" topLeftCell="A1196" activePane="bottomLeft" state="frozen"/>
      <selection pane="bottomLeft" activeCell="A1222" sqref="A1222"/>
    </sheetView>
  </sheetViews>
  <sheetFormatPr defaultRowHeight="14.4" x14ac:dyDescent="0.3"/>
  <cols>
    <col min="1" max="1" width="17.6640625" bestFit="1" customWidth="1"/>
    <col min="2" max="2" width="20.21875" bestFit="1" customWidth="1"/>
    <col min="3" max="3" width="20.44140625" bestFit="1" customWidth="1"/>
    <col min="4" max="4" width="10.109375" bestFit="1" customWidth="1"/>
    <col min="5" max="5" width="20.5546875" bestFit="1" customWidth="1"/>
    <col min="6" max="6" width="15.33203125" bestFit="1" customWidth="1"/>
    <col min="7" max="7" width="21" bestFit="1" customWidth="1"/>
    <col min="8" max="8" width="21.21875" bestFit="1" customWidth="1"/>
    <col min="9" max="9" width="21.77734375" bestFit="1" customWidth="1"/>
    <col min="10" max="10" width="63" bestFit="1" customWidth="1"/>
    <col min="11" max="12" width="17.6640625" bestFit="1" customWidth="1"/>
    <col min="13" max="13" width="21" bestFit="1" customWidth="1"/>
    <col min="14" max="14" width="22.6640625" bestFit="1" customWidth="1"/>
    <col min="15" max="15" width="23.5546875" bestFit="1" customWidth="1"/>
    <col min="16" max="16" width="26.44140625" bestFit="1" customWidth="1"/>
    <col min="17" max="17" width="25.77734375" bestFit="1" customWidth="1"/>
    <col min="18" max="18" width="26.21875" bestFit="1" customWidth="1"/>
    <col min="19" max="19" width="33.77734375" bestFit="1" customWidth="1"/>
    <col min="20" max="20" width="20.77734375" bestFit="1" customWidth="1"/>
    <col min="21" max="21" width="21" bestFit="1" customWidth="1"/>
    <col min="22" max="22" width="17.33203125" bestFit="1" customWidth="1"/>
    <col min="23" max="23" width="46.33203125" bestFit="1" customWidth="1"/>
    <col min="24" max="24" width="33.109375" bestFit="1" customWidth="1"/>
    <col min="25" max="25" width="22" bestFit="1" customWidth="1"/>
    <col min="26" max="26" width="25.21875" bestFit="1" customWidth="1"/>
    <col min="27" max="27" width="19.5546875" bestFit="1" customWidth="1"/>
    <col min="28" max="28" width="24.109375" bestFit="1" customWidth="1"/>
    <col min="29" max="29" width="23" bestFit="1" customWidth="1"/>
    <col min="30" max="30" width="22.21875" bestFit="1" customWidth="1"/>
    <col min="31" max="31" width="46.33203125" bestFit="1" customWidth="1"/>
  </cols>
  <sheetData>
    <row r="1" spans="1:31" ht="22.05" customHeight="1" x14ac:dyDescent="0.3">
      <c r="A1" s="14" t="s">
        <v>398</v>
      </c>
      <c r="B1" s="14" t="s">
        <v>399</v>
      </c>
      <c r="C1" s="14" t="s">
        <v>400</v>
      </c>
      <c r="D1" s="14" t="s">
        <v>401</v>
      </c>
      <c r="E1" s="14" t="s">
        <v>402</v>
      </c>
      <c r="F1" s="14" t="s">
        <v>403</v>
      </c>
      <c r="G1" s="15" t="s">
        <v>404</v>
      </c>
      <c r="H1" s="14" t="s">
        <v>405</v>
      </c>
      <c r="I1" s="14" t="s">
        <v>406</v>
      </c>
      <c r="J1" s="14" t="s">
        <v>407</v>
      </c>
      <c r="K1" s="14" t="s">
        <v>408</v>
      </c>
      <c r="L1" s="14" t="s">
        <v>409</v>
      </c>
      <c r="M1" s="14" t="s">
        <v>410</v>
      </c>
      <c r="N1" s="14" t="s">
        <v>411</v>
      </c>
      <c r="O1" s="14" t="s">
        <v>412</v>
      </c>
      <c r="P1" s="14" t="s">
        <v>413</v>
      </c>
      <c r="Q1" s="16" t="s">
        <v>414</v>
      </c>
      <c r="R1" s="14" t="s">
        <v>415</v>
      </c>
      <c r="S1" s="14" t="s">
        <v>416</v>
      </c>
      <c r="T1" s="14" t="s">
        <v>417</v>
      </c>
      <c r="U1" s="14" t="s">
        <v>418</v>
      </c>
      <c r="V1" s="14" t="s">
        <v>419</v>
      </c>
      <c r="W1" s="14" t="s">
        <v>420</v>
      </c>
      <c r="X1" s="14" t="s">
        <v>421</v>
      </c>
      <c r="Y1" s="15" t="s">
        <v>422</v>
      </c>
      <c r="Z1" s="16" t="s">
        <v>423</v>
      </c>
      <c r="AA1" s="14" t="s">
        <v>424</v>
      </c>
      <c r="AB1" s="14" t="s">
        <v>425</v>
      </c>
      <c r="AC1" s="14" t="s">
        <v>426</v>
      </c>
      <c r="AD1" s="14" t="s">
        <v>427</v>
      </c>
      <c r="AE1" s="14" t="s">
        <v>428</v>
      </c>
    </row>
    <row r="2" spans="1:31" x14ac:dyDescent="0.3">
      <c r="A2" s="17">
        <v>90739624000118</v>
      </c>
      <c r="B2" t="s">
        <v>31</v>
      </c>
      <c r="D2" t="s">
        <v>118</v>
      </c>
      <c r="E2" t="s">
        <v>2</v>
      </c>
      <c r="F2">
        <v>269308</v>
      </c>
      <c r="G2" s="1" t="s">
        <v>697</v>
      </c>
      <c r="H2">
        <v>25041264</v>
      </c>
      <c r="J2" t="s">
        <v>632</v>
      </c>
      <c r="K2" s="17">
        <v>4903852000140</v>
      </c>
      <c r="L2" s="17"/>
      <c r="M2" s="9">
        <v>-285.67</v>
      </c>
      <c r="N2" t="s">
        <v>4</v>
      </c>
      <c r="O2">
        <v>24567446</v>
      </c>
      <c r="P2">
        <v>267384</v>
      </c>
      <c r="Q2" s="2" t="s">
        <v>697</v>
      </c>
      <c r="R2" s="9" t="s">
        <v>698</v>
      </c>
      <c r="S2" t="s">
        <v>5</v>
      </c>
      <c r="U2" s="2"/>
      <c r="V2" s="9"/>
      <c r="X2" t="s">
        <v>6</v>
      </c>
      <c r="Y2" s="2" t="s">
        <v>717</v>
      </c>
      <c r="Z2" s="2" t="s">
        <v>718</v>
      </c>
      <c r="AA2" s="9" t="s">
        <v>715</v>
      </c>
      <c r="AC2" s="2"/>
      <c r="AD2" t="s">
        <v>7</v>
      </c>
    </row>
    <row r="3" spans="1:31" x14ac:dyDescent="0.3">
      <c r="A3" s="17">
        <v>90739624000118</v>
      </c>
      <c r="B3" t="s">
        <v>58</v>
      </c>
      <c r="D3" t="s">
        <v>387</v>
      </c>
      <c r="E3" t="s">
        <v>2</v>
      </c>
      <c r="F3">
        <v>269308</v>
      </c>
      <c r="G3" s="1" t="s">
        <v>699</v>
      </c>
      <c r="H3">
        <v>25041210</v>
      </c>
      <c r="J3" t="s">
        <v>480</v>
      </c>
      <c r="K3" s="17">
        <v>7473735019877</v>
      </c>
      <c r="L3" s="17"/>
      <c r="M3" s="9">
        <v>-251.86</v>
      </c>
      <c r="N3" t="s">
        <v>4</v>
      </c>
      <c r="O3">
        <v>24375893</v>
      </c>
      <c r="P3">
        <v>267384</v>
      </c>
      <c r="Q3" s="2" t="s">
        <v>699</v>
      </c>
      <c r="R3" s="9" t="s">
        <v>700</v>
      </c>
      <c r="S3" t="s">
        <v>5</v>
      </c>
      <c r="U3" s="2"/>
      <c r="V3" s="9"/>
      <c r="X3" t="s">
        <v>6</v>
      </c>
      <c r="Y3" s="2" t="s">
        <v>717</v>
      </c>
      <c r="Z3" s="2" t="s">
        <v>718</v>
      </c>
      <c r="AA3" s="9" t="s">
        <v>715</v>
      </c>
      <c r="AC3" s="2"/>
      <c r="AD3" t="s">
        <v>7</v>
      </c>
    </row>
    <row r="4" spans="1:31" x14ac:dyDescent="0.3">
      <c r="A4" s="17">
        <v>90739624000118</v>
      </c>
      <c r="B4" t="s">
        <v>65</v>
      </c>
      <c r="D4" t="s">
        <v>644</v>
      </c>
      <c r="E4" t="s">
        <v>2</v>
      </c>
      <c r="F4">
        <v>269308</v>
      </c>
      <c r="G4" s="1" t="s">
        <v>645</v>
      </c>
      <c r="H4">
        <v>25030298</v>
      </c>
      <c r="J4" t="s">
        <v>646</v>
      </c>
      <c r="K4" s="17">
        <v>7473735009308</v>
      </c>
      <c r="L4" s="17"/>
      <c r="M4" s="9">
        <v>-141.68</v>
      </c>
      <c r="N4" t="s">
        <v>4</v>
      </c>
      <c r="O4">
        <v>24502758</v>
      </c>
      <c r="P4">
        <v>267384</v>
      </c>
      <c r="Q4" s="2" t="s">
        <v>645</v>
      </c>
      <c r="R4" s="9" t="s">
        <v>647</v>
      </c>
      <c r="S4" t="s">
        <v>5</v>
      </c>
      <c r="U4" s="2"/>
      <c r="V4" s="9"/>
      <c r="X4" t="s">
        <v>6</v>
      </c>
      <c r="Y4" s="2" t="s">
        <v>717</v>
      </c>
      <c r="Z4" s="2" t="s">
        <v>718</v>
      </c>
      <c r="AA4" s="9" t="s">
        <v>715</v>
      </c>
      <c r="AC4" s="2"/>
      <c r="AD4" t="s">
        <v>7</v>
      </c>
    </row>
    <row r="5" spans="1:31" x14ac:dyDescent="0.3">
      <c r="A5" s="17">
        <v>90739624000118</v>
      </c>
      <c r="B5" t="s">
        <v>11</v>
      </c>
      <c r="C5">
        <v>22475</v>
      </c>
      <c r="D5" t="s">
        <v>12</v>
      </c>
      <c r="E5" t="s">
        <v>2</v>
      </c>
      <c r="F5">
        <v>269308</v>
      </c>
      <c r="G5" s="1" t="s">
        <v>721</v>
      </c>
      <c r="H5">
        <v>24861044</v>
      </c>
      <c r="J5" t="s">
        <v>678</v>
      </c>
      <c r="K5" s="17">
        <v>2651099000117</v>
      </c>
      <c r="L5" s="17"/>
      <c r="M5" s="9">
        <v>-331.89</v>
      </c>
      <c r="N5" t="s">
        <v>4</v>
      </c>
      <c r="O5">
        <v>24860705</v>
      </c>
      <c r="P5">
        <v>269308</v>
      </c>
      <c r="Q5" s="2" t="s">
        <v>721</v>
      </c>
      <c r="R5" s="9" t="s">
        <v>712</v>
      </c>
      <c r="S5" t="s">
        <v>5</v>
      </c>
      <c r="U5" s="2"/>
      <c r="V5" s="9"/>
      <c r="X5" t="s">
        <v>6</v>
      </c>
      <c r="Y5" s="2" t="s">
        <v>717</v>
      </c>
      <c r="Z5" s="2" t="s">
        <v>718</v>
      </c>
      <c r="AA5" s="9" t="s">
        <v>715</v>
      </c>
      <c r="AC5" s="2"/>
      <c r="AD5" t="s">
        <v>7</v>
      </c>
    </row>
    <row r="6" spans="1:31" x14ac:dyDescent="0.3">
      <c r="A6" s="17">
        <v>90739624000118</v>
      </c>
      <c r="B6" t="s">
        <v>28</v>
      </c>
      <c r="D6" t="s">
        <v>91</v>
      </c>
      <c r="E6" t="s">
        <v>2</v>
      </c>
      <c r="F6">
        <v>269308</v>
      </c>
      <c r="G6" s="1" t="s">
        <v>705</v>
      </c>
      <c r="H6">
        <v>25027473</v>
      </c>
      <c r="J6" t="s">
        <v>254</v>
      </c>
      <c r="K6" s="17">
        <v>13759928000104</v>
      </c>
      <c r="L6" s="17"/>
      <c r="M6" s="9">
        <v>-231.7</v>
      </c>
      <c r="N6" t="s">
        <v>4</v>
      </c>
      <c r="O6">
        <v>24661956</v>
      </c>
      <c r="P6">
        <v>267384</v>
      </c>
      <c r="Q6" s="2" t="s">
        <v>705</v>
      </c>
      <c r="R6" s="9" t="s">
        <v>706</v>
      </c>
      <c r="S6" t="s">
        <v>5</v>
      </c>
      <c r="U6" s="2"/>
      <c r="V6" s="9"/>
      <c r="X6" t="s">
        <v>6</v>
      </c>
      <c r="Y6" s="2" t="s">
        <v>717</v>
      </c>
      <c r="Z6" s="2" t="s">
        <v>718</v>
      </c>
      <c r="AA6" s="9" t="s">
        <v>715</v>
      </c>
      <c r="AC6" s="2"/>
      <c r="AD6" t="s">
        <v>7</v>
      </c>
    </row>
    <row r="7" spans="1:31" x14ac:dyDescent="0.3">
      <c r="A7" s="17">
        <v>90739624000118</v>
      </c>
      <c r="B7" t="s">
        <v>28</v>
      </c>
      <c r="D7" t="s">
        <v>91</v>
      </c>
      <c r="E7" t="s">
        <v>2</v>
      </c>
      <c r="F7">
        <v>269308</v>
      </c>
      <c r="G7" s="1" t="s">
        <v>707</v>
      </c>
      <c r="H7">
        <v>25029954</v>
      </c>
      <c r="J7" t="s">
        <v>254</v>
      </c>
      <c r="K7" s="17">
        <v>13759928000104</v>
      </c>
      <c r="L7" s="17"/>
      <c r="M7" s="9">
        <v>-225.77</v>
      </c>
      <c r="N7" t="s">
        <v>4</v>
      </c>
      <c r="O7">
        <v>24469630</v>
      </c>
      <c r="P7">
        <v>267384</v>
      </c>
      <c r="Q7" s="2" t="s">
        <v>707</v>
      </c>
      <c r="R7" s="9" t="s">
        <v>708</v>
      </c>
      <c r="S7" t="s">
        <v>5</v>
      </c>
      <c r="U7" s="2"/>
      <c r="V7" s="9"/>
      <c r="X7" t="s">
        <v>6</v>
      </c>
      <c r="Y7" s="2" t="s">
        <v>717</v>
      </c>
      <c r="Z7" s="2" t="s">
        <v>718</v>
      </c>
      <c r="AA7" s="9" t="s">
        <v>715</v>
      </c>
      <c r="AC7" s="2"/>
      <c r="AD7" t="s">
        <v>7</v>
      </c>
    </row>
    <row r="8" spans="1:31" x14ac:dyDescent="0.3">
      <c r="A8" s="17">
        <v>90739624000118</v>
      </c>
      <c r="B8" t="s">
        <v>126</v>
      </c>
      <c r="D8" t="s">
        <v>605</v>
      </c>
      <c r="E8" t="s">
        <v>2</v>
      </c>
      <c r="F8">
        <v>269308</v>
      </c>
      <c r="G8" s="1" t="s">
        <v>725</v>
      </c>
      <c r="H8">
        <v>25063040</v>
      </c>
      <c r="I8">
        <v>29106</v>
      </c>
      <c r="J8" t="s">
        <v>127</v>
      </c>
      <c r="K8" s="17">
        <v>76493295000147</v>
      </c>
      <c r="L8" s="17">
        <v>9576274000106</v>
      </c>
      <c r="M8" s="9">
        <v>252.02</v>
      </c>
      <c r="N8" t="s">
        <v>43</v>
      </c>
      <c r="Q8" s="2"/>
      <c r="R8" s="9"/>
      <c r="S8" t="s">
        <v>44</v>
      </c>
      <c r="T8" t="s">
        <v>45</v>
      </c>
      <c r="U8" s="2" t="s">
        <v>583</v>
      </c>
      <c r="V8" s="9" t="s">
        <v>726</v>
      </c>
      <c r="W8">
        <v>4.1260876493295002E+43</v>
      </c>
      <c r="X8" t="s">
        <v>46</v>
      </c>
      <c r="Y8" s="2" t="s">
        <v>717</v>
      </c>
      <c r="Z8" s="2" t="s">
        <v>718</v>
      </c>
      <c r="AA8" s="9" t="s">
        <v>715</v>
      </c>
      <c r="AC8" s="2"/>
      <c r="AD8" t="s">
        <v>7</v>
      </c>
      <c r="AE8" t="s">
        <v>727</v>
      </c>
    </row>
    <row r="9" spans="1:31" x14ac:dyDescent="0.3">
      <c r="A9" s="17">
        <v>90739624000118</v>
      </c>
      <c r="B9" t="s">
        <v>11</v>
      </c>
      <c r="D9" t="s">
        <v>203</v>
      </c>
      <c r="E9" t="s">
        <v>2</v>
      </c>
      <c r="F9">
        <v>269308</v>
      </c>
      <c r="G9" s="1" t="s">
        <v>728</v>
      </c>
      <c r="H9">
        <v>25062781</v>
      </c>
      <c r="I9">
        <v>5325</v>
      </c>
      <c r="J9" t="s">
        <v>310</v>
      </c>
      <c r="K9" s="17">
        <v>42733072000198</v>
      </c>
      <c r="L9" s="17">
        <v>90739624000380</v>
      </c>
      <c r="M9" s="9">
        <v>283.60000000000002</v>
      </c>
      <c r="N9" t="s">
        <v>43</v>
      </c>
      <c r="Q9" s="2"/>
      <c r="R9" s="9"/>
      <c r="S9" t="s">
        <v>44</v>
      </c>
      <c r="T9" t="s">
        <v>45</v>
      </c>
      <c r="U9" s="2" t="s">
        <v>602</v>
      </c>
      <c r="V9" s="9" t="s">
        <v>689</v>
      </c>
      <c r="W9">
        <v>3.5260842733072E+43</v>
      </c>
      <c r="X9" t="s">
        <v>46</v>
      </c>
      <c r="Y9" s="2" t="s">
        <v>717</v>
      </c>
      <c r="Z9" s="2" t="s">
        <v>718</v>
      </c>
      <c r="AA9" s="9" t="s">
        <v>715</v>
      </c>
      <c r="AC9" s="2"/>
      <c r="AD9" t="s">
        <v>7</v>
      </c>
      <c r="AE9" t="s">
        <v>729</v>
      </c>
    </row>
    <row r="10" spans="1:31" x14ac:dyDescent="0.3">
      <c r="A10" s="17">
        <v>90739624000118</v>
      </c>
      <c r="B10" t="s">
        <v>28</v>
      </c>
      <c r="D10" t="s">
        <v>208</v>
      </c>
      <c r="E10" t="s">
        <v>2</v>
      </c>
      <c r="F10">
        <v>269308</v>
      </c>
      <c r="G10" s="1" t="s">
        <v>730</v>
      </c>
      <c r="H10">
        <v>25062357</v>
      </c>
      <c r="I10">
        <v>38315</v>
      </c>
      <c r="J10" t="s">
        <v>209</v>
      </c>
      <c r="K10" s="17">
        <v>33360405000190</v>
      </c>
      <c r="L10" s="17">
        <v>90739624001947</v>
      </c>
      <c r="M10" s="9">
        <v>220.77</v>
      </c>
      <c r="N10" t="s">
        <v>43</v>
      </c>
      <c r="Q10" s="2"/>
      <c r="R10" s="9"/>
      <c r="S10" t="s">
        <v>44</v>
      </c>
      <c r="T10" t="s">
        <v>45</v>
      </c>
      <c r="U10" s="2" t="s">
        <v>583</v>
      </c>
      <c r="V10" s="9" t="s">
        <v>636</v>
      </c>
      <c r="W10">
        <v>5.2260833360404998E+43</v>
      </c>
      <c r="X10" t="s">
        <v>46</v>
      </c>
      <c r="Y10" s="2" t="s">
        <v>717</v>
      </c>
      <c r="Z10" s="2" t="s">
        <v>718</v>
      </c>
      <c r="AA10" s="9" t="s">
        <v>715</v>
      </c>
      <c r="AC10" s="2"/>
      <c r="AD10" t="s">
        <v>7</v>
      </c>
      <c r="AE10" t="s">
        <v>731</v>
      </c>
    </row>
    <row r="11" spans="1:31" x14ac:dyDescent="0.3">
      <c r="A11" s="17">
        <v>90739624000118</v>
      </c>
      <c r="B11" t="s">
        <v>18</v>
      </c>
      <c r="D11" t="s">
        <v>168</v>
      </c>
      <c r="E11" t="s">
        <v>2</v>
      </c>
      <c r="F11">
        <v>269308</v>
      </c>
      <c r="G11" s="1" t="s">
        <v>732</v>
      </c>
      <c r="H11">
        <v>25061999</v>
      </c>
      <c r="I11">
        <v>1052949</v>
      </c>
      <c r="J11" t="s">
        <v>210</v>
      </c>
      <c r="K11" s="17">
        <v>55973291000196</v>
      </c>
      <c r="L11" s="17">
        <v>90739624000380</v>
      </c>
      <c r="M11" s="9">
        <v>336.5</v>
      </c>
      <c r="N11" t="s">
        <v>43</v>
      </c>
      <c r="Q11" s="2"/>
      <c r="R11" s="9"/>
      <c r="S11" t="s">
        <v>44</v>
      </c>
      <c r="T11" t="s">
        <v>45</v>
      </c>
      <c r="U11" s="2" t="s">
        <v>583</v>
      </c>
      <c r="V11" s="9" t="s">
        <v>733</v>
      </c>
      <c r="W11">
        <v>3.5260855973290999E+43</v>
      </c>
      <c r="X11" t="s">
        <v>46</v>
      </c>
      <c r="Y11" s="2" t="s">
        <v>717</v>
      </c>
      <c r="Z11" s="2" t="s">
        <v>718</v>
      </c>
      <c r="AA11" s="9" t="s">
        <v>715</v>
      </c>
      <c r="AC11" s="2"/>
      <c r="AD11" t="s">
        <v>7</v>
      </c>
      <c r="AE11" t="s">
        <v>734</v>
      </c>
    </row>
    <row r="12" spans="1:31" x14ac:dyDescent="0.3">
      <c r="A12" s="17">
        <v>90739624000118</v>
      </c>
      <c r="B12" t="s">
        <v>61</v>
      </c>
      <c r="D12" t="s">
        <v>522</v>
      </c>
      <c r="E12" t="s">
        <v>2</v>
      </c>
      <c r="F12">
        <v>269308</v>
      </c>
      <c r="G12" s="1" t="s">
        <v>735</v>
      </c>
      <c r="H12">
        <v>25061890</v>
      </c>
      <c r="I12">
        <v>820855</v>
      </c>
      <c r="J12" t="s">
        <v>62</v>
      </c>
      <c r="K12" s="17">
        <v>79964177000591</v>
      </c>
      <c r="L12" s="17">
        <v>9576274000106</v>
      </c>
      <c r="M12" s="9">
        <v>698.82</v>
      </c>
      <c r="N12" t="s">
        <v>43</v>
      </c>
      <c r="Q12" s="2"/>
      <c r="R12" s="9"/>
      <c r="S12" t="s">
        <v>44</v>
      </c>
      <c r="T12" t="s">
        <v>45</v>
      </c>
      <c r="U12" s="2" t="s">
        <v>583</v>
      </c>
      <c r="V12" s="9" t="s">
        <v>736</v>
      </c>
      <c r="W12">
        <v>4.1260879964176998E+43</v>
      </c>
      <c r="X12" t="s">
        <v>46</v>
      </c>
      <c r="Y12" s="2" t="s">
        <v>717</v>
      </c>
      <c r="Z12" s="2" t="s">
        <v>718</v>
      </c>
      <c r="AA12" s="9" t="s">
        <v>715</v>
      </c>
      <c r="AC12" s="2"/>
      <c r="AD12" t="s">
        <v>7</v>
      </c>
      <c r="AE12" t="s">
        <v>737</v>
      </c>
    </row>
    <row r="13" spans="1:31" x14ac:dyDescent="0.3">
      <c r="A13" s="17">
        <v>90739624000118</v>
      </c>
      <c r="B13" t="s">
        <v>174</v>
      </c>
      <c r="D13" t="s">
        <v>543</v>
      </c>
      <c r="E13" t="s">
        <v>2</v>
      </c>
      <c r="F13">
        <v>269308</v>
      </c>
      <c r="G13" s="1" t="s">
        <v>738</v>
      </c>
      <c r="H13">
        <v>25061863</v>
      </c>
      <c r="I13">
        <v>38314</v>
      </c>
      <c r="J13" t="s">
        <v>209</v>
      </c>
      <c r="K13" s="17">
        <v>33360405000190</v>
      </c>
      <c r="L13" s="17">
        <v>90739624001947</v>
      </c>
      <c r="M13" s="9">
        <v>196.89</v>
      </c>
      <c r="N13" t="s">
        <v>43</v>
      </c>
      <c r="Q13" s="2"/>
      <c r="R13" s="9"/>
      <c r="S13" t="s">
        <v>44</v>
      </c>
      <c r="T13" t="s">
        <v>45</v>
      </c>
      <c r="U13" s="2" t="s">
        <v>583</v>
      </c>
      <c r="V13" s="9" t="s">
        <v>701</v>
      </c>
      <c r="W13">
        <v>5.2260833360404998E+43</v>
      </c>
      <c r="X13" t="s">
        <v>46</v>
      </c>
      <c r="Y13" s="2" t="s">
        <v>717</v>
      </c>
      <c r="Z13" s="2" t="s">
        <v>718</v>
      </c>
      <c r="AA13" s="9" t="s">
        <v>715</v>
      </c>
      <c r="AC13" s="2"/>
      <c r="AD13" t="s">
        <v>7</v>
      </c>
      <c r="AE13" t="s">
        <v>739</v>
      </c>
    </row>
    <row r="14" spans="1:31" x14ac:dyDescent="0.3">
      <c r="A14" s="17">
        <v>90739624000118</v>
      </c>
      <c r="B14" t="s">
        <v>61</v>
      </c>
      <c r="C14">
        <v>15984</v>
      </c>
      <c r="D14" t="s">
        <v>163</v>
      </c>
      <c r="E14" t="s">
        <v>2</v>
      </c>
      <c r="F14">
        <v>269308</v>
      </c>
      <c r="G14" s="1" t="s">
        <v>740</v>
      </c>
      <c r="H14">
        <v>25061415</v>
      </c>
      <c r="I14">
        <v>820852</v>
      </c>
      <c r="J14" t="s">
        <v>62</v>
      </c>
      <c r="K14" s="17">
        <v>79964177000591</v>
      </c>
      <c r="L14" s="17">
        <v>9576274000106</v>
      </c>
      <c r="M14" s="9">
        <v>1878.84</v>
      </c>
      <c r="N14" t="s">
        <v>43</v>
      </c>
      <c r="Q14" s="2"/>
      <c r="R14" s="9"/>
      <c r="S14" t="s">
        <v>44</v>
      </c>
      <c r="T14" t="s">
        <v>45</v>
      </c>
      <c r="U14" s="2" t="s">
        <v>583</v>
      </c>
      <c r="V14" s="9" t="s">
        <v>741</v>
      </c>
      <c r="W14">
        <v>4.1260879964176998E+43</v>
      </c>
      <c r="X14" t="s">
        <v>46</v>
      </c>
      <c r="Y14" s="2" t="s">
        <v>717</v>
      </c>
      <c r="Z14" s="2" t="s">
        <v>718</v>
      </c>
      <c r="AA14" s="9" t="s">
        <v>715</v>
      </c>
      <c r="AC14" s="2"/>
      <c r="AD14" t="s">
        <v>7</v>
      </c>
      <c r="AE14" t="s">
        <v>742</v>
      </c>
    </row>
    <row r="15" spans="1:31" x14ac:dyDescent="0.3">
      <c r="A15" s="17">
        <v>90739624000118</v>
      </c>
      <c r="B15" t="s">
        <v>63</v>
      </c>
      <c r="D15" t="s">
        <v>743</v>
      </c>
      <c r="E15" t="s">
        <v>2</v>
      </c>
      <c r="F15">
        <v>269308</v>
      </c>
      <c r="G15" s="1" t="s">
        <v>744</v>
      </c>
      <c r="H15">
        <v>25061399</v>
      </c>
      <c r="I15">
        <v>4439</v>
      </c>
      <c r="J15" t="s">
        <v>482</v>
      </c>
      <c r="K15" s="17">
        <v>93489243007471</v>
      </c>
      <c r="L15" s="17">
        <v>90739624002323</v>
      </c>
      <c r="M15" s="9">
        <v>475.6</v>
      </c>
      <c r="N15" t="s">
        <v>43</v>
      </c>
      <c r="Q15" s="2"/>
      <c r="R15" s="9"/>
      <c r="S15" t="s">
        <v>44</v>
      </c>
      <c r="T15" t="s">
        <v>45</v>
      </c>
      <c r="U15" s="2" t="s">
        <v>583</v>
      </c>
      <c r="V15" s="9" t="s">
        <v>745</v>
      </c>
      <c r="W15">
        <v>4.3260893489242999E+43</v>
      </c>
      <c r="X15" t="s">
        <v>46</v>
      </c>
      <c r="Y15" s="2" t="s">
        <v>717</v>
      </c>
      <c r="Z15" s="2" t="s">
        <v>718</v>
      </c>
      <c r="AA15" s="9" t="s">
        <v>715</v>
      </c>
      <c r="AC15" s="2"/>
      <c r="AD15" t="s">
        <v>7</v>
      </c>
      <c r="AE15" t="s">
        <v>746</v>
      </c>
    </row>
    <row r="16" spans="1:31" x14ac:dyDescent="0.3">
      <c r="A16" s="17">
        <v>90739624000118</v>
      </c>
      <c r="B16" t="s">
        <v>28</v>
      </c>
      <c r="D16" t="s">
        <v>214</v>
      </c>
      <c r="E16" t="s">
        <v>2</v>
      </c>
      <c r="F16">
        <v>269308</v>
      </c>
      <c r="G16" s="1" t="s">
        <v>747</v>
      </c>
      <c r="H16">
        <v>25056047</v>
      </c>
      <c r="I16">
        <v>81440</v>
      </c>
      <c r="J16" t="s">
        <v>48</v>
      </c>
      <c r="K16" s="17">
        <v>1272434001002</v>
      </c>
      <c r="L16" s="17">
        <v>90739624001947</v>
      </c>
      <c r="M16" s="9">
        <v>260.27999999999997</v>
      </c>
      <c r="N16" t="s">
        <v>43</v>
      </c>
      <c r="Q16" s="2"/>
      <c r="R16" s="9"/>
      <c r="S16" t="s">
        <v>44</v>
      </c>
      <c r="T16" t="s">
        <v>45</v>
      </c>
      <c r="U16" s="2" t="s">
        <v>583</v>
      </c>
      <c r="V16" s="9" t="s">
        <v>655</v>
      </c>
      <c r="W16">
        <v>5.2260801272433996E+43</v>
      </c>
      <c r="X16" t="s">
        <v>46</v>
      </c>
      <c r="Y16" s="2" t="s">
        <v>717</v>
      </c>
      <c r="Z16" s="2" t="s">
        <v>718</v>
      </c>
      <c r="AA16" s="9" t="s">
        <v>715</v>
      </c>
      <c r="AC16" s="2"/>
      <c r="AD16" t="s">
        <v>7</v>
      </c>
      <c r="AE16" t="s">
        <v>748</v>
      </c>
    </row>
    <row r="17" spans="1:31" x14ac:dyDescent="0.3">
      <c r="A17" s="17">
        <v>90739624000118</v>
      </c>
      <c r="B17" t="s">
        <v>18</v>
      </c>
      <c r="C17">
        <v>26123</v>
      </c>
      <c r="D17" t="s">
        <v>39</v>
      </c>
      <c r="E17" t="s">
        <v>2</v>
      </c>
      <c r="F17">
        <v>269308</v>
      </c>
      <c r="G17" s="1" t="s">
        <v>749</v>
      </c>
      <c r="H17">
        <v>25055879</v>
      </c>
      <c r="I17">
        <v>374251</v>
      </c>
      <c r="J17" t="s">
        <v>202</v>
      </c>
      <c r="K17" s="17">
        <v>5065447000162</v>
      </c>
      <c r="L17" s="17">
        <v>90739624000380</v>
      </c>
      <c r="M17" s="9">
        <v>221.63</v>
      </c>
      <c r="N17" t="s">
        <v>43</v>
      </c>
      <c r="Q17" s="2"/>
      <c r="R17" s="9"/>
      <c r="S17" t="s">
        <v>44</v>
      </c>
      <c r="T17" t="s">
        <v>45</v>
      </c>
      <c r="U17" s="2" t="s">
        <v>583</v>
      </c>
      <c r="V17" s="9" t="s">
        <v>750</v>
      </c>
      <c r="W17">
        <v>3.5260805065447002E+43</v>
      </c>
      <c r="X17" t="s">
        <v>46</v>
      </c>
      <c r="Y17" s="2" t="s">
        <v>717</v>
      </c>
      <c r="Z17" s="2" t="s">
        <v>718</v>
      </c>
      <c r="AA17" s="9" t="s">
        <v>715</v>
      </c>
      <c r="AC17" s="2"/>
      <c r="AD17" t="s">
        <v>7</v>
      </c>
      <c r="AE17" t="s">
        <v>751</v>
      </c>
    </row>
    <row r="18" spans="1:31" x14ac:dyDescent="0.3">
      <c r="A18" s="17">
        <v>90739624000118</v>
      </c>
      <c r="B18" t="s">
        <v>100</v>
      </c>
      <c r="C18">
        <v>23395</v>
      </c>
      <c r="D18" t="s">
        <v>188</v>
      </c>
      <c r="E18" t="s">
        <v>2</v>
      </c>
      <c r="F18">
        <v>269308</v>
      </c>
      <c r="G18" s="1" t="s">
        <v>752</v>
      </c>
      <c r="H18">
        <v>25055759</v>
      </c>
      <c r="I18">
        <v>10286</v>
      </c>
      <c r="J18" t="s">
        <v>189</v>
      </c>
      <c r="K18" s="17">
        <v>50128357000551</v>
      </c>
      <c r="L18" s="17">
        <v>90739624001866</v>
      </c>
      <c r="M18" s="9">
        <v>189.65</v>
      </c>
      <c r="N18" t="s">
        <v>43</v>
      </c>
      <c r="Q18" s="2"/>
      <c r="R18" s="9"/>
      <c r="S18" t="s">
        <v>44</v>
      </c>
      <c r="T18" t="s">
        <v>45</v>
      </c>
      <c r="U18" s="2" t="s">
        <v>583</v>
      </c>
      <c r="V18" s="9" t="s">
        <v>754</v>
      </c>
      <c r="W18">
        <v>5.1260850128356998E+43</v>
      </c>
      <c r="X18" t="s">
        <v>46</v>
      </c>
      <c r="Y18" s="2" t="s">
        <v>717</v>
      </c>
      <c r="Z18" s="2" t="s">
        <v>718</v>
      </c>
      <c r="AA18" s="9" t="s">
        <v>715</v>
      </c>
      <c r="AC18" s="2"/>
      <c r="AD18" t="s">
        <v>7</v>
      </c>
      <c r="AE18" t="s">
        <v>755</v>
      </c>
    </row>
    <row r="19" spans="1:31" x14ac:dyDescent="0.3">
      <c r="A19" s="17">
        <v>90739624000118</v>
      </c>
      <c r="B19" t="s">
        <v>58</v>
      </c>
      <c r="D19" t="s">
        <v>481</v>
      </c>
      <c r="E19" t="s">
        <v>2</v>
      </c>
      <c r="F19">
        <v>269308</v>
      </c>
      <c r="G19" s="1" t="s">
        <v>756</v>
      </c>
      <c r="H19">
        <v>25055716</v>
      </c>
      <c r="I19">
        <v>58070</v>
      </c>
      <c r="J19" t="s">
        <v>480</v>
      </c>
      <c r="K19" s="17">
        <v>7473735019877</v>
      </c>
      <c r="L19" s="17">
        <v>90739624002323</v>
      </c>
      <c r="M19" s="9">
        <v>255.16</v>
      </c>
      <c r="N19" t="s">
        <v>43</v>
      </c>
      <c r="Q19" s="2"/>
      <c r="R19" s="9"/>
      <c r="S19" t="s">
        <v>44</v>
      </c>
      <c r="T19" t="s">
        <v>45</v>
      </c>
      <c r="U19" s="2" t="s">
        <v>583</v>
      </c>
      <c r="V19" s="9" t="s">
        <v>757</v>
      </c>
      <c r="W19">
        <v>4.3260807473734999E+43</v>
      </c>
      <c r="X19" t="s">
        <v>46</v>
      </c>
      <c r="Y19" s="2" t="s">
        <v>717</v>
      </c>
      <c r="Z19" s="2" t="s">
        <v>718</v>
      </c>
      <c r="AA19" s="9" t="s">
        <v>715</v>
      </c>
      <c r="AC19" s="2"/>
      <c r="AD19" t="s">
        <v>7</v>
      </c>
      <c r="AE19" t="s">
        <v>758</v>
      </c>
    </row>
    <row r="20" spans="1:31" x14ac:dyDescent="0.3">
      <c r="A20" s="17">
        <v>90739624000118</v>
      </c>
      <c r="B20" t="s">
        <v>61</v>
      </c>
      <c r="D20" t="s">
        <v>521</v>
      </c>
      <c r="E20" t="s">
        <v>2</v>
      </c>
      <c r="F20">
        <v>269308</v>
      </c>
      <c r="G20" s="1" t="s">
        <v>759</v>
      </c>
      <c r="H20">
        <v>25055585</v>
      </c>
      <c r="I20">
        <v>29103</v>
      </c>
      <c r="J20" t="s">
        <v>127</v>
      </c>
      <c r="K20" s="17">
        <v>76493295000147</v>
      </c>
      <c r="L20" s="17">
        <v>9576274000106</v>
      </c>
      <c r="M20" s="9">
        <v>620.71</v>
      </c>
      <c r="N20" t="s">
        <v>43</v>
      </c>
      <c r="Q20" s="2"/>
      <c r="R20" s="9"/>
      <c r="S20" t="s">
        <v>44</v>
      </c>
      <c r="T20" t="s">
        <v>45</v>
      </c>
      <c r="U20" s="2" t="s">
        <v>583</v>
      </c>
      <c r="V20" s="9" t="s">
        <v>760</v>
      </c>
      <c r="W20">
        <v>4.1260876493295002E+43</v>
      </c>
      <c r="X20" t="s">
        <v>46</v>
      </c>
      <c r="Y20" s="2" t="s">
        <v>717</v>
      </c>
      <c r="Z20" s="2" t="s">
        <v>718</v>
      </c>
      <c r="AA20" s="9" t="s">
        <v>715</v>
      </c>
      <c r="AC20" s="2"/>
      <c r="AD20" t="s">
        <v>7</v>
      </c>
      <c r="AE20" t="s">
        <v>761</v>
      </c>
    </row>
    <row r="21" spans="1:31" x14ac:dyDescent="0.3">
      <c r="A21" s="17">
        <v>90739624000118</v>
      </c>
      <c r="B21" t="s">
        <v>28</v>
      </c>
      <c r="D21" t="s">
        <v>205</v>
      </c>
      <c r="E21" t="s">
        <v>17</v>
      </c>
      <c r="F21">
        <v>269308</v>
      </c>
      <c r="G21" s="1" t="s">
        <v>762</v>
      </c>
      <c r="H21">
        <v>25055573</v>
      </c>
      <c r="I21">
        <v>90596</v>
      </c>
      <c r="J21" t="s">
        <v>683</v>
      </c>
      <c r="K21" s="17">
        <v>1272434000618</v>
      </c>
      <c r="L21" s="17">
        <v>90739624001947</v>
      </c>
      <c r="M21" s="9">
        <v>59.8</v>
      </c>
      <c r="N21" t="s">
        <v>43</v>
      </c>
      <c r="Q21" s="2"/>
      <c r="R21" s="9"/>
      <c r="S21" t="s">
        <v>44</v>
      </c>
      <c r="T21" t="s">
        <v>45</v>
      </c>
      <c r="U21" s="2" t="s">
        <v>583</v>
      </c>
      <c r="V21" s="9" t="s">
        <v>763</v>
      </c>
      <c r="W21">
        <v>5.2260801272433996E+43</v>
      </c>
      <c r="X21" t="s">
        <v>46</v>
      </c>
      <c r="Y21" s="2" t="s">
        <v>717</v>
      </c>
      <c r="Z21" s="2" t="s">
        <v>718</v>
      </c>
      <c r="AA21" s="9" t="s">
        <v>715</v>
      </c>
      <c r="AC21" s="2"/>
      <c r="AD21" t="s">
        <v>7</v>
      </c>
      <c r="AE21" t="s">
        <v>764</v>
      </c>
    </row>
    <row r="22" spans="1:31" x14ac:dyDescent="0.3">
      <c r="A22" s="17">
        <v>90739624000118</v>
      </c>
      <c r="B22" t="s">
        <v>49</v>
      </c>
      <c r="D22" t="s">
        <v>86</v>
      </c>
      <c r="E22" t="s">
        <v>2</v>
      </c>
      <c r="F22">
        <v>269308</v>
      </c>
      <c r="G22" s="1" t="s">
        <v>765</v>
      </c>
      <c r="H22">
        <v>25055555</v>
      </c>
      <c r="I22">
        <v>163227</v>
      </c>
      <c r="J22" t="s">
        <v>51</v>
      </c>
      <c r="K22" s="17">
        <v>2763612000161</v>
      </c>
      <c r="L22" s="17">
        <v>90739624003133</v>
      </c>
      <c r="M22" s="9">
        <v>660.15</v>
      </c>
      <c r="N22" t="s">
        <v>43</v>
      </c>
      <c r="Q22" s="2"/>
      <c r="R22" s="9"/>
      <c r="S22" t="s">
        <v>44</v>
      </c>
      <c r="T22" t="s">
        <v>45</v>
      </c>
      <c r="U22" s="2" t="s">
        <v>583</v>
      </c>
      <c r="V22" s="9" t="s">
        <v>766</v>
      </c>
      <c r="W22">
        <v>4.1260802763612002E+43</v>
      </c>
      <c r="X22" t="s">
        <v>46</v>
      </c>
      <c r="Y22" s="2" t="s">
        <v>717</v>
      </c>
      <c r="Z22" s="2" t="s">
        <v>718</v>
      </c>
      <c r="AA22" s="9" t="s">
        <v>715</v>
      </c>
      <c r="AC22" s="2"/>
      <c r="AD22" t="s">
        <v>7</v>
      </c>
      <c r="AE22" t="s">
        <v>767</v>
      </c>
    </row>
    <row r="23" spans="1:31" x14ac:dyDescent="0.3">
      <c r="A23" s="17">
        <v>90739624000118</v>
      </c>
      <c r="B23" t="s">
        <v>174</v>
      </c>
      <c r="D23" t="s">
        <v>222</v>
      </c>
      <c r="E23" t="s">
        <v>2</v>
      </c>
      <c r="F23">
        <v>269308</v>
      </c>
      <c r="G23" s="1" t="s">
        <v>768</v>
      </c>
      <c r="H23">
        <v>25055420</v>
      </c>
      <c r="I23">
        <v>99280</v>
      </c>
      <c r="J23" t="s">
        <v>176</v>
      </c>
      <c r="K23" s="17">
        <v>4219621000111</v>
      </c>
      <c r="L23" s="17">
        <v>90739624000118</v>
      </c>
      <c r="M23" s="9">
        <v>305.06</v>
      </c>
      <c r="N23" t="s">
        <v>43</v>
      </c>
      <c r="Q23" s="2"/>
      <c r="R23" s="9"/>
      <c r="S23" t="s">
        <v>44</v>
      </c>
      <c r="T23" t="s">
        <v>45</v>
      </c>
      <c r="U23" s="2" t="s">
        <v>602</v>
      </c>
      <c r="V23" s="9" t="s">
        <v>769</v>
      </c>
      <c r="W23">
        <v>1.7260804219621001E+43</v>
      </c>
      <c r="X23" t="s">
        <v>46</v>
      </c>
      <c r="Y23" s="2" t="s">
        <v>717</v>
      </c>
      <c r="Z23" s="2" t="s">
        <v>718</v>
      </c>
      <c r="AA23" s="9" t="s">
        <v>715</v>
      </c>
      <c r="AC23" s="2"/>
      <c r="AD23" t="s">
        <v>7</v>
      </c>
      <c r="AE23" t="s">
        <v>770</v>
      </c>
    </row>
    <row r="24" spans="1:31" x14ac:dyDescent="0.3">
      <c r="A24" s="17">
        <v>90739624000118</v>
      </c>
      <c r="B24" t="s">
        <v>40</v>
      </c>
      <c r="C24">
        <v>24753</v>
      </c>
      <c r="D24" t="s">
        <v>771</v>
      </c>
      <c r="E24" t="s">
        <v>2</v>
      </c>
      <c r="F24">
        <v>269308</v>
      </c>
      <c r="G24" s="1" t="s">
        <v>772</v>
      </c>
      <c r="H24">
        <v>25055367</v>
      </c>
      <c r="I24">
        <v>168726</v>
      </c>
      <c r="J24" t="s">
        <v>42</v>
      </c>
      <c r="K24" s="17">
        <v>82156977000248</v>
      </c>
      <c r="L24" s="17">
        <v>90739624001432</v>
      </c>
      <c r="M24" s="9">
        <v>234.43</v>
      </c>
      <c r="N24" t="s">
        <v>43</v>
      </c>
      <c r="Q24" s="2"/>
      <c r="R24" s="9"/>
      <c r="S24" t="s">
        <v>44</v>
      </c>
      <c r="T24" t="s">
        <v>45</v>
      </c>
      <c r="U24" s="2" t="s">
        <v>583</v>
      </c>
      <c r="V24" s="9" t="s">
        <v>773</v>
      </c>
      <c r="W24">
        <v>4.2260882156977001E+43</v>
      </c>
      <c r="X24" t="s">
        <v>46</v>
      </c>
      <c r="Y24" s="2" t="s">
        <v>717</v>
      </c>
      <c r="Z24" s="2" t="s">
        <v>718</v>
      </c>
      <c r="AA24" s="9" t="s">
        <v>715</v>
      </c>
      <c r="AC24" s="2"/>
      <c r="AD24" t="s">
        <v>7</v>
      </c>
      <c r="AE24" t="s">
        <v>774</v>
      </c>
    </row>
    <row r="25" spans="1:31" x14ac:dyDescent="0.3">
      <c r="A25" s="17">
        <v>90739624000118</v>
      </c>
      <c r="B25" t="s">
        <v>31</v>
      </c>
      <c r="D25" t="s">
        <v>118</v>
      </c>
      <c r="E25" t="s">
        <v>2</v>
      </c>
      <c r="F25">
        <v>269308</v>
      </c>
      <c r="G25" s="1" t="s">
        <v>775</v>
      </c>
      <c r="H25">
        <v>25055190</v>
      </c>
      <c r="I25">
        <v>171981</v>
      </c>
      <c r="J25" t="s">
        <v>233</v>
      </c>
      <c r="K25" s="17">
        <v>22611652000103</v>
      </c>
      <c r="L25" s="17">
        <v>90739624001866</v>
      </c>
      <c r="M25" s="9">
        <v>139.9</v>
      </c>
      <c r="N25" t="s">
        <v>43</v>
      </c>
      <c r="Q25" s="2"/>
      <c r="R25" s="9"/>
      <c r="S25" t="s">
        <v>44</v>
      </c>
      <c r="T25" t="s">
        <v>45</v>
      </c>
      <c r="U25" s="2" t="s">
        <v>583</v>
      </c>
      <c r="V25" s="9" t="s">
        <v>776</v>
      </c>
      <c r="W25">
        <v>5.1260822611652001E+43</v>
      </c>
      <c r="X25" t="s">
        <v>46</v>
      </c>
      <c r="Y25" s="2" t="s">
        <v>717</v>
      </c>
      <c r="Z25" s="2" t="s">
        <v>718</v>
      </c>
      <c r="AA25" s="9" t="s">
        <v>715</v>
      </c>
      <c r="AC25" s="2"/>
      <c r="AD25" t="s">
        <v>7</v>
      </c>
      <c r="AE25" t="s">
        <v>777</v>
      </c>
    </row>
    <row r="26" spans="1:31" x14ac:dyDescent="0.3">
      <c r="A26" s="17">
        <v>90739624000118</v>
      </c>
      <c r="B26" t="s">
        <v>25</v>
      </c>
      <c r="D26" t="s">
        <v>563</v>
      </c>
      <c r="E26" t="s">
        <v>2</v>
      </c>
      <c r="F26">
        <v>269308</v>
      </c>
      <c r="G26" s="1" t="s">
        <v>778</v>
      </c>
      <c r="H26">
        <v>25054973</v>
      </c>
      <c r="I26">
        <v>342733</v>
      </c>
      <c r="J26" t="s">
        <v>236</v>
      </c>
      <c r="K26" s="17">
        <v>17084739000121</v>
      </c>
      <c r="L26" s="17">
        <v>90739624001866</v>
      </c>
      <c r="M26" s="9">
        <v>162.36000000000001</v>
      </c>
      <c r="N26" t="s">
        <v>43</v>
      </c>
      <c r="Q26" s="2"/>
      <c r="R26" s="9"/>
      <c r="S26" t="s">
        <v>44</v>
      </c>
      <c r="T26" t="s">
        <v>45</v>
      </c>
      <c r="U26" s="2" t="s">
        <v>583</v>
      </c>
      <c r="V26" s="9" t="s">
        <v>779</v>
      </c>
      <c r="W26">
        <v>5.1260817084738999E+43</v>
      </c>
      <c r="X26" t="s">
        <v>46</v>
      </c>
      <c r="Y26" s="2" t="s">
        <v>717</v>
      </c>
      <c r="Z26" s="2" t="s">
        <v>718</v>
      </c>
      <c r="AA26" s="9" t="s">
        <v>715</v>
      </c>
      <c r="AC26" s="2"/>
      <c r="AD26" t="s">
        <v>7</v>
      </c>
      <c r="AE26" t="s">
        <v>780</v>
      </c>
    </row>
    <row r="27" spans="1:31" x14ac:dyDescent="0.3">
      <c r="A27" s="17">
        <v>90739624000118</v>
      </c>
      <c r="B27" t="s">
        <v>170</v>
      </c>
      <c r="D27" t="s">
        <v>377</v>
      </c>
      <c r="E27" t="s">
        <v>2</v>
      </c>
      <c r="F27">
        <v>269308</v>
      </c>
      <c r="G27" s="1" t="s">
        <v>781</v>
      </c>
      <c r="H27">
        <v>25054931</v>
      </c>
      <c r="I27">
        <v>130148</v>
      </c>
      <c r="J27" t="s">
        <v>178</v>
      </c>
      <c r="K27" s="17">
        <v>83392050000199</v>
      </c>
      <c r="L27" s="17">
        <v>90739624001432</v>
      </c>
      <c r="M27" s="9">
        <v>2457.91</v>
      </c>
      <c r="N27" t="s">
        <v>43</v>
      </c>
      <c r="Q27" s="2"/>
      <c r="R27" s="9"/>
      <c r="S27" t="s">
        <v>44</v>
      </c>
      <c r="T27" t="s">
        <v>45</v>
      </c>
      <c r="U27" s="2" t="s">
        <v>583</v>
      </c>
      <c r="V27" s="9" t="s">
        <v>782</v>
      </c>
      <c r="W27">
        <v>4.2260883392050001E+43</v>
      </c>
      <c r="X27" t="s">
        <v>46</v>
      </c>
      <c r="Y27" s="2" t="s">
        <v>717</v>
      </c>
      <c r="Z27" s="2" t="s">
        <v>718</v>
      </c>
      <c r="AA27" s="9" t="s">
        <v>715</v>
      </c>
      <c r="AC27" s="2"/>
      <c r="AD27" t="s">
        <v>7</v>
      </c>
      <c r="AE27" t="s">
        <v>783</v>
      </c>
    </row>
    <row r="28" spans="1:31" x14ac:dyDescent="0.3">
      <c r="A28" s="17">
        <v>90739624000118</v>
      </c>
      <c r="B28" t="s">
        <v>8</v>
      </c>
      <c r="C28">
        <v>24754</v>
      </c>
      <c r="D28" t="s">
        <v>313</v>
      </c>
      <c r="E28" t="s">
        <v>2</v>
      </c>
      <c r="F28">
        <v>269308</v>
      </c>
      <c r="G28" s="1" t="s">
        <v>784</v>
      </c>
      <c r="H28">
        <v>25054905</v>
      </c>
      <c r="I28">
        <v>10524</v>
      </c>
      <c r="J28" t="s">
        <v>10</v>
      </c>
      <c r="K28" s="17">
        <v>33286065000102</v>
      </c>
      <c r="L28" s="17">
        <v>9576274000106</v>
      </c>
      <c r="M28" s="9">
        <v>350.27</v>
      </c>
      <c r="N28" t="s">
        <v>43</v>
      </c>
      <c r="Q28" s="2"/>
      <c r="R28" s="9"/>
      <c r="S28" t="s">
        <v>44</v>
      </c>
      <c r="T28" t="s">
        <v>45</v>
      </c>
      <c r="U28" s="2" t="s">
        <v>583</v>
      </c>
      <c r="V28" s="9" t="s">
        <v>785</v>
      </c>
      <c r="W28">
        <v>4.1260833286065001E+43</v>
      </c>
      <c r="X28" t="s">
        <v>46</v>
      </c>
      <c r="Y28" s="2" t="s">
        <v>717</v>
      </c>
      <c r="Z28" s="2" t="s">
        <v>718</v>
      </c>
      <c r="AA28" s="9" t="s">
        <v>715</v>
      </c>
      <c r="AC28" s="2"/>
      <c r="AD28" t="s">
        <v>7</v>
      </c>
      <c r="AE28" t="s">
        <v>786</v>
      </c>
    </row>
    <row r="29" spans="1:31" x14ac:dyDescent="0.3">
      <c r="A29" s="17">
        <v>90739624000118</v>
      </c>
      <c r="B29" t="s">
        <v>49</v>
      </c>
      <c r="C29">
        <v>23846</v>
      </c>
      <c r="D29" t="s">
        <v>597</v>
      </c>
      <c r="E29" t="s">
        <v>2</v>
      </c>
      <c r="F29">
        <v>269308</v>
      </c>
      <c r="G29" s="1" t="s">
        <v>787</v>
      </c>
      <c r="H29">
        <v>25054777</v>
      </c>
      <c r="I29">
        <v>163223</v>
      </c>
      <c r="J29" t="s">
        <v>51</v>
      </c>
      <c r="K29" s="17">
        <v>2763612000161</v>
      </c>
      <c r="L29" s="17">
        <v>90739624003133</v>
      </c>
      <c r="M29" s="9">
        <v>219.52</v>
      </c>
      <c r="N29" t="s">
        <v>43</v>
      </c>
      <c r="Q29" s="2"/>
      <c r="R29" s="9"/>
      <c r="S29" t="s">
        <v>44</v>
      </c>
      <c r="T29" t="s">
        <v>45</v>
      </c>
      <c r="U29" s="2" t="s">
        <v>583</v>
      </c>
      <c r="V29" s="9" t="s">
        <v>788</v>
      </c>
      <c r="W29">
        <v>4.1260802763612002E+43</v>
      </c>
      <c r="X29" t="s">
        <v>46</v>
      </c>
      <c r="Y29" s="2" t="s">
        <v>717</v>
      </c>
      <c r="Z29" s="2" t="s">
        <v>718</v>
      </c>
      <c r="AA29" s="9" t="s">
        <v>715</v>
      </c>
      <c r="AC29" s="2"/>
      <c r="AD29" t="s">
        <v>7</v>
      </c>
      <c r="AE29" t="s">
        <v>789</v>
      </c>
    </row>
    <row r="30" spans="1:31" x14ac:dyDescent="0.3">
      <c r="A30" s="17">
        <v>90739624000118</v>
      </c>
      <c r="B30" t="s">
        <v>11</v>
      </c>
      <c r="D30" t="s">
        <v>26</v>
      </c>
      <c r="E30" t="s">
        <v>2</v>
      </c>
      <c r="F30">
        <v>269308</v>
      </c>
      <c r="G30" s="1" t="s">
        <v>790</v>
      </c>
      <c r="H30">
        <v>25054776</v>
      </c>
      <c r="I30">
        <v>6749</v>
      </c>
      <c r="J30" t="s">
        <v>152</v>
      </c>
      <c r="K30" s="17">
        <v>23891404000118</v>
      </c>
      <c r="L30" s="17">
        <v>90739624001866</v>
      </c>
      <c r="M30" s="9">
        <v>230.47</v>
      </c>
      <c r="N30" t="s">
        <v>43</v>
      </c>
      <c r="Q30" s="2"/>
      <c r="R30" s="9"/>
      <c r="S30" t="s">
        <v>44</v>
      </c>
      <c r="T30" t="s">
        <v>45</v>
      </c>
      <c r="U30" s="2" t="s">
        <v>792</v>
      </c>
      <c r="V30" s="9" t="s">
        <v>791</v>
      </c>
      <c r="W30">
        <v>5.1260823891404E+43</v>
      </c>
      <c r="X30" t="s">
        <v>46</v>
      </c>
      <c r="Y30" s="2" t="s">
        <v>717</v>
      </c>
      <c r="Z30" s="2" t="s">
        <v>718</v>
      </c>
      <c r="AA30" s="9" t="s">
        <v>715</v>
      </c>
      <c r="AC30" s="2"/>
      <c r="AD30" t="s">
        <v>7</v>
      </c>
      <c r="AE30" t="s">
        <v>793</v>
      </c>
    </row>
    <row r="31" spans="1:31" x14ac:dyDescent="0.3">
      <c r="A31" s="17">
        <v>90739624000118</v>
      </c>
      <c r="B31" t="s">
        <v>13</v>
      </c>
      <c r="C31">
        <v>26010</v>
      </c>
      <c r="D31" t="s">
        <v>336</v>
      </c>
      <c r="E31" t="s">
        <v>2</v>
      </c>
      <c r="F31">
        <v>269308</v>
      </c>
      <c r="G31" s="1" t="s">
        <v>794</v>
      </c>
      <c r="H31">
        <v>25054770</v>
      </c>
      <c r="I31">
        <v>16711</v>
      </c>
      <c r="J31" t="s">
        <v>513</v>
      </c>
      <c r="K31" s="17">
        <v>1550726000160</v>
      </c>
      <c r="L31" s="17">
        <v>90739624001190</v>
      </c>
      <c r="M31" s="9">
        <v>372.14</v>
      </c>
      <c r="N31" t="s">
        <v>43</v>
      </c>
      <c r="Q31" s="2"/>
      <c r="R31" s="9"/>
      <c r="S31" t="s">
        <v>44</v>
      </c>
      <c r="T31" t="s">
        <v>45</v>
      </c>
      <c r="U31" s="2" t="s">
        <v>796</v>
      </c>
      <c r="V31" s="9" t="s">
        <v>795</v>
      </c>
      <c r="W31">
        <v>5.0260801550725997E+43</v>
      </c>
      <c r="X31" t="s">
        <v>46</v>
      </c>
      <c r="Y31" s="2" t="s">
        <v>717</v>
      </c>
      <c r="Z31" s="2" t="s">
        <v>718</v>
      </c>
      <c r="AA31" s="9" t="s">
        <v>715</v>
      </c>
      <c r="AC31" s="2"/>
      <c r="AD31" t="s">
        <v>7</v>
      </c>
      <c r="AE31" t="s">
        <v>797</v>
      </c>
    </row>
    <row r="32" spans="1:31" x14ac:dyDescent="0.3">
      <c r="A32" s="17">
        <v>90739624000118</v>
      </c>
      <c r="B32" t="s">
        <v>52</v>
      </c>
      <c r="D32" t="s">
        <v>231</v>
      </c>
      <c r="E32" t="s">
        <v>2</v>
      </c>
      <c r="F32">
        <v>269308</v>
      </c>
      <c r="G32" s="1" t="s">
        <v>798</v>
      </c>
      <c r="H32">
        <v>25054603</v>
      </c>
      <c r="I32">
        <v>41275</v>
      </c>
      <c r="J32" t="s">
        <v>545</v>
      </c>
      <c r="K32" s="17">
        <v>30429333000282</v>
      </c>
      <c r="L32" s="17">
        <v>9576274000106</v>
      </c>
      <c r="M32" s="9">
        <v>168.71</v>
      </c>
      <c r="N32" t="s">
        <v>43</v>
      </c>
      <c r="Q32" s="2"/>
      <c r="R32" s="9"/>
      <c r="S32" t="s">
        <v>44</v>
      </c>
      <c r="T32" t="s">
        <v>45</v>
      </c>
      <c r="U32" s="2" t="s">
        <v>583</v>
      </c>
      <c r="V32" s="9" t="s">
        <v>799</v>
      </c>
      <c r="W32">
        <v>4.1260830429333002E+43</v>
      </c>
      <c r="X32" t="s">
        <v>46</v>
      </c>
      <c r="Y32" s="2" t="s">
        <v>717</v>
      </c>
      <c r="Z32" s="2" t="s">
        <v>718</v>
      </c>
      <c r="AA32" s="9" t="s">
        <v>715</v>
      </c>
      <c r="AC32" s="2"/>
      <c r="AD32" t="s">
        <v>7</v>
      </c>
      <c r="AE32" t="s">
        <v>800</v>
      </c>
    </row>
    <row r="33" spans="1:31" x14ac:dyDescent="0.3">
      <c r="A33" s="17">
        <v>90739624000118</v>
      </c>
      <c r="B33" t="s">
        <v>40</v>
      </c>
      <c r="D33" t="s">
        <v>246</v>
      </c>
      <c r="E33" t="s">
        <v>17</v>
      </c>
      <c r="F33">
        <v>269308</v>
      </c>
      <c r="G33" s="1" t="s">
        <v>801</v>
      </c>
      <c r="H33">
        <v>25054240</v>
      </c>
      <c r="I33">
        <v>168722</v>
      </c>
      <c r="J33" t="s">
        <v>42</v>
      </c>
      <c r="K33" s="17">
        <v>82156977000248</v>
      </c>
      <c r="L33" s="17">
        <v>90739624001432</v>
      </c>
      <c r="M33" s="9">
        <v>26.32</v>
      </c>
      <c r="N33" t="s">
        <v>43</v>
      </c>
      <c r="Q33" s="2"/>
      <c r="R33" s="9"/>
      <c r="S33" t="s">
        <v>44</v>
      </c>
      <c r="T33" t="s">
        <v>45</v>
      </c>
      <c r="U33" s="2" t="s">
        <v>583</v>
      </c>
      <c r="V33" s="9" t="s">
        <v>802</v>
      </c>
      <c r="W33">
        <v>4.2260882156977001E+43</v>
      </c>
      <c r="X33" t="s">
        <v>46</v>
      </c>
      <c r="Y33" s="2" t="s">
        <v>717</v>
      </c>
      <c r="Z33" s="2" t="s">
        <v>718</v>
      </c>
      <c r="AA33" s="9" t="s">
        <v>715</v>
      </c>
      <c r="AC33" s="2"/>
      <c r="AD33" t="s">
        <v>7</v>
      </c>
      <c r="AE33" t="s">
        <v>803</v>
      </c>
    </row>
    <row r="34" spans="1:31" x14ac:dyDescent="0.3">
      <c r="A34" s="17">
        <v>90739624000118</v>
      </c>
      <c r="B34" t="s">
        <v>40</v>
      </c>
      <c r="D34" t="s">
        <v>246</v>
      </c>
      <c r="E34" t="s">
        <v>2</v>
      </c>
      <c r="F34">
        <v>269308</v>
      </c>
      <c r="G34" s="1" t="s">
        <v>804</v>
      </c>
      <c r="H34">
        <v>25054226</v>
      </c>
      <c r="I34">
        <v>168721</v>
      </c>
      <c r="J34" t="s">
        <v>42</v>
      </c>
      <c r="K34" s="17">
        <v>82156977000248</v>
      </c>
      <c r="L34" s="17">
        <v>90739624001432</v>
      </c>
      <c r="M34" s="9">
        <v>221.6</v>
      </c>
      <c r="N34" t="s">
        <v>43</v>
      </c>
      <c r="Q34" s="2"/>
      <c r="R34" s="9"/>
      <c r="S34" t="s">
        <v>44</v>
      </c>
      <c r="T34" t="s">
        <v>45</v>
      </c>
      <c r="U34" s="2" t="s">
        <v>583</v>
      </c>
      <c r="V34" s="9" t="s">
        <v>805</v>
      </c>
      <c r="W34">
        <v>4.2260882156977001E+43</v>
      </c>
      <c r="X34" t="s">
        <v>46</v>
      </c>
      <c r="Y34" s="2" t="s">
        <v>717</v>
      </c>
      <c r="Z34" s="2" t="s">
        <v>718</v>
      </c>
      <c r="AA34" s="9" t="s">
        <v>715</v>
      </c>
      <c r="AC34" s="2"/>
      <c r="AD34" t="s">
        <v>7</v>
      </c>
      <c r="AE34" t="s">
        <v>806</v>
      </c>
    </row>
    <row r="35" spans="1:31" x14ac:dyDescent="0.3">
      <c r="A35" s="17">
        <v>90739624000118</v>
      </c>
      <c r="B35" t="s">
        <v>61</v>
      </c>
      <c r="D35" t="s">
        <v>218</v>
      </c>
      <c r="E35" t="s">
        <v>2</v>
      </c>
      <c r="F35">
        <v>269308</v>
      </c>
      <c r="G35" s="1" t="s">
        <v>807</v>
      </c>
      <c r="H35">
        <v>25054214</v>
      </c>
      <c r="I35">
        <v>389635</v>
      </c>
      <c r="J35" t="s">
        <v>385</v>
      </c>
      <c r="K35" s="17">
        <v>75176859000155</v>
      </c>
      <c r="L35" s="17">
        <v>9576274000106</v>
      </c>
      <c r="M35" s="9">
        <v>303.44</v>
      </c>
      <c r="N35" t="s">
        <v>43</v>
      </c>
      <c r="Q35" s="2"/>
      <c r="R35" s="9"/>
      <c r="S35" t="s">
        <v>44</v>
      </c>
      <c r="T35" t="s">
        <v>45</v>
      </c>
      <c r="U35" s="2" t="s">
        <v>583</v>
      </c>
      <c r="V35" s="9" t="s">
        <v>808</v>
      </c>
      <c r="W35">
        <v>4.1260875176859002E+43</v>
      </c>
      <c r="X35" t="s">
        <v>46</v>
      </c>
      <c r="Y35" s="2" t="s">
        <v>717</v>
      </c>
      <c r="Z35" s="2" t="s">
        <v>718</v>
      </c>
      <c r="AA35" s="9" t="s">
        <v>715</v>
      </c>
      <c r="AC35" s="2"/>
      <c r="AD35" t="s">
        <v>7</v>
      </c>
      <c r="AE35" t="s">
        <v>809</v>
      </c>
    </row>
    <row r="36" spans="1:31" x14ac:dyDescent="0.3">
      <c r="A36" s="17">
        <v>90739624000118</v>
      </c>
      <c r="B36" t="s">
        <v>25</v>
      </c>
      <c r="D36" t="s">
        <v>129</v>
      </c>
      <c r="E36" t="s">
        <v>2</v>
      </c>
      <c r="F36">
        <v>269308</v>
      </c>
      <c r="G36" s="1" t="s">
        <v>810</v>
      </c>
      <c r="H36">
        <v>25054174</v>
      </c>
      <c r="I36">
        <v>74996</v>
      </c>
      <c r="J36" t="s">
        <v>130</v>
      </c>
      <c r="K36" s="17">
        <v>1594553000182</v>
      </c>
      <c r="L36" s="17">
        <v>90739624001866</v>
      </c>
      <c r="M36" s="9">
        <v>61.05</v>
      </c>
      <c r="N36" t="s">
        <v>43</v>
      </c>
      <c r="Q36" s="2"/>
      <c r="R36" s="9"/>
      <c r="S36" t="s">
        <v>44</v>
      </c>
      <c r="T36" t="s">
        <v>45</v>
      </c>
      <c r="U36" s="2" t="s">
        <v>583</v>
      </c>
      <c r="V36" s="9" t="s">
        <v>811</v>
      </c>
      <c r="W36">
        <v>5.1260801594553001E+43</v>
      </c>
      <c r="X36" t="s">
        <v>46</v>
      </c>
      <c r="Y36" s="2" t="s">
        <v>717</v>
      </c>
      <c r="Z36" s="2" t="s">
        <v>718</v>
      </c>
      <c r="AA36" s="9" t="s">
        <v>715</v>
      </c>
      <c r="AC36" s="2"/>
      <c r="AD36" t="s">
        <v>7</v>
      </c>
      <c r="AE36" t="s">
        <v>812</v>
      </c>
    </row>
    <row r="37" spans="1:31" x14ac:dyDescent="0.3">
      <c r="A37" s="17">
        <v>90739624000118</v>
      </c>
      <c r="B37" t="s">
        <v>49</v>
      </c>
      <c r="D37" t="s">
        <v>317</v>
      </c>
      <c r="E37" t="s">
        <v>2</v>
      </c>
      <c r="F37">
        <v>269308</v>
      </c>
      <c r="G37" s="1" t="s">
        <v>813</v>
      </c>
      <c r="H37">
        <v>25054149</v>
      </c>
      <c r="I37">
        <v>163217</v>
      </c>
      <c r="J37" t="s">
        <v>51</v>
      </c>
      <c r="K37" s="17">
        <v>2763612000161</v>
      </c>
      <c r="L37" s="17">
        <v>90739624003133</v>
      </c>
      <c r="M37" s="9">
        <v>416.68</v>
      </c>
      <c r="N37" t="s">
        <v>43</v>
      </c>
      <c r="Q37" s="2"/>
      <c r="R37" s="9"/>
      <c r="S37" t="s">
        <v>44</v>
      </c>
      <c r="T37" t="s">
        <v>45</v>
      </c>
      <c r="U37" s="2" t="s">
        <v>583</v>
      </c>
      <c r="V37" s="9" t="s">
        <v>814</v>
      </c>
      <c r="W37">
        <v>4.1260802763612002E+43</v>
      </c>
      <c r="X37" t="s">
        <v>46</v>
      </c>
      <c r="Y37" s="2" t="s">
        <v>717</v>
      </c>
      <c r="Z37" s="2" t="s">
        <v>718</v>
      </c>
      <c r="AA37" s="9" t="s">
        <v>715</v>
      </c>
      <c r="AC37" s="2"/>
      <c r="AD37" t="s">
        <v>7</v>
      </c>
      <c r="AE37" t="s">
        <v>815</v>
      </c>
    </row>
    <row r="38" spans="1:31" x14ac:dyDescent="0.3">
      <c r="A38" s="17">
        <v>90739624000118</v>
      </c>
      <c r="B38" t="s">
        <v>40</v>
      </c>
      <c r="C38">
        <v>26121</v>
      </c>
      <c r="D38" t="s">
        <v>41</v>
      </c>
      <c r="E38" t="s">
        <v>2</v>
      </c>
      <c r="F38">
        <v>269308</v>
      </c>
      <c r="G38" s="1" t="s">
        <v>816</v>
      </c>
      <c r="H38">
        <v>25054114</v>
      </c>
      <c r="I38">
        <v>168719</v>
      </c>
      <c r="J38" t="s">
        <v>42</v>
      </c>
      <c r="K38" s="17">
        <v>82156977000248</v>
      </c>
      <c r="L38" s="17">
        <v>90739624001432</v>
      </c>
      <c r="M38" s="9">
        <v>232.82</v>
      </c>
      <c r="N38" t="s">
        <v>43</v>
      </c>
      <c r="Q38" s="2"/>
      <c r="R38" s="9"/>
      <c r="S38" t="s">
        <v>44</v>
      </c>
      <c r="T38" t="s">
        <v>45</v>
      </c>
      <c r="U38" s="2" t="s">
        <v>583</v>
      </c>
      <c r="V38" s="9" t="s">
        <v>817</v>
      </c>
      <c r="W38">
        <v>4.2260882156977001E+43</v>
      </c>
      <c r="X38" t="s">
        <v>46</v>
      </c>
      <c r="Y38" s="2" t="s">
        <v>717</v>
      </c>
      <c r="Z38" s="2" t="s">
        <v>718</v>
      </c>
      <c r="AA38" s="9" t="s">
        <v>715</v>
      </c>
      <c r="AC38" s="2"/>
      <c r="AD38" t="s">
        <v>7</v>
      </c>
      <c r="AE38" t="s">
        <v>818</v>
      </c>
    </row>
    <row r="39" spans="1:31" x14ac:dyDescent="0.3">
      <c r="A39" s="17">
        <v>90739624000118</v>
      </c>
      <c r="B39" t="s">
        <v>49</v>
      </c>
      <c r="C39">
        <v>25076</v>
      </c>
      <c r="D39" t="s">
        <v>316</v>
      </c>
      <c r="E39" t="s">
        <v>2</v>
      </c>
      <c r="F39">
        <v>269308</v>
      </c>
      <c r="G39" s="1" t="s">
        <v>819</v>
      </c>
      <c r="H39">
        <v>25053900</v>
      </c>
      <c r="I39">
        <v>163214</v>
      </c>
      <c r="J39" t="s">
        <v>51</v>
      </c>
      <c r="K39" s="17">
        <v>2763612000161</v>
      </c>
      <c r="L39" s="17">
        <v>90739624003133</v>
      </c>
      <c r="M39" s="9">
        <v>224.22</v>
      </c>
      <c r="N39" t="s">
        <v>43</v>
      </c>
      <c r="Q39" s="2"/>
      <c r="R39" s="9"/>
      <c r="S39" t="s">
        <v>44</v>
      </c>
      <c r="T39" t="s">
        <v>45</v>
      </c>
      <c r="U39" s="2" t="s">
        <v>583</v>
      </c>
      <c r="V39" s="9" t="s">
        <v>820</v>
      </c>
      <c r="W39">
        <v>4.1260802763612002E+43</v>
      </c>
      <c r="X39" t="s">
        <v>46</v>
      </c>
      <c r="Y39" s="2" t="s">
        <v>717</v>
      </c>
      <c r="Z39" s="2" t="s">
        <v>718</v>
      </c>
      <c r="AA39" s="9" t="s">
        <v>715</v>
      </c>
      <c r="AC39" s="2"/>
      <c r="AD39" t="s">
        <v>7</v>
      </c>
      <c r="AE39" t="s">
        <v>821</v>
      </c>
    </row>
    <row r="40" spans="1:31" x14ac:dyDescent="0.3">
      <c r="A40" s="17">
        <v>90739624000118</v>
      </c>
      <c r="B40" t="s">
        <v>28</v>
      </c>
      <c r="D40" t="s">
        <v>224</v>
      </c>
      <c r="E40" t="s">
        <v>2</v>
      </c>
      <c r="F40">
        <v>269308</v>
      </c>
      <c r="G40" s="1" t="s">
        <v>822</v>
      </c>
      <c r="H40">
        <v>25053865</v>
      </c>
      <c r="I40">
        <v>81438</v>
      </c>
      <c r="J40" t="s">
        <v>48</v>
      </c>
      <c r="K40" s="17">
        <v>1272434001002</v>
      </c>
      <c r="L40" s="17">
        <v>90739624001947</v>
      </c>
      <c r="M40" s="9">
        <v>341.1</v>
      </c>
      <c r="N40" t="s">
        <v>43</v>
      </c>
      <c r="Q40" s="2"/>
      <c r="R40" s="9"/>
      <c r="S40" t="s">
        <v>44</v>
      </c>
      <c r="T40" t="s">
        <v>45</v>
      </c>
      <c r="U40" s="2" t="s">
        <v>583</v>
      </c>
      <c r="V40" s="9" t="s">
        <v>823</v>
      </c>
      <c r="W40">
        <v>5.2260801272433996E+43</v>
      </c>
      <c r="X40" t="s">
        <v>46</v>
      </c>
      <c r="Y40" s="2" t="s">
        <v>717</v>
      </c>
      <c r="Z40" s="2" t="s">
        <v>718</v>
      </c>
      <c r="AA40" s="9" t="s">
        <v>715</v>
      </c>
      <c r="AC40" s="2"/>
      <c r="AD40" t="s">
        <v>7</v>
      </c>
      <c r="AE40" t="s">
        <v>824</v>
      </c>
    </row>
    <row r="41" spans="1:31" x14ac:dyDescent="0.3">
      <c r="A41" s="17">
        <v>90739624000118</v>
      </c>
      <c r="B41" t="s">
        <v>40</v>
      </c>
      <c r="C41">
        <v>23397</v>
      </c>
      <c r="D41" t="s">
        <v>227</v>
      </c>
      <c r="E41" t="s">
        <v>2</v>
      </c>
      <c r="F41">
        <v>269308</v>
      </c>
      <c r="G41" s="1" t="s">
        <v>825</v>
      </c>
      <c r="H41">
        <v>25053852</v>
      </c>
      <c r="I41">
        <v>168717</v>
      </c>
      <c r="J41" t="s">
        <v>42</v>
      </c>
      <c r="K41" s="17">
        <v>82156977000248</v>
      </c>
      <c r="L41" s="17">
        <v>90739624001432</v>
      </c>
      <c r="M41" s="9">
        <v>322.02999999999997</v>
      </c>
      <c r="N41" t="s">
        <v>43</v>
      </c>
      <c r="Q41" s="2"/>
      <c r="R41" s="9"/>
      <c r="S41" t="s">
        <v>44</v>
      </c>
      <c r="T41" t="s">
        <v>45</v>
      </c>
      <c r="U41" s="2" t="s">
        <v>583</v>
      </c>
      <c r="V41" s="9" t="s">
        <v>826</v>
      </c>
      <c r="W41">
        <v>4.2260882156977001E+43</v>
      </c>
      <c r="X41" t="s">
        <v>46</v>
      </c>
      <c r="Y41" s="2" t="s">
        <v>717</v>
      </c>
      <c r="Z41" s="2" t="s">
        <v>718</v>
      </c>
      <c r="AA41" s="9" t="s">
        <v>715</v>
      </c>
      <c r="AC41" s="2"/>
      <c r="AD41" t="s">
        <v>7</v>
      </c>
      <c r="AE41" t="s">
        <v>827</v>
      </c>
    </row>
    <row r="42" spans="1:31" x14ac:dyDescent="0.3">
      <c r="A42" s="17">
        <v>90739624000118</v>
      </c>
      <c r="B42" t="s">
        <v>18</v>
      </c>
      <c r="D42" t="s">
        <v>168</v>
      </c>
      <c r="E42" t="s">
        <v>2</v>
      </c>
      <c r="F42">
        <v>269308</v>
      </c>
      <c r="G42" s="1" t="s">
        <v>828</v>
      </c>
      <c r="H42">
        <v>25053843</v>
      </c>
      <c r="I42">
        <v>23369</v>
      </c>
      <c r="J42" t="s">
        <v>24</v>
      </c>
      <c r="K42" s="17">
        <v>46472822000176</v>
      </c>
      <c r="L42" s="17">
        <v>90739624000380</v>
      </c>
      <c r="M42" s="9">
        <v>583.30999999999995</v>
      </c>
      <c r="N42" t="s">
        <v>43</v>
      </c>
      <c r="Q42" s="2"/>
      <c r="R42" s="9"/>
      <c r="S42" t="s">
        <v>44</v>
      </c>
      <c r="T42" t="s">
        <v>45</v>
      </c>
      <c r="U42" s="2" t="s">
        <v>796</v>
      </c>
      <c r="V42" s="9" t="s">
        <v>829</v>
      </c>
      <c r="W42">
        <v>3.5260846472822E+43</v>
      </c>
      <c r="X42" t="s">
        <v>46</v>
      </c>
      <c r="Y42" s="2" t="s">
        <v>717</v>
      </c>
      <c r="Z42" s="2" t="s">
        <v>718</v>
      </c>
      <c r="AA42" s="9" t="s">
        <v>715</v>
      </c>
      <c r="AC42" s="2"/>
      <c r="AD42" t="s">
        <v>7</v>
      </c>
      <c r="AE42" t="s">
        <v>830</v>
      </c>
    </row>
    <row r="43" spans="1:31" x14ac:dyDescent="0.3">
      <c r="A43" s="17">
        <v>90739624000118</v>
      </c>
      <c r="B43" t="s">
        <v>40</v>
      </c>
      <c r="C43">
        <v>22016</v>
      </c>
      <c r="D43" t="s">
        <v>491</v>
      </c>
      <c r="E43" t="s">
        <v>17</v>
      </c>
      <c r="F43">
        <v>269308</v>
      </c>
      <c r="G43" s="1" t="s">
        <v>831</v>
      </c>
      <c r="H43">
        <v>25053685</v>
      </c>
      <c r="I43">
        <v>168716</v>
      </c>
      <c r="J43" t="s">
        <v>42</v>
      </c>
      <c r="K43" s="17">
        <v>82156977000248</v>
      </c>
      <c r="L43" s="17">
        <v>90739624001432</v>
      </c>
      <c r="M43" s="9">
        <v>39.479999999999997</v>
      </c>
      <c r="N43" t="s">
        <v>43</v>
      </c>
      <c r="Q43" s="2"/>
      <c r="R43" s="9"/>
      <c r="S43" t="s">
        <v>44</v>
      </c>
      <c r="T43" t="s">
        <v>45</v>
      </c>
      <c r="U43" s="2" t="s">
        <v>583</v>
      </c>
      <c r="V43" s="9" t="s">
        <v>832</v>
      </c>
      <c r="W43">
        <v>4.2260882156977001E+43</v>
      </c>
      <c r="X43" t="s">
        <v>46</v>
      </c>
      <c r="Y43" s="2" t="s">
        <v>717</v>
      </c>
      <c r="Z43" s="2" t="s">
        <v>718</v>
      </c>
      <c r="AA43" s="9" t="s">
        <v>715</v>
      </c>
      <c r="AC43" s="2"/>
      <c r="AD43" t="s">
        <v>7</v>
      </c>
      <c r="AE43" t="s">
        <v>833</v>
      </c>
    </row>
    <row r="44" spans="1:31" x14ac:dyDescent="0.3">
      <c r="A44" s="17">
        <v>90739624000118</v>
      </c>
      <c r="B44" t="s">
        <v>40</v>
      </c>
      <c r="C44">
        <v>22016</v>
      </c>
      <c r="D44" t="s">
        <v>491</v>
      </c>
      <c r="E44" t="s">
        <v>2</v>
      </c>
      <c r="F44">
        <v>269308</v>
      </c>
      <c r="G44" s="1" t="s">
        <v>834</v>
      </c>
      <c r="H44">
        <v>25053662</v>
      </c>
      <c r="I44">
        <v>168714</v>
      </c>
      <c r="J44" t="s">
        <v>42</v>
      </c>
      <c r="K44" s="17">
        <v>82156977000248</v>
      </c>
      <c r="L44" s="17">
        <v>90739624001432</v>
      </c>
      <c r="M44" s="9">
        <v>294.27</v>
      </c>
      <c r="N44" t="s">
        <v>43</v>
      </c>
      <c r="Q44" s="2"/>
      <c r="R44" s="9"/>
      <c r="S44" t="s">
        <v>44</v>
      </c>
      <c r="T44" t="s">
        <v>45</v>
      </c>
      <c r="U44" s="2" t="s">
        <v>583</v>
      </c>
      <c r="V44" s="9" t="s">
        <v>835</v>
      </c>
      <c r="W44">
        <v>4.2260882156977001E+43</v>
      </c>
      <c r="X44" t="s">
        <v>46</v>
      </c>
      <c r="Y44" s="2" t="s">
        <v>717</v>
      </c>
      <c r="Z44" s="2" t="s">
        <v>718</v>
      </c>
      <c r="AA44" s="9" t="s">
        <v>715</v>
      </c>
      <c r="AC44" s="2"/>
      <c r="AD44" t="s">
        <v>7</v>
      </c>
      <c r="AE44" t="s">
        <v>836</v>
      </c>
    </row>
    <row r="45" spans="1:31" x14ac:dyDescent="0.3">
      <c r="A45" s="17">
        <v>90739624000118</v>
      </c>
      <c r="B45" t="s">
        <v>28</v>
      </c>
      <c r="D45" t="s">
        <v>511</v>
      </c>
      <c r="E45" t="s">
        <v>2</v>
      </c>
      <c r="F45">
        <v>269308</v>
      </c>
      <c r="G45" s="1" t="s">
        <v>837</v>
      </c>
      <c r="H45">
        <v>25053634</v>
      </c>
      <c r="I45">
        <v>113417</v>
      </c>
      <c r="J45" t="s">
        <v>29</v>
      </c>
      <c r="K45" s="17">
        <v>47377960000139</v>
      </c>
      <c r="L45" s="17">
        <v>90739624001947</v>
      </c>
      <c r="M45" s="9">
        <v>210.91</v>
      </c>
      <c r="N45" t="s">
        <v>43</v>
      </c>
      <c r="Q45" s="2"/>
      <c r="R45" s="9"/>
      <c r="S45" t="s">
        <v>44</v>
      </c>
      <c r="T45" t="s">
        <v>45</v>
      </c>
      <c r="U45" s="2" t="s">
        <v>583</v>
      </c>
      <c r="V45" s="9" t="s">
        <v>839</v>
      </c>
      <c r="W45">
        <v>5.2260847377959996E+43</v>
      </c>
      <c r="X45" t="s">
        <v>46</v>
      </c>
      <c r="Y45" s="2" t="s">
        <v>717</v>
      </c>
      <c r="Z45" s="2" t="s">
        <v>718</v>
      </c>
      <c r="AA45" s="9" t="s">
        <v>715</v>
      </c>
      <c r="AC45" s="2"/>
      <c r="AD45" t="s">
        <v>7</v>
      </c>
      <c r="AE45" t="s">
        <v>840</v>
      </c>
    </row>
    <row r="46" spans="1:31" x14ac:dyDescent="0.3">
      <c r="A46" s="17">
        <v>90739624000118</v>
      </c>
      <c r="B46" t="s">
        <v>58</v>
      </c>
      <c r="D46" t="s">
        <v>390</v>
      </c>
      <c r="E46" t="s">
        <v>2</v>
      </c>
      <c r="F46">
        <v>269308</v>
      </c>
      <c r="G46" s="1" t="s">
        <v>841</v>
      </c>
      <c r="H46">
        <v>25053621</v>
      </c>
      <c r="J46" t="s">
        <v>640</v>
      </c>
      <c r="K46" s="17">
        <v>7473735015294</v>
      </c>
      <c r="L46" s="17"/>
      <c r="M46" s="9">
        <v>268.64999999999998</v>
      </c>
      <c r="N46" t="s">
        <v>43</v>
      </c>
      <c r="Q46" s="2"/>
      <c r="R46" s="9"/>
      <c r="S46" t="s">
        <v>87</v>
      </c>
      <c r="U46" s="2"/>
      <c r="V46" s="9"/>
      <c r="X46" t="s">
        <v>88</v>
      </c>
      <c r="Y46" s="2" t="s">
        <v>717</v>
      </c>
      <c r="Z46" s="2" t="s">
        <v>718</v>
      </c>
      <c r="AA46" s="9" t="s">
        <v>715</v>
      </c>
      <c r="AC46" s="2"/>
      <c r="AD46" t="s">
        <v>7</v>
      </c>
    </row>
    <row r="47" spans="1:31" x14ac:dyDescent="0.3">
      <c r="A47" s="17">
        <v>90739624000118</v>
      </c>
      <c r="B47" t="s">
        <v>61</v>
      </c>
      <c r="D47" t="s">
        <v>307</v>
      </c>
      <c r="E47" t="s">
        <v>2</v>
      </c>
      <c r="F47">
        <v>269308</v>
      </c>
      <c r="G47" s="1" t="s">
        <v>843</v>
      </c>
      <c r="H47">
        <v>25053293</v>
      </c>
      <c r="I47">
        <v>2544</v>
      </c>
      <c r="J47" t="s">
        <v>85</v>
      </c>
      <c r="K47" s="17">
        <v>1975878000105</v>
      </c>
      <c r="L47" s="17">
        <v>9576274000106</v>
      </c>
      <c r="M47" s="9">
        <v>250.31</v>
      </c>
      <c r="N47" t="s">
        <v>43</v>
      </c>
      <c r="Q47" s="2"/>
      <c r="R47" s="9"/>
      <c r="S47" t="s">
        <v>44</v>
      </c>
      <c r="T47" t="s">
        <v>45</v>
      </c>
      <c r="U47" s="2" t="s">
        <v>583</v>
      </c>
      <c r="V47" s="9" t="s">
        <v>844</v>
      </c>
      <c r="W47">
        <v>4.1260801975878E+43</v>
      </c>
      <c r="X47" t="s">
        <v>46</v>
      </c>
      <c r="Y47" s="2" t="s">
        <v>717</v>
      </c>
      <c r="Z47" s="2" t="s">
        <v>718</v>
      </c>
      <c r="AA47" s="9" t="s">
        <v>715</v>
      </c>
      <c r="AC47" s="2"/>
      <c r="AD47" t="s">
        <v>7</v>
      </c>
      <c r="AE47" t="s">
        <v>845</v>
      </c>
    </row>
    <row r="48" spans="1:31" x14ac:dyDescent="0.3">
      <c r="A48" s="17">
        <v>90739624000118</v>
      </c>
      <c r="B48" t="s">
        <v>174</v>
      </c>
      <c r="D48" t="s">
        <v>577</v>
      </c>
      <c r="E48" t="s">
        <v>2</v>
      </c>
      <c r="F48">
        <v>269308</v>
      </c>
      <c r="G48" s="1" t="s">
        <v>846</v>
      </c>
      <c r="H48">
        <v>25053265</v>
      </c>
      <c r="I48">
        <v>99279</v>
      </c>
      <c r="J48" t="s">
        <v>176</v>
      </c>
      <c r="K48" s="17">
        <v>4219621000111</v>
      </c>
      <c r="L48" s="17">
        <v>90739624000118</v>
      </c>
      <c r="M48" s="9">
        <v>298.18</v>
      </c>
      <c r="N48" t="s">
        <v>43</v>
      </c>
      <c r="Q48" s="2"/>
      <c r="R48" s="9"/>
      <c r="S48" t="s">
        <v>44</v>
      </c>
      <c r="T48" t="s">
        <v>45</v>
      </c>
      <c r="U48" s="2" t="s">
        <v>602</v>
      </c>
      <c r="V48" s="9" t="s">
        <v>847</v>
      </c>
      <c r="W48">
        <v>1.7260804219621001E+43</v>
      </c>
      <c r="X48" t="s">
        <v>46</v>
      </c>
      <c r="Y48" s="2" t="s">
        <v>717</v>
      </c>
      <c r="Z48" s="2" t="s">
        <v>718</v>
      </c>
      <c r="AA48" s="9" t="s">
        <v>715</v>
      </c>
      <c r="AC48" s="2"/>
      <c r="AD48" t="s">
        <v>7</v>
      </c>
      <c r="AE48" t="s">
        <v>848</v>
      </c>
    </row>
    <row r="49" spans="1:31" x14ac:dyDescent="0.3">
      <c r="A49" s="17">
        <v>90739624000118</v>
      </c>
      <c r="B49" t="s">
        <v>65</v>
      </c>
      <c r="C49">
        <v>26248</v>
      </c>
      <c r="D49" t="s">
        <v>226</v>
      </c>
      <c r="E49" t="s">
        <v>17</v>
      </c>
      <c r="F49">
        <v>269308</v>
      </c>
      <c r="G49" s="1" t="s">
        <v>849</v>
      </c>
      <c r="H49">
        <v>25053242</v>
      </c>
      <c r="J49" t="s">
        <v>67</v>
      </c>
      <c r="K49" s="17">
        <v>7473735006031</v>
      </c>
      <c r="L49" s="17"/>
      <c r="M49" s="9">
        <v>42.42</v>
      </c>
      <c r="N49" t="s">
        <v>43</v>
      </c>
      <c r="Q49" s="2"/>
      <c r="R49" s="9"/>
      <c r="S49" t="s">
        <v>87</v>
      </c>
      <c r="U49" s="2"/>
      <c r="V49" s="9"/>
      <c r="X49" t="s">
        <v>88</v>
      </c>
      <c r="Y49" s="2" t="s">
        <v>717</v>
      </c>
      <c r="Z49" s="2" t="s">
        <v>718</v>
      </c>
      <c r="AA49" s="9" t="s">
        <v>715</v>
      </c>
      <c r="AC49" s="2"/>
      <c r="AD49" t="s">
        <v>7</v>
      </c>
    </row>
    <row r="50" spans="1:31" x14ac:dyDescent="0.3">
      <c r="A50" s="17">
        <v>90739624000118</v>
      </c>
      <c r="B50" t="s">
        <v>100</v>
      </c>
      <c r="D50" t="s">
        <v>101</v>
      </c>
      <c r="E50" t="s">
        <v>2</v>
      </c>
      <c r="F50">
        <v>269308</v>
      </c>
      <c r="G50" s="1" t="s">
        <v>851</v>
      </c>
      <c r="H50">
        <v>25053230</v>
      </c>
      <c r="I50">
        <v>53347</v>
      </c>
      <c r="J50" t="s">
        <v>486</v>
      </c>
      <c r="K50" s="17">
        <v>58446194000133</v>
      </c>
      <c r="L50" s="17">
        <v>90739624001947</v>
      </c>
      <c r="M50" s="9">
        <v>501.43</v>
      </c>
      <c r="N50" t="s">
        <v>43</v>
      </c>
      <c r="Q50" s="2"/>
      <c r="R50" s="9"/>
      <c r="S50" t="s">
        <v>44</v>
      </c>
      <c r="T50" t="s">
        <v>45</v>
      </c>
      <c r="U50" s="2" t="s">
        <v>583</v>
      </c>
      <c r="V50" s="9" t="s">
        <v>852</v>
      </c>
      <c r="W50">
        <v>5.2260858446193998E+43</v>
      </c>
      <c r="X50" t="s">
        <v>46</v>
      </c>
      <c r="Y50" s="2" t="s">
        <v>717</v>
      </c>
      <c r="Z50" s="2" t="s">
        <v>718</v>
      </c>
      <c r="AA50" s="9" t="s">
        <v>715</v>
      </c>
      <c r="AC50" s="2"/>
      <c r="AD50" t="s">
        <v>7</v>
      </c>
      <c r="AE50" t="s">
        <v>853</v>
      </c>
    </row>
    <row r="51" spans="1:31" x14ac:dyDescent="0.3">
      <c r="A51" s="17">
        <v>90739624000118</v>
      </c>
      <c r="B51" t="s">
        <v>65</v>
      </c>
      <c r="C51">
        <v>26248</v>
      </c>
      <c r="D51" t="s">
        <v>226</v>
      </c>
      <c r="E51" t="s">
        <v>2</v>
      </c>
      <c r="F51">
        <v>269308</v>
      </c>
      <c r="G51" s="1" t="s">
        <v>854</v>
      </c>
      <c r="H51">
        <v>25053221</v>
      </c>
      <c r="J51" t="s">
        <v>67</v>
      </c>
      <c r="K51" s="17">
        <v>7473735006031</v>
      </c>
      <c r="L51" s="17"/>
      <c r="M51" s="9">
        <v>610.96</v>
      </c>
      <c r="N51" t="s">
        <v>43</v>
      </c>
      <c r="Q51" s="2"/>
      <c r="R51" s="9"/>
      <c r="S51" t="s">
        <v>87</v>
      </c>
      <c r="U51" s="2"/>
      <c r="V51" s="9"/>
      <c r="X51" t="s">
        <v>88</v>
      </c>
      <c r="Y51" s="2" t="s">
        <v>717</v>
      </c>
      <c r="Z51" s="2" t="s">
        <v>718</v>
      </c>
      <c r="AA51" s="9" t="s">
        <v>715</v>
      </c>
      <c r="AC51" s="2"/>
      <c r="AD51" t="s">
        <v>7</v>
      </c>
    </row>
    <row r="52" spans="1:31" x14ac:dyDescent="0.3">
      <c r="A52" s="17">
        <v>90739624000118</v>
      </c>
      <c r="B52" t="s">
        <v>100</v>
      </c>
      <c r="C52">
        <v>23619</v>
      </c>
      <c r="D52" t="s">
        <v>856</v>
      </c>
      <c r="E52" t="s">
        <v>17</v>
      </c>
      <c r="F52">
        <v>269308</v>
      </c>
      <c r="G52" s="1" t="s">
        <v>857</v>
      </c>
      <c r="H52">
        <v>25053220</v>
      </c>
      <c r="I52">
        <v>131912</v>
      </c>
      <c r="J52" t="s">
        <v>152</v>
      </c>
      <c r="K52" s="17">
        <v>23891404000118</v>
      </c>
      <c r="L52" s="17">
        <v>90739624001866</v>
      </c>
      <c r="M52" s="9">
        <v>48.25</v>
      </c>
      <c r="N52" t="s">
        <v>43</v>
      </c>
      <c r="Q52" s="2"/>
      <c r="R52" s="9"/>
      <c r="S52" t="s">
        <v>44</v>
      </c>
      <c r="T52" t="s">
        <v>45</v>
      </c>
      <c r="U52" s="2" t="s">
        <v>583</v>
      </c>
      <c r="V52" s="9" t="s">
        <v>858</v>
      </c>
      <c r="W52">
        <v>5.1260823891404E+43</v>
      </c>
      <c r="X52" t="s">
        <v>46</v>
      </c>
      <c r="Y52" s="2" t="s">
        <v>717</v>
      </c>
      <c r="Z52" s="2" t="s">
        <v>718</v>
      </c>
      <c r="AA52" s="9" t="s">
        <v>715</v>
      </c>
      <c r="AC52" s="2"/>
      <c r="AD52" t="s">
        <v>7</v>
      </c>
      <c r="AE52" t="s">
        <v>859</v>
      </c>
    </row>
    <row r="53" spans="1:31" x14ac:dyDescent="0.3">
      <c r="A53" s="17">
        <v>90739624000118</v>
      </c>
      <c r="B53" t="s">
        <v>100</v>
      </c>
      <c r="C53">
        <v>23619</v>
      </c>
      <c r="D53" t="s">
        <v>856</v>
      </c>
      <c r="E53" t="s">
        <v>2</v>
      </c>
      <c r="F53">
        <v>269308</v>
      </c>
      <c r="G53" s="1" t="s">
        <v>860</v>
      </c>
      <c r="H53">
        <v>25053155</v>
      </c>
      <c r="I53">
        <v>131911</v>
      </c>
      <c r="J53" t="s">
        <v>152</v>
      </c>
      <c r="K53" s="17">
        <v>23891404000118</v>
      </c>
      <c r="L53" s="17">
        <v>90739624001866</v>
      </c>
      <c r="M53" s="9">
        <v>403.27</v>
      </c>
      <c r="N53" t="s">
        <v>43</v>
      </c>
      <c r="Q53" s="2"/>
      <c r="R53" s="9"/>
      <c r="S53" t="s">
        <v>44</v>
      </c>
      <c r="T53" t="s">
        <v>45</v>
      </c>
      <c r="U53" s="2" t="s">
        <v>583</v>
      </c>
      <c r="V53" s="9" t="s">
        <v>861</v>
      </c>
      <c r="W53">
        <v>5.1260823891404E+43</v>
      </c>
      <c r="X53" t="s">
        <v>46</v>
      </c>
      <c r="Y53" s="2" t="s">
        <v>717</v>
      </c>
      <c r="Z53" s="2" t="s">
        <v>718</v>
      </c>
      <c r="AA53" s="9" t="s">
        <v>715</v>
      </c>
      <c r="AC53" s="2"/>
      <c r="AD53" t="s">
        <v>7</v>
      </c>
      <c r="AE53" t="s">
        <v>862</v>
      </c>
    </row>
    <row r="54" spans="1:31" x14ac:dyDescent="0.3">
      <c r="A54" s="17">
        <v>90739624000118</v>
      </c>
      <c r="B54" t="s">
        <v>49</v>
      </c>
      <c r="D54" t="s">
        <v>225</v>
      </c>
      <c r="E54" t="s">
        <v>2</v>
      </c>
      <c r="F54">
        <v>269308</v>
      </c>
      <c r="G54" s="1" t="s">
        <v>863</v>
      </c>
      <c r="H54">
        <v>25053095</v>
      </c>
      <c r="I54">
        <v>163210</v>
      </c>
      <c r="J54" t="s">
        <v>51</v>
      </c>
      <c r="K54" s="17">
        <v>2763612000161</v>
      </c>
      <c r="L54" s="17">
        <v>90739624003133</v>
      </c>
      <c r="M54" s="9">
        <v>233.9</v>
      </c>
      <c r="N54" t="s">
        <v>43</v>
      </c>
      <c r="Q54" s="2"/>
      <c r="R54" s="9"/>
      <c r="S54" t="s">
        <v>44</v>
      </c>
      <c r="T54" t="s">
        <v>45</v>
      </c>
      <c r="U54" s="2" t="s">
        <v>583</v>
      </c>
      <c r="V54" s="9" t="s">
        <v>864</v>
      </c>
      <c r="W54">
        <v>4.1260802763612002E+43</v>
      </c>
      <c r="X54" t="s">
        <v>46</v>
      </c>
      <c r="Y54" s="2" t="s">
        <v>717</v>
      </c>
      <c r="Z54" s="2" t="s">
        <v>718</v>
      </c>
      <c r="AA54" s="9" t="s">
        <v>715</v>
      </c>
      <c r="AC54" s="2"/>
      <c r="AD54" t="s">
        <v>7</v>
      </c>
      <c r="AE54" t="s">
        <v>865</v>
      </c>
    </row>
    <row r="55" spans="1:31" x14ac:dyDescent="0.3">
      <c r="A55" s="17">
        <v>90739624000118</v>
      </c>
      <c r="B55" t="s">
        <v>61</v>
      </c>
      <c r="C55">
        <v>25073</v>
      </c>
      <c r="D55" t="s">
        <v>356</v>
      </c>
      <c r="E55" t="s">
        <v>2</v>
      </c>
      <c r="F55">
        <v>269308</v>
      </c>
      <c r="G55" s="1" t="s">
        <v>866</v>
      </c>
      <c r="H55">
        <v>25052856</v>
      </c>
      <c r="I55">
        <v>389606</v>
      </c>
      <c r="J55" t="s">
        <v>385</v>
      </c>
      <c r="K55" s="17">
        <v>75176859000155</v>
      </c>
      <c r="L55" s="17">
        <v>9576274000106</v>
      </c>
      <c r="M55" s="9">
        <v>244.8</v>
      </c>
      <c r="N55" t="s">
        <v>43</v>
      </c>
      <c r="Q55" s="2"/>
      <c r="R55" s="9"/>
      <c r="S55" t="s">
        <v>44</v>
      </c>
      <c r="T55" t="s">
        <v>45</v>
      </c>
      <c r="U55" s="2" t="s">
        <v>583</v>
      </c>
      <c r="V55" s="9" t="s">
        <v>867</v>
      </c>
      <c r="W55">
        <v>4.1260875176859002E+43</v>
      </c>
      <c r="X55" t="s">
        <v>46</v>
      </c>
      <c r="Y55" s="2" t="s">
        <v>717</v>
      </c>
      <c r="Z55" s="2" t="s">
        <v>718</v>
      </c>
      <c r="AA55" s="9" t="s">
        <v>715</v>
      </c>
      <c r="AC55" s="2"/>
      <c r="AD55" t="s">
        <v>7</v>
      </c>
      <c r="AE55" t="s">
        <v>868</v>
      </c>
    </row>
    <row r="56" spans="1:31" x14ac:dyDescent="0.3">
      <c r="A56" s="17">
        <v>90739624000118</v>
      </c>
      <c r="B56" t="s">
        <v>181</v>
      </c>
      <c r="D56" t="s">
        <v>182</v>
      </c>
      <c r="E56" t="s">
        <v>2</v>
      </c>
      <c r="F56">
        <v>269308</v>
      </c>
      <c r="G56" s="1" t="s">
        <v>869</v>
      </c>
      <c r="H56">
        <v>25051437</v>
      </c>
      <c r="I56">
        <v>119563</v>
      </c>
      <c r="J56" t="s">
        <v>183</v>
      </c>
      <c r="K56" s="17">
        <v>84711084000161</v>
      </c>
      <c r="L56" s="17">
        <v>90739624001432</v>
      </c>
      <c r="M56" s="9">
        <v>273.02999999999997</v>
      </c>
      <c r="N56" t="s">
        <v>43</v>
      </c>
      <c r="Q56" s="2"/>
      <c r="R56" s="9"/>
      <c r="S56" t="s">
        <v>44</v>
      </c>
      <c r="T56" t="s">
        <v>45</v>
      </c>
      <c r="U56" s="2" t="s">
        <v>583</v>
      </c>
      <c r="V56" s="9" t="s">
        <v>870</v>
      </c>
      <c r="W56">
        <v>4.2260884711084001E+43</v>
      </c>
      <c r="X56" t="s">
        <v>46</v>
      </c>
      <c r="Y56" s="2" t="s">
        <v>717</v>
      </c>
      <c r="Z56" s="2" t="s">
        <v>718</v>
      </c>
      <c r="AA56" s="9" t="s">
        <v>715</v>
      </c>
      <c r="AC56" s="2"/>
      <c r="AD56" t="s">
        <v>7</v>
      </c>
      <c r="AE56" t="s">
        <v>871</v>
      </c>
    </row>
    <row r="57" spans="1:31" x14ac:dyDescent="0.3">
      <c r="A57" s="17">
        <v>90739624000118</v>
      </c>
      <c r="B57" t="s">
        <v>31</v>
      </c>
      <c r="C57">
        <v>21312</v>
      </c>
      <c r="D57" t="s">
        <v>368</v>
      </c>
      <c r="E57" t="s">
        <v>2</v>
      </c>
      <c r="F57">
        <v>269308</v>
      </c>
      <c r="G57" s="1" t="s">
        <v>872</v>
      </c>
      <c r="H57">
        <v>25051004</v>
      </c>
      <c r="J57" t="s">
        <v>32</v>
      </c>
      <c r="K57" s="17">
        <v>9001879002619</v>
      </c>
      <c r="L57" s="17"/>
      <c r="M57" s="9">
        <v>95.08</v>
      </c>
      <c r="N57" t="s">
        <v>43</v>
      </c>
      <c r="Q57" s="2"/>
      <c r="R57" s="9"/>
      <c r="S57" t="s">
        <v>87</v>
      </c>
      <c r="U57" s="2"/>
      <c r="V57" s="9"/>
      <c r="X57" t="s">
        <v>88</v>
      </c>
      <c r="Y57" s="2" t="s">
        <v>717</v>
      </c>
      <c r="Z57" s="2" t="s">
        <v>718</v>
      </c>
      <c r="AA57" s="9" t="s">
        <v>715</v>
      </c>
      <c r="AC57" s="2"/>
      <c r="AD57" t="s">
        <v>7</v>
      </c>
    </row>
    <row r="58" spans="1:31" x14ac:dyDescent="0.3">
      <c r="A58" s="17">
        <v>90739624000118</v>
      </c>
      <c r="B58" t="s">
        <v>8</v>
      </c>
      <c r="D58" t="s">
        <v>297</v>
      </c>
      <c r="E58" t="s">
        <v>17</v>
      </c>
      <c r="F58">
        <v>269308</v>
      </c>
      <c r="G58" s="1" t="s">
        <v>874</v>
      </c>
      <c r="H58">
        <v>25050039</v>
      </c>
      <c r="I58">
        <v>4450</v>
      </c>
      <c r="J58" t="s">
        <v>10</v>
      </c>
      <c r="K58" s="17">
        <v>33286065000102</v>
      </c>
      <c r="L58" s="17">
        <v>9576274000106</v>
      </c>
      <c r="M58" s="9">
        <v>36.840000000000003</v>
      </c>
      <c r="N58" t="s">
        <v>43</v>
      </c>
      <c r="Q58" s="2"/>
      <c r="R58" s="9"/>
      <c r="S58" t="s">
        <v>44</v>
      </c>
      <c r="T58" t="s">
        <v>45</v>
      </c>
      <c r="U58" s="2" t="s">
        <v>583</v>
      </c>
      <c r="V58" s="9" t="s">
        <v>875</v>
      </c>
      <c r="W58">
        <v>4.1260833286065001E+43</v>
      </c>
      <c r="X58" t="s">
        <v>46</v>
      </c>
      <c r="Y58" s="2" t="s">
        <v>717</v>
      </c>
      <c r="Z58" s="2" t="s">
        <v>718</v>
      </c>
      <c r="AA58" s="9" t="s">
        <v>715</v>
      </c>
      <c r="AC58" s="2"/>
      <c r="AD58" t="s">
        <v>7</v>
      </c>
      <c r="AE58" t="s">
        <v>876</v>
      </c>
    </row>
    <row r="59" spans="1:31" x14ac:dyDescent="0.3">
      <c r="A59" s="17">
        <v>90739624000118</v>
      </c>
      <c r="B59" t="s">
        <v>33</v>
      </c>
      <c r="C59">
        <v>23456</v>
      </c>
      <c r="D59" t="s">
        <v>320</v>
      </c>
      <c r="E59" t="s">
        <v>2</v>
      </c>
      <c r="F59">
        <v>269308</v>
      </c>
      <c r="G59" s="1" t="s">
        <v>877</v>
      </c>
      <c r="H59">
        <v>25050026</v>
      </c>
      <c r="I59">
        <v>1150</v>
      </c>
      <c r="J59" t="s">
        <v>35</v>
      </c>
      <c r="K59" s="17">
        <v>27933025000102</v>
      </c>
      <c r="L59" s="17">
        <v>9576274000106</v>
      </c>
      <c r="M59" s="9">
        <v>458.95</v>
      </c>
      <c r="N59" t="s">
        <v>43</v>
      </c>
      <c r="Q59" s="2"/>
      <c r="R59" s="9"/>
      <c r="S59" t="s">
        <v>44</v>
      </c>
      <c r="T59" t="s">
        <v>45</v>
      </c>
      <c r="U59" s="2" t="s">
        <v>792</v>
      </c>
      <c r="V59" s="9" t="s">
        <v>878</v>
      </c>
      <c r="W59">
        <v>4.1260827933025001E+43</v>
      </c>
      <c r="X59" t="s">
        <v>46</v>
      </c>
      <c r="Y59" s="2" t="s">
        <v>717</v>
      </c>
      <c r="Z59" s="2" t="s">
        <v>718</v>
      </c>
      <c r="AA59" s="9" t="s">
        <v>715</v>
      </c>
      <c r="AC59" s="2"/>
      <c r="AD59" t="s">
        <v>7</v>
      </c>
      <c r="AE59" t="s">
        <v>879</v>
      </c>
    </row>
    <row r="60" spans="1:31" x14ac:dyDescent="0.3">
      <c r="A60" s="17">
        <v>90739624000118</v>
      </c>
      <c r="B60" t="s">
        <v>8</v>
      </c>
      <c r="D60" t="s">
        <v>297</v>
      </c>
      <c r="E60" t="s">
        <v>2</v>
      </c>
      <c r="F60">
        <v>269308</v>
      </c>
      <c r="G60" s="1" t="s">
        <v>880</v>
      </c>
      <c r="H60">
        <v>25049964</v>
      </c>
      <c r="I60">
        <v>4449</v>
      </c>
      <c r="J60" t="s">
        <v>10</v>
      </c>
      <c r="K60" s="17">
        <v>33286065000102</v>
      </c>
      <c r="L60" s="17">
        <v>9576274000106</v>
      </c>
      <c r="M60" s="9">
        <v>758.53</v>
      </c>
      <c r="N60" t="s">
        <v>43</v>
      </c>
      <c r="Q60" s="2"/>
      <c r="R60" s="9"/>
      <c r="S60" t="s">
        <v>44</v>
      </c>
      <c r="T60" t="s">
        <v>45</v>
      </c>
      <c r="U60" s="2" t="s">
        <v>583</v>
      </c>
      <c r="V60" s="9" t="s">
        <v>881</v>
      </c>
      <c r="W60">
        <v>4.1260833286065001E+43</v>
      </c>
      <c r="X60" t="s">
        <v>46</v>
      </c>
      <c r="Y60" s="2" t="s">
        <v>717</v>
      </c>
      <c r="Z60" s="2" t="s">
        <v>718</v>
      </c>
      <c r="AA60" s="9" t="s">
        <v>715</v>
      </c>
      <c r="AC60" s="2"/>
      <c r="AD60" t="s">
        <v>7</v>
      </c>
      <c r="AE60" t="s">
        <v>882</v>
      </c>
    </row>
    <row r="61" spans="1:31" x14ac:dyDescent="0.3">
      <c r="A61" s="17">
        <v>90739624000118</v>
      </c>
      <c r="B61" t="s">
        <v>25</v>
      </c>
      <c r="D61" t="s">
        <v>129</v>
      </c>
      <c r="E61" t="s">
        <v>2</v>
      </c>
      <c r="F61">
        <v>269308</v>
      </c>
      <c r="G61" s="1" t="s">
        <v>883</v>
      </c>
      <c r="H61">
        <v>25049882</v>
      </c>
      <c r="I61">
        <v>136247</v>
      </c>
      <c r="J61" t="s">
        <v>258</v>
      </c>
      <c r="K61" s="17">
        <v>26602128000119</v>
      </c>
      <c r="L61" s="17">
        <v>90739624001866</v>
      </c>
      <c r="M61" s="9">
        <v>142.63</v>
      </c>
      <c r="N61" t="s">
        <v>43</v>
      </c>
      <c r="Q61" s="2"/>
      <c r="R61" s="9"/>
      <c r="S61" t="s">
        <v>44</v>
      </c>
      <c r="T61" t="s">
        <v>45</v>
      </c>
      <c r="U61" s="2" t="s">
        <v>583</v>
      </c>
      <c r="V61" s="9" t="s">
        <v>884</v>
      </c>
      <c r="W61">
        <v>5.1260826602127998E+43</v>
      </c>
      <c r="X61" t="s">
        <v>46</v>
      </c>
      <c r="Y61" s="2" t="s">
        <v>717</v>
      </c>
      <c r="Z61" s="2" t="s">
        <v>718</v>
      </c>
      <c r="AA61" s="9" t="s">
        <v>715</v>
      </c>
      <c r="AC61" s="2"/>
      <c r="AD61" t="s">
        <v>7</v>
      </c>
      <c r="AE61" t="s">
        <v>885</v>
      </c>
    </row>
    <row r="62" spans="1:31" x14ac:dyDescent="0.3">
      <c r="A62" s="17">
        <v>90739624000118</v>
      </c>
      <c r="B62" t="s">
        <v>73</v>
      </c>
      <c r="D62" t="s">
        <v>169</v>
      </c>
      <c r="E62" t="s">
        <v>2</v>
      </c>
      <c r="F62">
        <v>269308</v>
      </c>
      <c r="G62" s="1" t="s">
        <v>886</v>
      </c>
      <c r="H62">
        <v>25049849</v>
      </c>
      <c r="J62" t="s">
        <v>464</v>
      </c>
      <c r="K62" s="17">
        <v>7473735012350</v>
      </c>
      <c r="L62" s="17"/>
      <c r="M62" s="9">
        <v>377.78</v>
      </c>
      <c r="N62" t="s">
        <v>43</v>
      </c>
      <c r="Q62" s="2"/>
      <c r="R62" s="9"/>
      <c r="S62" t="s">
        <v>87</v>
      </c>
      <c r="U62" s="2"/>
      <c r="V62" s="9"/>
      <c r="X62" t="s">
        <v>88</v>
      </c>
      <c r="Y62" s="2" t="s">
        <v>717</v>
      </c>
      <c r="Z62" s="2" t="s">
        <v>718</v>
      </c>
      <c r="AA62" s="9" t="s">
        <v>715</v>
      </c>
      <c r="AC62" s="2"/>
      <c r="AD62" t="s">
        <v>7</v>
      </c>
    </row>
    <row r="63" spans="1:31" x14ac:dyDescent="0.3">
      <c r="A63" s="17">
        <v>90739624000118</v>
      </c>
      <c r="B63" t="s">
        <v>40</v>
      </c>
      <c r="C63">
        <v>24143</v>
      </c>
      <c r="D63" t="s">
        <v>232</v>
      </c>
      <c r="E63" t="s">
        <v>2</v>
      </c>
      <c r="F63">
        <v>269308</v>
      </c>
      <c r="G63" s="1" t="s">
        <v>888</v>
      </c>
      <c r="H63">
        <v>25049390</v>
      </c>
      <c r="I63">
        <v>168705</v>
      </c>
      <c r="J63" t="s">
        <v>42</v>
      </c>
      <c r="K63" s="17">
        <v>82156977000248</v>
      </c>
      <c r="L63" s="17">
        <v>90739624001432</v>
      </c>
      <c r="M63" s="9">
        <v>243.9</v>
      </c>
      <c r="N63" t="s">
        <v>43</v>
      </c>
      <c r="Q63" s="2"/>
      <c r="R63" s="9"/>
      <c r="S63" t="s">
        <v>44</v>
      </c>
      <c r="T63" t="s">
        <v>45</v>
      </c>
      <c r="U63" s="2" t="s">
        <v>583</v>
      </c>
      <c r="V63" s="9" t="s">
        <v>889</v>
      </c>
      <c r="W63">
        <v>4.2260882156977001E+43</v>
      </c>
      <c r="X63" t="s">
        <v>46</v>
      </c>
      <c r="Y63" s="2" t="s">
        <v>717</v>
      </c>
      <c r="Z63" s="2" t="s">
        <v>718</v>
      </c>
      <c r="AA63" s="9" t="s">
        <v>715</v>
      </c>
      <c r="AC63" s="2"/>
      <c r="AD63" t="s">
        <v>7</v>
      </c>
      <c r="AE63" t="s">
        <v>890</v>
      </c>
    </row>
    <row r="64" spans="1:31" x14ac:dyDescent="0.3">
      <c r="A64" s="17">
        <v>90739624000118</v>
      </c>
      <c r="B64" t="s">
        <v>52</v>
      </c>
      <c r="C64">
        <v>21147</v>
      </c>
      <c r="D64" t="s">
        <v>485</v>
      </c>
      <c r="E64" t="s">
        <v>2</v>
      </c>
      <c r="F64">
        <v>269308</v>
      </c>
      <c r="G64" s="1" t="s">
        <v>891</v>
      </c>
      <c r="H64">
        <v>25049333</v>
      </c>
      <c r="I64">
        <v>16856</v>
      </c>
      <c r="J64" t="s">
        <v>54</v>
      </c>
      <c r="K64" s="17">
        <v>79130647000198</v>
      </c>
      <c r="L64" s="17">
        <v>9576274000106</v>
      </c>
      <c r="M64" s="9">
        <v>383.75</v>
      </c>
      <c r="N64" t="s">
        <v>43</v>
      </c>
      <c r="Q64" s="2"/>
      <c r="R64" s="9"/>
      <c r="S64" t="s">
        <v>44</v>
      </c>
      <c r="T64" t="s">
        <v>45</v>
      </c>
      <c r="U64" s="2" t="s">
        <v>583</v>
      </c>
      <c r="V64" s="9" t="s">
        <v>892</v>
      </c>
      <c r="W64">
        <v>4.1260879130646998E+43</v>
      </c>
      <c r="X64" t="s">
        <v>46</v>
      </c>
      <c r="Y64" s="2" t="s">
        <v>717</v>
      </c>
      <c r="Z64" s="2" t="s">
        <v>718</v>
      </c>
      <c r="AA64" s="9" t="s">
        <v>715</v>
      </c>
      <c r="AC64" s="2"/>
      <c r="AD64" t="s">
        <v>7</v>
      </c>
      <c r="AE64" t="s">
        <v>893</v>
      </c>
    </row>
    <row r="65" spans="1:31" x14ac:dyDescent="0.3">
      <c r="A65" s="17">
        <v>90739624000118</v>
      </c>
      <c r="B65" t="s">
        <v>52</v>
      </c>
      <c r="C65">
        <v>21148</v>
      </c>
      <c r="D65" t="s">
        <v>53</v>
      </c>
      <c r="E65" t="s">
        <v>2</v>
      </c>
      <c r="F65">
        <v>269308</v>
      </c>
      <c r="G65" s="1" t="s">
        <v>894</v>
      </c>
      <c r="H65">
        <v>25049271</v>
      </c>
      <c r="I65">
        <v>3023</v>
      </c>
      <c r="J65" t="s">
        <v>54</v>
      </c>
      <c r="K65" s="17">
        <v>79130647000198</v>
      </c>
      <c r="L65" s="17">
        <v>9576274000106</v>
      </c>
      <c r="M65" s="9">
        <v>61.14</v>
      </c>
      <c r="N65" t="s">
        <v>43</v>
      </c>
      <c r="Q65" s="2"/>
      <c r="R65" s="9"/>
      <c r="S65" t="s">
        <v>44</v>
      </c>
      <c r="T65" t="s">
        <v>45</v>
      </c>
      <c r="U65" s="2" t="s">
        <v>583</v>
      </c>
      <c r="V65" s="9" t="s">
        <v>895</v>
      </c>
      <c r="W65">
        <v>4.1260879130646998E+43</v>
      </c>
      <c r="X65" t="s">
        <v>46</v>
      </c>
      <c r="Y65" s="2" t="s">
        <v>717</v>
      </c>
      <c r="Z65" s="2" t="s">
        <v>718</v>
      </c>
      <c r="AA65" s="9" t="s">
        <v>715</v>
      </c>
      <c r="AC65" s="2"/>
      <c r="AD65" t="s">
        <v>7</v>
      </c>
      <c r="AE65" t="s">
        <v>896</v>
      </c>
    </row>
    <row r="66" spans="1:31" x14ac:dyDescent="0.3">
      <c r="A66" s="17">
        <v>90739624000118</v>
      </c>
      <c r="B66" t="s">
        <v>28</v>
      </c>
      <c r="C66">
        <v>23725</v>
      </c>
      <c r="D66" t="s">
        <v>560</v>
      </c>
      <c r="E66" t="s">
        <v>2</v>
      </c>
      <c r="F66">
        <v>269308</v>
      </c>
      <c r="G66" s="1" t="s">
        <v>897</v>
      </c>
      <c r="H66">
        <v>25049229</v>
      </c>
      <c r="I66">
        <v>81431</v>
      </c>
      <c r="J66" t="s">
        <v>48</v>
      </c>
      <c r="K66" s="17">
        <v>1272434001002</v>
      </c>
      <c r="L66" s="17">
        <v>90739624001947</v>
      </c>
      <c r="M66" s="9">
        <v>135.66999999999999</v>
      </c>
      <c r="N66" t="s">
        <v>43</v>
      </c>
      <c r="Q66" s="2"/>
      <c r="R66" s="9"/>
      <c r="S66" t="s">
        <v>44</v>
      </c>
      <c r="T66" t="s">
        <v>45</v>
      </c>
      <c r="U66" s="2" t="s">
        <v>583</v>
      </c>
      <c r="V66" s="9" t="s">
        <v>898</v>
      </c>
      <c r="W66">
        <v>5.2260801272433996E+43</v>
      </c>
      <c r="X66" t="s">
        <v>46</v>
      </c>
      <c r="Y66" s="2" t="s">
        <v>717</v>
      </c>
      <c r="Z66" s="2" t="s">
        <v>718</v>
      </c>
      <c r="AA66" s="9" t="s">
        <v>715</v>
      </c>
      <c r="AC66" s="2"/>
      <c r="AD66" t="s">
        <v>7</v>
      </c>
      <c r="AE66" t="s">
        <v>899</v>
      </c>
    </row>
    <row r="67" spans="1:31" x14ac:dyDescent="0.3">
      <c r="A67" s="17">
        <v>90739624000118</v>
      </c>
      <c r="B67" t="s">
        <v>52</v>
      </c>
      <c r="C67">
        <v>21141</v>
      </c>
      <c r="D67" t="s">
        <v>332</v>
      </c>
      <c r="E67" t="s">
        <v>2</v>
      </c>
      <c r="F67">
        <v>269308</v>
      </c>
      <c r="G67" s="1" t="s">
        <v>900</v>
      </c>
      <c r="H67">
        <v>25049113</v>
      </c>
      <c r="I67">
        <v>16855</v>
      </c>
      <c r="J67" t="s">
        <v>54</v>
      </c>
      <c r="K67" s="17">
        <v>79130647000198</v>
      </c>
      <c r="L67" s="17">
        <v>9576274000106</v>
      </c>
      <c r="M67" s="9">
        <v>440.15</v>
      </c>
      <c r="N67" t="s">
        <v>43</v>
      </c>
      <c r="Q67" s="2"/>
      <c r="R67" s="9"/>
      <c r="S67" t="s">
        <v>44</v>
      </c>
      <c r="T67" t="s">
        <v>45</v>
      </c>
      <c r="U67" s="2" t="s">
        <v>583</v>
      </c>
      <c r="V67" s="9" t="s">
        <v>901</v>
      </c>
      <c r="W67">
        <v>4.1260879130646998E+43</v>
      </c>
      <c r="X67" t="s">
        <v>46</v>
      </c>
      <c r="Y67" s="2" t="s">
        <v>717</v>
      </c>
      <c r="Z67" s="2" t="s">
        <v>718</v>
      </c>
      <c r="AA67" s="9" t="s">
        <v>715</v>
      </c>
      <c r="AC67" s="2"/>
      <c r="AD67" t="s">
        <v>7</v>
      </c>
      <c r="AE67" t="s">
        <v>902</v>
      </c>
    </row>
    <row r="68" spans="1:31" x14ac:dyDescent="0.3">
      <c r="A68" s="17">
        <v>90739624000118</v>
      </c>
      <c r="B68" t="s">
        <v>52</v>
      </c>
      <c r="D68" t="s">
        <v>455</v>
      </c>
      <c r="E68" t="s">
        <v>2</v>
      </c>
      <c r="F68">
        <v>269308</v>
      </c>
      <c r="G68" s="1" t="s">
        <v>903</v>
      </c>
      <c r="H68">
        <v>25048768</v>
      </c>
      <c r="I68">
        <v>41254</v>
      </c>
      <c r="J68" t="s">
        <v>545</v>
      </c>
      <c r="K68" s="17">
        <v>30429333000282</v>
      </c>
      <c r="L68" s="17">
        <v>9576274000106</v>
      </c>
      <c r="M68" s="9">
        <v>295.58</v>
      </c>
      <c r="N68" t="s">
        <v>43</v>
      </c>
      <c r="Q68" s="2"/>
      <c r="R68" s="9"/>
      <c r="S68" t="s">
        <v>44</v>
      </c>
      <c r="T68" t="s">
        <v>45</v>
      </c>
      <c r="U68" s="2" t="s">
        <v>583</v>
      </c>
      <c r="V68" s="9" t="s">
        <v>904</v>
      </c>
      <c r="W68">
        <v>4.1260830429333002E+43</v>
      </c>
      <c r="X68" t="s">
        <v>46</v>
      </c>
      <c r="Y68" s="2" t="s">
        <v>717</v>
      </c>
      <c r="Z68" s="2" t="s">
        <v>718</v>
      </c>
      <c r="AA68" s="9" t="s">
        <v>715</v>
      </c>
      <c r="AC68" s="2"/>
      <c r="AD68" t="s">
        <v>7</v>
      </c>
      <c r="AE68" t="s">
        <v>905</v>
      </c>
    </row>
    <row r="69" spans="1:31" x14ac:dyDescent="0.3">
      <c r="A69" s="17">
        <v>90739624000118</v>
      </c>
      <c r="B69" t="s">
        <v>8</v>
      </c>
      <c r="D69" t="s">
        <v>238</v>
      </c>
      <c r="E69" t="s">
        <v>2</v>
      </c>
      <c r="F69">
        <v>269308</v>
      </c>
      <c r="G69" s="1" t="s">
        <v>906</v>
      </c>
      <c r="H69">
        <v>25048468</v>
      </c>
      <c r="I69">
        <v>20903</v>
      </c>
      <c r="J69" t="s">
        <v>239</v>
      </c>
      <c r="K69" s="17">
        <v>5291412000141</v>
      </c>
      <c r="L69" s="17">
        <v>9576274000106</v>
      </c>
      <c r="M69" s="9">
        <v>392.88</v>
      </c>
      <c r="N69" t="s">
        <v>43</v>
      </c>
      <c r="Q69" s="2"/>
      <c r="R69" s="9"/>
      <c r="S69" t="s">
        <v>44</v>
      </c>
      <c r="T69" t="s">
        <v>45</v>
      </c>
      <c r="U69" s="2" t="s">
        <v>583</v>
      </c>
      <c r="V69" s="9" t="s">
        <v>907</v>
      </c>
      <c r="W69">
        <v>4.1260805291411999E+43</v>
      </c>
      <c r="X69" t="s">
        <v>46</v>
      </c>
      <c r="Y69" s="2" t="s">
        <v>717</v>
      </c>
      <c r="Z69" s="2" t="s">
        <v>718</v>
      </c>
      <c r="AA69" s="9" t="s">
        <v>715</v>
      </c>
      <c r="AC69" s="2"/>
      <c r="AD69" t="s">
        <v>7</v>
      </c>
      <c r="AE69" t="s">
        <v>908</v>
      </c>
    </row>
    <row r="70" spans="1:31" x14ac:dyDescent="0.3">
      <c r="A70" s="17">
        <v>90739624000118</v>
      </c>
      <c r="B70" t="s">
        <v>100</v>
      </c>
      <c r="D70" t="s">
        <v>112</v>
      </c>
      <c r="E70" t="s">
        <v>2</v>
      </c>
      <c r="F70">
        <v>269308</v>
      </c>
      <c r="G70" s="1" t="s">
        <v>909</v>
      </c>
      <c r="H70">
        <v>25048434</v>
      </c>
      <c r="I70">
        <v>3383325</v>
      </c>
      <c r="J70" t="s">
        <v>248</v>
      </c>
      <c r="K70" s="17">
        <v>3623054000282</v>
      </c>
      <c r="L70" s="17">
        <v>90739624001866</v>
      </c>
      <c r="M70" s="9">
        <v>473.75</v>
      </c>
      <c r="N70" t="s">
        <v>43</v>
      </c>
      <c r="Q70" s="2"/>
      <c r="R70" s="9"/>
      <c r="S70" t="s">
        <v>44</v>
      </c>
      <c r="T70" t="s">
        <v>45</v>
      </c>
      <c r="U70" s="2" t="s">
        <v>583</v>
      </c>
      <c r="V70" s="9" t="s">
        <v>910</v>
      </c>
      <c r="W70">
        <v>5.1260803623053998E+43</v>
      </c>
      <c r="X70" t="s">
        <v>46</v>
      </c>
      <c r="Y70" s="2" t="s">
        <v>717</v>
      </c>
      <c r="Z70" s="2" t="s">
        <v>718</v>
      </c>
      <c r="AA70" s="9" t="s">
        <v>715</v>
      </c>
      <c r="AC70" s="2"/>
      <c r="AD70" t="s">
        <v>7</v>
      </c>
      <c r="AE70" t="s">
        <v>911</v>
      </c>
    </row>
    <row r="71" spans="1:31" x14ac:dyDescent="0.3">
      <c r="A71" s="17">
        <v>90739624000118</v>
      </c>
      <c r="B71" t="s">
        <v>28</v>
      </c>
      <c r="D71" t="s">
        <v>97</v>
      </c>
      <c r="E71" t="s">
        <v>2</v>
      </c>
      <c r="F71">
        <v>269308</v>
      </c>
      <c r="G71" s="1" t="s">
        <v>912</v>
      </c>
      <c r="H71">
        <v>25047882</v>
      </c>
      <c r="I71">
        <v>81429</v>
      </c>
      <c r="J71" t="s">
        <v>48</v>
      </c>
      <c r="K71" s="17">
        <v>1272434001002</v>
      </c>
      <c r="L71" s="17">
        <v>90739624001947</v>
      </c>
      <c r="M71" s="9">
        <v>291.87</v>
      </c>
      <c r="N71" t="s">
        <v>43</v>
      </c>
      <c r="Q71" s="2"/>
      <c r="R71" s="9"/>
      <c r="S71" t="s">
        <v>44</v>
      </c>
      <c r="T71" t="s">
        <v>45</v>
      </c>
      <c r="U71" s="2" t="s">
        <v>583</v>
      </c>
      <c r="V71" s="9" t="s">
        <v>913</v>
      </c>
      <c r="W71">
        <v>5.2260801272433996E+43</v>
      </c>
      <c r="X71" t="s">
        <v>46</v>
      </c>
      <c r="Y71" s="2" t="s">
        <v>717</v>
      </c>
      <c r="Z71" s="2" t="s">
        <v>718</v>
      </c>
      <c r="AA71" s="9" t="s">
        <v>715</v>
      </c>
      <c r="AC71" s="2"/>
      <c r="AD71" t="s">
        <v>7</v>
      </c>
      <c r="AE71" t="s">
        <v>914</v>
      </c>
    </row>
    <row r="72" spans="1:31" x14ac:dyDescent="0.3">
      <c r="A72" s="17">
        <v>90739624000118</v>
      </c>
      <c r="B72" t="s">
        <v>33</v>
      </c>
      <c r="D72" t="s">
        <v>472</v>
      </c>
      <c r="E72" t="s">
        <v>2</v>
      </c>
      <c r="F72">
        <v>269308</v>
      </c>
      <c r="G72" s="1" t="s">
        <v>915</v>
      </c>
      <c r="H72">
        <v>25047875</v>
      </c>
      <c r="I72">
        <v>1149</v>
      </c>
      <c r="J72" t="s">
        <v>35</v>
      </c>
      <c r="K72" s="17">
        <v>27933025000102</v>
      </c>
      <c r="L72" s="17">
        <v>9576274000106</v>
      </c>
      <c r="M72" s="9">
        <v>214.09</v>
      </c>
      <c r="N72" t="s">
        <v>43</v>
      </c>
      <c r="Q72" s="2"/>
      <c r="R72" s="9"/>
      <c r="S72" t="s">
        <v>44</v>
      </c>
      <c r="T72" t="s">
        <v>45</v>
      </c>
      <c r="U72" s="2" t="s">
        <v>792</v>
      </c>
      <c r="V72" s="9" t="s">
        <v>916</v>
      </c>
      <c r="W72">
        <v>4.1260827933025001E+43</v>
      </c>
      <c r="X72" t="s">
        <v>46</v>
      </c>
      <c r="Y72" s="2" t="s">
        <v>717</v>
      </c>
      <c r="Z72" s="2" t="s">
        <v>718</v>
      </c>
      <c r="AA72" s="9" t="s">
        <v>715</v>
      </c>
      <c r="AC72" s="2"/>
      <c r="AD72" t="s">
        <v>7</v>
      </c>
      <c r="AE72" t="s">
        <v>917</v>
      </c>
    </row>
    <row r="73" spans="1:31" x14ac:dyDescent="0.3">
      <c r="A73" s="17">
        <v>90739624000118</v>
      </c>
      <c r="B73" t="s">
        <v>63</v>
      </c>
      <c r="D73" t="s">
        <v>270</v>
      </c>
      <c r="E73" t="s">
        <v>2</v>
      </c>
      <c r="F73">
        <v>269308</v>
      </c>
      <c r="G73" s="1" t="s">
        <v>918</v>
      </c>
      <c r="H73">
        <v>25047830</v>
      </c>
      <c r="I73">
        <v>59392</v>
      </c>
      <c r="J73" t="s">
        <v>919</v>
      </c>
      <c r="K73" s="17">
        <v>20630766000167</v>
      </c>
      <c r="L73" s="17">
        <v>90739624001432</v>
      </c>
      <c r="M73" s="9">
        <v>269.16000000000003</v>
      </c>
      <c r="N73" t="s">
        <v>43</v>
      </c>
      <c r="Q73" s="2"/>
      <c r="R73" s="9"/>
      <c r="S73" t="s">
        <v>44</v>
      </c>
      <c r="T73" t="s">
        <v>45</v>
      </c>
      <c r="U73" s="2" t="s">
        <v>583</v>
      </c>
      <c r="V73" s="9" t="s">
        <v>920</v>
      </c>
      <c r="W73">
        <v>4.2260820630766001E+43</v>
      </c>
      <c r="X73" t="s">
        <v>46</v>
      </c>
      <c r="Y73" s="2" t="s">
        <v>717</v>
      </c>
      <c r="Z73" s="2" t="s">
        <v>718</v>
      </c>
      <c r="AA73" s="9" t="s">
        <v>715</v>
      </c>
      <c r="AC73" s="2"/>
      <c r="AD73" t="s">
        <v>7</v>
      </c>
      <c r="AE73" t="s">
        <v>921</v>
      </c>
    </row>
    <row r="74" spans="1:31" x14ac:dyDescent="0.3">
      <c r="A74" s="17">
        <v>90739624000118</v>
      </c>
      <c r="B74" t="s">
        <v>28</v>
      </c>
      <c r="D74" t="s">
        <v>91</v>
      </c>
      <c r="E74" t="s">
        <v>2</v>
      </c>
      <c r="F74">
        <v>269308</v>
      </c>
      <c r="G74" s="1" t="s">
        <v>922</v>
      </c>
      <c r="H74">
        <v>25047120</v>
      </c>
      <c r="I74">
        <v>27326</v>
      </c>
      <c r="J74" t="s">
        <v>254</v>
      </c>
      <c r="K74" s="17">
        <v>13759928000104</v>
      </c>
      <c r="L74" s="17">
        <v>90739624001947</v>
      </c>
      <c r="M74" s="9">
        <v>230.17</v>
      </c>
      <c r="N74" t="s">
        <v>43</v>
      </c>
      <c r="Q74" s="2"/>
      <c r="R74" s="9"/>
      <c r="S74" t="s">
        <v>44</v>
      </c>
      <c r="T74" t="s">
        <v>45</v>
      </c>
      <c r="U74" s="2" t="s">
        <v>583</v>
      </c>
      <c r="V74" s="9" t="s">
        <v>923</v>
      </c>
      <c r="W74">
        <v>5.2260813759927995E+43</v>
      </c>
      <c r="X74" t="s">
        <v>46</v>
      </c>
      <c r="Y74" s="2" t="s">
        <v>717</v>
      </c>
      <c r="Z74" s="2" t="s">
        <v>718</v>
      </c>
      <c r="AA74" s="9" t="s">
        <v>715</v>
      </c>
      <c r="AC74" s="2"/>
      <c r="AD74" t="s">
        <v>7</v>
      </c>
      <c r="AE74" t="s">
        <v>924</v>
      </c>
    </row>
    <row r="75" spans="1:31" x14ac:dyDescent="0.3">
      <c r="A75" s="17">
        <v>90739624000118</v>
      </c>
      <c r="B75" t="s">
        <v>70</v>
      </c>
      <c r="C75">
        <v>23458</v>
      </c>
      <c r="D75" t="s">
        <v>71</v>
      </c>
      <c r="E75" t="s">
        <v>2</v>
      </c>
      <c r="F75">
        <v>269308</v>
      </c>
      <c r="G75" s="1" t="s">
        <v>925</v>
      </c>
      <c r="H75">
        <v>25047087</v>
      </c>
      <c r="I75">
        <v>257432</v>
      </c>
      <c r="J75" t="s">
        <v>72</v>
      </c>
      <c r="K75" s="17">
        <v>79964177000168</v>
      </c>
      <c r="L75" s="17">
        <v>9576274000106</v>
      </c>
      <c r="M75" s="9">
        <v>176.12</v>
      </c>
      <c r="N75" t="s">
        <v>43</v>
      </c>
      <c r="Q75" s="2"/>
      <c r="R75" s="9"/>
      <c r="S75" t="s">
        <v>44</v>
      </c>
      <c r="T75" t="s">
        <v>45</v>
      </c>
      <c r="U75" s="2" t="s">
        <v>583</v>
      </c>
      <c r="V75" s="9" t="s">
        <v>926</v>
      </c>
      <c r="W75">
        <v>4.1260879964176998E+43</v>
      </c>
      <c r="X75" t="s">
        <v>46</v>
      </c>
      <c r="Y75" s="2" t="s">
        <v>717</v>
      </c>
      <c r="Z75" s="2" t="s">
        <v>718</v>
      </c>
      <c r="AA75" s="9" t="s">
        <v>715</v>
      </c>
      <c r="AC75" s="2"/>
      <c r="AD75" t="s">
        <v>7</v>
      </c>
      <c r="AE75" t="s">
        <v>927</v>
      </c>
    </row>
    <row r="76" spans="1:31" x14ac:dyDescent="0.3">
      <c r="A76" s="17">
        <v>90739624000118</v>
      </c>
      <c r="B76" t="s">
        <v>28</v>
      </c>
      <c r="D76" t="s">
        <v>483</v>
      </c>
      <c r="E76" t="s">
        <v>2</v>
      </c>
      <c r="F76">
        <v>269308</v>
      </c>
      <c r="G76" s="1" t="s">
        <v>928</v>
      </c>
      <c r="H76">
        <v>25047034</v>
      </c>
      <c r="I76">
        <v>81427</v>
      </c>
      <c r="J76" t="s">
        <v>48</v>
      </c>
      <c r="K76" s="17">
        <v>1272434001002</v>
      </c>
      <c r="L76" s="17">
        <v>90739624001947</v>
      </c>
      <c r="M76" s="9">
        <v>144.99</v>
      </c>
      <c r="N76" t="s">
        <v>43</v>
      </c>
      <c r="Q76" s="2"/>
      <c r="R76" s="9"/>
      <c r="S76" t="s">
        <v>44</v>
      </c>
      <c r="T76" t="s">
        <v>45</v>
      </c>
      <c r="U76" s="2" t="s">
        <v>583</v>
      </c>
      <c r="V76" s="9" t="s">
        <v>929</v>
      </c>
      <c r="W76">
        <v>5.2260801272433996E+43</v>
      </c>
      <c r="X76" t="s">
        <v>46</v>
      </c>
      <c r="Y76" s="2" t="s">
        <v>717</v>
      </c>
      <c r="Z76" s="2" t="s">
        <v>718</v>
      </c>
      <c r="AA76" s="9" t="s">
        <v>715</v>
      </c>
      <c r="AC76" s="2"/>
      <c r="AD76" t="s">
        <v>7</v>
      </c>
      <c r="AE76" t="s">
        <v>930</v>
      </c>
    </row>
    <row r="77" spans="1:31" x14ac:dyDescent="0.3">
      <c r="A77" s="17">
        <v>90739624000118</v>
      </c>
      <c r="B77" t="s">
        <v>33</v>
      </c>
      <c r="D77" t="s">
        <v>179</v>
      </c>
      <c r="E77" t="s">
        <v>2</v>
      </c>
      <c r="F77">
        <v>269308</v>
      </c>
      <c r="G77" s="1" t="s">
        <v>931</v>
      </c>
      <c r="H77">
        <v>25046610</v>
      </c>
      <c r="I77">
        <v>1148</v>
      </c>
      <c r="J77" t="s">
        <v>35</v>
      </c>
      <c r="K77" s="17">
        <v>27933025000102</v>
      </c>
      <c r="L77" s="17">
        <v>9576274000106</v>
      </c>
      <c r="M77" s="9">
        <v>265.72000000000003</v>
      </c>
      <c r="N77" t="s">
        <v>43</v>
      </c>
      <c r="Q77" s="2"/>
      <c r="R77" s="9"/>
      <c r="S77" t="s">
        <v>44</v>
      </c>
      <c r="T77" t="s">
        <v>45</v>
      </c>
      <c r="U77" s="2" t="s">
        <v>792</v>
      </c>
      <c r="V77" s="9" t="s">
        <v>932</v>
      </c>
      <c r="W77">
        <v>4.1260827933025001E+43</v>
      </c>
      <c r="X77" t="s">
        <v>46</v>
      </c>
      <c r="Y77" s="2" t="s">
        <v>717</v>
      </c>
      <c r="Z77" s="2" t="s">
        <v>718</v>
      </c>
      <c r="AA77" s="9" t="s">
        <v>715</v>
      </c>
      <c r="AC77" s="2"/>
      <c r="AD77" t="s">
        <v>7</v>
      </c>
      <c r="AE77" t="s">
        <v>933</v>
      </c>
    </row>
    <row r="78" spans="1:31" x14ac:dyDescent="0.3">
      <c r="A78" s="17">
        <v>90739624000118</v>
      </c>
      <c r="B78" t="s">
        <v>52</v>
      </c>
      <c r="D78" t="s">
        <v>934</v>
      </c>
      <c r="E78" t="s">
        <v>2</v>
      </c>
      <c r="F78">
        <v>269308</v>
      </c>
      <c r="G78" s="1" t="s">
        <v>935</v>
      </c>
      <c r="H78">
        <v>25046499</v>
      </c>
      <c r="I78">
        <v>41248</v>
      </c>
      <c r="J78" t="s">
        <v>545</v>
      </c>
      <c r="K78" s="17">
        <v>30429333000282</v>
      </c>
      <c r="L78" s="17">
        <v>9576274000106</v>
      </c>
      <c r="M78" s="9">
        <v>167.13</v>
      </c>
      <c r="N78" t="s">
        <v>43</v>
      </c>
      <c r="Q78" s="2"/>
      <c r="R78" s="9"/>
      <c r="S78" t="s">
        <v>44</v>
      </c>
      <c r="T78" t="s">
        <v>45</v>
      </c>
      <c r="U78" s="2" t="s">
        <v>583</v>
      </c>
      <c r="V78" s="9" t="s">
        <v>936</v>
      </c>
      <c r="W78">
        <v>4.1260830429333002E+43</v>
      </c>
      <c r="X78" t="s">
        <v>46</v>
      </c>
      <c r="Y78" s="2" t="s">
        <v>717</v>
      </c>
      <c r="Z78" s="2" t="s">
        <v>718</v>
      </c>
      <c r="AA78" s="9" t="s">
        <v>715</v>
      </c>
      <c r="AC78" s="2"/>
      <c r="AD78" t="s">
        <v>7</v>
      </c>
      <c r="AE78" t="s">
        <v>937</v>
      </c>
    </row>
    <row r="79" spans="1:31" x14ac:dyDescent="0.3">
      <c r="A79" s="17">
        <v>90739624000118</v>
      </c>
      <c r="B79" t="s">
        <v>28</v>
      </c>
      <c r="C79">
        <v>20087</v>
      </c>
      <c r="D79" t="s">
        <v>219</v>
      </c>
      <c r="E79" t="s">
        <v>2</v>
      </c>
      <c r="F79">
        <v>269308</v>
      </c>
      <c r="G79" s="1" t="s">
        <v>938</v>
      </c>
      <c r="H79">
        <v>25046365</v>
      </c>
      <c r="I79">
        <v>38312</v>
      </c>
      <c r="J79" t="s">
        <v>209</v>
      </c>
      <c r="K79" s="17">
        <v>33360405000190</v>
      </c>
      <c r="L79" s="17">
        <v>90739624001947</v>
      </c>
      <c r="M79" s="9">
        <v>345.14</v>
      </c>
      <c r="N79" t="s">
        <v>43</v>
      </c>
      <c r="Q79" s="2"/>
      <c r="R79" s="9"/>
      <c r="S79" t="s">
        <v>44</v>
      </c>
      <c r="T79" t="s">
        <v>45</v>
      </c>
      <c r="U79" s="2" t="s">
        <v>583</v>
      </c>
      <c r="V79" s="9" t="s">
        <v>939</v>
      </c>
      <c r="W79">
        <v>5.2260833360404998E+43</v>
      </c>
      <c r="X79" t="s">
        <v>46</v>
      </c>
      <c r="Y79" s="2" t="s">
        <v>717</v>
      </c>
      <c r="Z79" s="2" t="s">
        <v>718</v>
      </c>
      <c r="AA79" s="9" t="s">
        <v>715</v>
      </c>
      <c r="AC79" s="2"/>
      <c r="AD79" t="s">
        <v>7</v>
      </c>
      <c r="AE79" t="s">
        <v>940</v>
      </c>
    </row>
    <row r="80" spans="1:31" x14ac:dyDescent="0.3">
      <c r="A80" s="17">
        <v>90739624000118</v>
      </c>
      <c r="B80" t="s">
        <v>28</v>
      </c>
      <c r="C80">
        <v>24445</v>
      </c>
      <c r="D80" t="s">
        <v>263</v>
      </c>
      <c r="E80" t="s">
        <v>2</v>
      </c>
      <c r="F80">
        <v>269308</v>
      </c>
      <c r="G80" s="1" t="s">
        <v>941</v>
      </c>
      <c r="H80">
        <v>25046327</v>
      </c>
      <c r="I80">
        <v>38313</v>
      </c>
      <c r="J80" t="s">
        <v>209</v>
      </c>
      <c r="K80" s="17">
        <v>33360405000190</v>
      </c>
      <c r="L80" s="17">
        <v>90739624001947</v>
      </c>
      <c r="M80" s="9">
        <v>343.4</v>
      </c>
      <c r="N80" t="s">
        <v>43</v>
      </c>
      <c r="Q80" s="2"/>
      <c r="R80" s="9"/>
      <c r="S80" t="s">
        <v>44</v>
      </c>
      <c r="T80" t="s">
        <v>45</v>
      </c>
      <c r="U80" s="2" t="s">
        <v>583</v>
      </c>
      <c r="V80" s="9" t="s">
        <v>942</v>
      </c>
      <c r="W80">
        <v>5.2260833360404998E+43</v>
      </c>
      <c r="X80" t="s">
        <v>46</v>
      </c>
      <c r="Y80" s="2" t="s">
        <v>717</v>
      </c>
      <c r="Z80" s="2" t="s">
        <v>718</v>
      </c>
      <c r="AA80" s="9" t="s">
        <v>715</v>
      </c>
      <c r="AC80" s="2"/>
      <c r="AD80" t="s">
        <v>7</v>
      </c>
      <c r="AE80" t="s">
        <v>943</v>
      </c>
    </row>
    <row r="81" spans="1:31" x14ac:dyDescent="0.3">
      <c r="A81" s="17">
        <v>90739624000118</v>
      </c>
      <c r="B81" t="s">
        <v>49</v>
      </c>
      <c r="C81">
        <v>22473</v>
      </c>
      <c r="D81" t="s">
        <v>523</v>
      </c>
      <c r="E81" t="s">
        <v>2</v>
      </c>
      <c r="F81">
        <v>269308</v>
      </c>
      <c r="G81" s="1" t="s">
        <v>944</v>
      </c>
      <c r="H81">
        <v>25046278</v>
      </c>
      <c r="I81">
        <v>163199</v>
      </c>
      <c r="J81" t="s">
        <v>51</v>
      </c>
      <c r="K81" s="17">
        <v>2763612000161</v>
      </c>
      <c r="L81" s="17">
        <v>90739624003133</v>
      </c>
      <c r="M81" s="9">
        <v>231.6</v>
      </c>
      <c r="N81" t="s">
        <v>43</v>
      </c>
      <c r="Q81" s="2"/>
      <c r="R81" s="9"/>
      <c r="S81" t="s">
        <v>44</v>
      </c>
      <c r="T81" t="s">
        <v>45</v>
      </c>
      <c r="U81" s="2" t="s">
        <v>583</v>
      </c>
      <c r="V81" s="9" t="s">
        <v>945</v>
      </c>
      <c r="W81">
        <v>4.1260802763612002E+43</v>
      </c>
      <c r="X81" t="s">
        <v>46</v>
      </c>
      <c r="Y81" s="2" t="s">
        <v>717</v>
      </c>
      <c r="Z81" s="2" t="s">
        <v>718</v>
      </c>
      <c r="AA81" s="9" t="s">
        <v>715</v>
      </c>
      <c r="AC81" s="2"/>
      <c r="AD81" t="s">
        <v>7</v>
      </c>
      <c r="AE81" t="s">
        <v>946</v>
      </c>
    </row>
    <row r="82" spans="1:31" x14ac:dyDescent="0.3">
      <c r="A82" s="17">
        <v>90739624000118</v>
      </c>
      <c r="B82" t="s">
        <v>70</v>
      </c>
      <c r="C82">
        <v>24139</v>
      </c>
      <c r="D82" t="s">
        <v>456</v>
      </c>
      <c r="E82" t="s">
        <v>2</v>
      </c>
      <c r="F82">
        <v>269308</v>
      </c>
      <c r="G82" s="1" t="s">
        <v>947</v>
      </c>
      <c r="H82">
        <v>25045978</v>
      </c>
      <c r="I82">
        <v>257429</v>
      </c>
      <c r="J82" t="s">
        <v>72</v>
      </c>
      <c r="K82" s="17">
        <v>79964177000168</v>
      </c>
      <c r="L82" s="17">
        <v>9576274000106</v>
      </c>
      <c r="M82" s="9">
        <v>450.99</v>
      </c>
      <c r="N82" t="s">
        <v>43</v>
      </c>
      <c r="Q82" s="2"/>
      <c r="R82" s="9"/>
      <c r="S82" t="s">
        <v>44</v>
      </c>
      <c r="T82" t="s">
        <v>45</v>
      </c>
      <c r="U82" s="2" t="s">
        <v>583</v>
      </c>
      <c r="V82" s="9" t="s">
        <v>948</v>
      </c>
      <c r="W82">
        <v>4.1260879964176998E+43</v>
      </c>
      <c r="X82" t="s">
        <v>46</v>
      </c>
      <c r="Y82" s="2" t="s">
        <v>717</v>
      </c>
      <c r="Z82" s="2" t="s">
        <v>718</v>
      </c>
      <c r="AA82" s="9" t="s">
        <v>715</v>
      </c>
      <c r="AC82" s="2"/>
      <c r="AD82" t="s">
        <v>7</v>
      </c>
      <c r="AE82" t="s">
        <v>949</v>
      </c>
    </row>
    <row r="83" spans="1:31" x14ac:dyDescent="0.3">
      <c r="A83" s="17">
        <v>90739624000118</v>
      </c>
      <c r="B83" t="s">
        <v>25</v>
      </c>
      <c r="D83" t="s">
        <v>108</v>
      </c>
      <c r="E83" t="s">
        <v>2</v>
      </c>
      <c r="F83">
        <v>269308</v>
      </c>
      <c r="G83" s="1" t="s">
        <v>950</v>
      </c>
      <c r="H83">
        <v>25045941</v>
      </c>
      <c r="I83">
        <v>10549</v>
      </c>
      <c r="J83" t="s">
        <v>255</v>
      </c>
      <c r="K83" s="17">
        <v>8512459000690</v>
      </c>
      <c r="L83" s="17">
        <v>90739624001866</v>
      </c>
      <c r="M83" s="9">
        <v>186.39</v>
      </c>
      <c r="N83" t="s">
        <v>43</v>
      </c>
      <c r="Q83" s="2"/>
      <c r="R83" s="9"/>
      <c r="S83" t="s">
        <v>44</v>
      </c>
      <c r="T83" t="s">
        <v>45</v>
      </c>
      <c r="U83" s="2" t="s">
        <v>583</v>
      </c>
      <c r="V83" s="9" t="s">
        <v>952</v>
      </c>
      <c r="W83">
        <v>5.1260808512458996E+43</v>
      </c>
      <c r="X83" t="s">
        <v>46</v>
      </c>
      <c r="Y83" s="2" t="s">
        <v>717</v>
      </c>
      <c r="Z83" s="2" t="s">
        <v>718</v>
      </c>
      <c r="AA83" s="9" t="s">
        <v>715</v>
      </c>
      <c r="AC83" s="2"/>
      <c r="AD83" t="s">
        <v>7</v>
      </c>
      <c r="AE83" t="s">
        <v>953</v>
      </c>
    </row>
    <row r="84" spans="1:31" x14ac:dyDescent="0.3">
      <c r="A84" s="17">
        <v>90739624000118</v>
      </c>
      <c r="B84" t="s">
        <v>25</v>
      </c>
      <c r="D84" t="s">
        <v>460</v>
      </c>
      <c r="E84" t="s">
        <v>2</v>
      </c>
      <c r="F84">
        <v>269308</v>
      </c>
      <c r="G84" s="1" t="s">
        <v>954</v>
      </c>
      <c r="H84">
        <v>25045849</v>
      </c>
      <c r="I84">
        <v>1817</v>
      </c>
      <c r="J84" t="s">
        <v>80</v>
      </c>
      <c r="K84" s="17">
        <v>8603562001103</v>
      </c>
      <c r="L84" s="17">
        <v>90739624001866</v>
      </c>
      <c r="M84" s="9">
        <v>115.35</v>
      </c>
      <c r="N84" t="s">
        <v>43</v>
      </c>
      <c r="Q84" s="2"/>
      <c r="R84" s="9"/>
      <c r="S84" t="s">
        <v>44</v>
      </c>
      <c r="T84" t="s">
        <v>45</v>
      </c>
      <c r="U84" s="2" t="s">
        <v>583</v>
      </c>
      <c r="V84" s="9" t="s">
        <v>955</v>
      </c>
      <c r="W84">
        <v>5.1260808603562005E+43</v>
      </c>
      <c r="X84" t="s">
        <v>46</v>
      </c>
      <c r="Y84" s="2" t="s">
        <v>717</v>
      </c>
      <c r="Z84" s="2" t="s">
        <v>718</v>
      </c>
      <c r="AA84" s="9" t="s">
        <v>715</v>
      </c>
      <c r="AC84" s="2"/>
      <c r="AD84" t="s">
        <v>7</v>
      </c>
      <c r="AE84" t="s">
        <v>956</v>
      </c>
    </row>
    <row r="85" spans="1:31" x14ac:dyDescent="0.3">
      <c r="A85" s="17">
        <v>90739624000118</v>
      </c>
      <c r="B85" t="s">
        <v>52</v>
      </c>
      <c r="C85">
        <v>23848</v>
      </c>
      <c r="D85" t="s">
        <v>245</v>
      </c>
      <c r="E85" t="s">
        <v>2</v>
      </c>
      <c r="F85">
        <v>269308</v>
      </c>
      <c r="G85" s="1" t="s">
        <v>957</v>
      </c>
      <c r="H85">
        <v>25045716</v>
      </c>
      <c r="I85">
        <v>41244</v>
      </c>
      <c r="J85" t="s">
        <v>545</v>
      </c>
      <c r="K85" s="17">
        <v>30429333000282</v>
      </c>
      <c r="L85" s="17">
        <v>9576274000106</v>
      </c>
      <c r="M85" s="9">
        <v>127.72</v>
      </c>
      <c r="N85" t="s">
        <v>43</v>
      </c>
      <c r="Q85" s="2"/>
      <c r="R85" s="9"/>
      <c r="S85" t="s">
        <v>44</v>
      </c>
      <c r="T85" t="s">
        <v>45</v>
      </c>
      <c r="U85" s="2" t="s">
        <v>583</v>
      </c>
      <c r="V85" s="9" t="s">
        <v>958</v>
      </c>
      <c r="W85">
        <v>4.1260830429333002E+43</v>
      </c>
      <c r="X85" t="s">
        <v>46</v>
      </c>
      <c r="Y85" s="2" t="s">
        <v>717</v>
      </c>
      <c r="Z85" s="2" t="s">
        <v>718</v>
      </c>
      <c r="AA85" s="9" t="s">
        <v>715</v>
      </c>
      <c r="AC85" s="2"/>
      <c r="AD85" t="s">
        <v>7</v>
      </c>
      <c r="AE85" t="s">
        <v>959</v>
      </c>
    </row>
    <row r="86" spans="1:31" x14ac:dyDescent="0.3">
      <c r="A86" s="17">
        <v>90739624000118</v>
      </c>
      <c r="B86" t="s">
        <v>63</v>
      </c>
      <c r="D86" t="s">
        <v>276</v>
      </c>
      <c r="E86" t="s">
        <v>2</v>
      </c>
      <c r="F86">
        <v>269308</v>
      </c>
      <c r="G86" s="1" t="s">
        <v>960</v>
      </c>
      <c r="H86">
        <v>25045572</v>
      </c>
      <c r="I86">
        <v>716</v>
      </c>
      <c r="J86" t="s">
        <v>961</v>
      </c>
      <c r="K86" s="17">
        <v>65580965000146</v>
      </c>
      <c r="L86" s="17">
        <v>90739624001432</v>
      </c>
      <c r="M86" s="9">
        <v>230.36</v>
      </c>
      <c r="N86" t="s">
        <v>43</v>
      </c>
      <c r="Q86" s="2"/>
      <c r="R86" s="9"/>
      <c r="S86" t="s">
        <v>44</v>
      </c>
      <c r="T86" t="s">
        <v>45</v>
      </c>
      <c r="U86" s="2" t="s">
        <v>583</v>
      </c>
      <c r="V86" s="9" t="s">
        <v>962</v>
      </c>
      <c r="W86">
        <v>4.2260865580965E+43</v>
      </c>
      <c r="X86" t="s">
        <v>46</v>
      </c>
      <c r="Y86" s="2" t="s">
        <v>717</v>
      </c>
      <c r="Z86" s="2" t="s">
        <v>718</v>
      </c>
      <c r="AA86" s="9" t="s">
        <v>715</v>
      </c>
      <c r="AC86" s="2"/>
      <c r="AD86" t="s">
        <v>7</v>
      </c>
      <c r="AE86" t="s">
        <v>963</v>
      </c>
    </row>
    <row r="87" spans="1:31" x14ac:dyDescent="0.3">
      <c r="A87" s="17">
        <v>90739624000118</v>
      </c>
      <c r="B87" t="s">
        <v>13</v>
      </c>
      <c r="D87" t="s">
        <v>538</v>
      </c>
      <c r="E87" t="s">
        <v>2</v>
      </c>
      <c r="F87">
        <v>269308</v>
      </c>
      <c r="G87" s="1" t="s">
        <v>964</v>
      </c>
      <c r="H87">
        <v>25045567</v>
      </c>
      <c r="I87">
        <v>16233</v>
      </c>
      <c r="J87" t="s">
        <v>315</v>
      </c>
      <c r="K87" s="17">
        <v>2322969000104</v>
      </c>
      <c r="L87" s="17">
        <v>90739624001190</v>
      </c>
      <c r="M87" s="9">
        <v>252.02</v>
      </c>
      <c r="N87" t="s">
        <v>43</v>
      </c>
      <c r="Q87" s="2"/>
      <c r="R87" s="9"/>
      <c r="S87" t="s">
        <v>44</v>
      </c>
      <c r="T87" t="s">
        <v>45</v>
      </c>
      <c r="U87" s="2" t="s">
        <v>583</v>
      </c>
      <c r="V87" s="9" t="s">
        <v>726</v>
      </c>
      <c r="W87">
        <v>5.0260802322968997E+43</v>
      </c>
      <c r="X87" t="s">
        <v>46</v>
      </c>
      <c r="Y87" s="2" t="s">
        <v>717</v>
      </c>
      <c r="Z87" s="2" t="s">
        <v>718</v>
      </c>
      <c r="AA87" s="9" t="s">
        <v>715</v>
      </c>
      <c r="AC87" s="2"/>
      <c r="AD87" t="s">
        <v>7</v>
      </c>
      <c r="AE87" t="s">
        <v>965</v>
      </c>
    </row>
    <row r="88" spans="1:31" x14ac:dyDescent="0.3">
      <c r="A88" s="17">
        <v>90739624000118</v>
      </c>
      <c r="B88" t="s">
        <v>174</v>
      </c>
      <c r="D88" t="s">
        <v>543</v>
      </c>
      <c r="E88" t="s">
        <v>2</v>
      </c>
      <c r="F88">
        <v>269308</v>
      </c>
      <c r="G88" s="1" t="s">
        <v>966</v>
      </c>
      <c r="H88">
        <v>25045522</v>
      </c>
      <c r="I88">
        <v>99278</v>
      </c>
      <c r="J88" t="s">
        <v>176</v>
      </c>
      <c r="K88" s="17">
        <v>4219621000111</v>
      </c>
      <c r="L88" s="17">
        <v>90739624000118</v>
      </c>
      <c r="M88" s="9">
        <v>249.84</v>
      </c>
      <c r="N88" t="s">
        <v>43</v>
      </c>
      <c r="Q88" s="2"/>
      <c r="R88" s="9"/>
      <c r="S88" t="s">
        <v>44</v>
      </c>
      <c r="T88" t="s">
        <v>45</v>
      </c>
      <c r="U88" s="2" t="s">
        <v>602</v>
      </c>
      <c r="V88" s="9" t="s">
        <v>967</v>
      </c>
      <c r="W88">
        <v>1.7260804219621001E+43</v>
      </c>
      <c r="X88" t="s">
        <v>46</v>
      </c>
      <c r="Y88" s="2" t="s">
        <v>717</v>
      </c>
      <c r="Z88" s="2" t="s">
        <v>718</v>
      </c>
      <c r="AA88" s="9" t="s">
        <v>715</v>
      </c>
      <c r="AC88" s="2"/>
      <c r="AD88" t="s">
        <v>7</v>
      </c>
      <c r="AE88" t="s">
        <v>968</v>
      </c>
    </row>
    <row r="89" spans="1:31" x14ac:dyDescent="0.3">
      <c r="A89" s="17">
        <v>90739624000118</v>
      </c>
      <c r="B89" t="s">
        <v>63</v>
      </c>
      <c r="C89">
        <v>26140</v>
      </c>
      <c r="D89" t="s">
        <v>195</v>
      </c>
      <c r="E89" t="s">
        <v>2</v>
      </c>
      <c r="F89">
        <v>269308</v>
      </c>
      <c r="G89" s="1" t="s">
        <v>969</v>
      </c>
      <c r="H89">
        <v>25045489</v>
      </c>
      <c r="I89">
        <v>59198</v>
      </c>
      <c r="J89" t="s">
        <v>919</v>
      </c>
      <c r="K89" s="17">
        <v>20630766000167</v>
      </c>
      <c r="L89" s="17">
        <v>90739624001432</v>
      </c>
      <c r="M89" s="9">
        <v>209.75</v>
      </c>
      <c r="N89" t="s">
        <v>43</v>
      </c>
      <c r="Q89" s="2"/>
      <c r="R89" s="9"/>
      <c r="S89" t="s">
        <v>44</v>
      </c>
      <c r="T89" t="s">
        <v>45</v>
      </c>
      <c r="U89" s="2" t="s">
        <v>583</v>
      </c>
      <c r="V89" s="9" t="s">
        <v>970</v>
      </c>
      <c r="W89">
        <v>4.2260820630766001E+43</v>
      </c>
      <c r="X89" t="s">
        <v>46</v>
      </c>
      <c r="Y89" s="2" t="s">
        <v>717</v>
      </c>
      <c r="Z89" s="2" t="s">
        <v>718</v>
      </c>
      <c r="AA89" s="9" t="s">
        <v>715</v>
      </c>
      <c r="AC89" s="2"/>
      <c r="AD89" t="s">
        <v>7</v>
      </c>
      <c r="AE89" t="s">
        <v>971</v>
      </c>
    </row>
    <row r="90" spans="1:31" x14ac:dyDescent="0.3">
      <c r="A90" s="17">
        <v>90739624000118</v>
      </c>
      <c r="B90" t="s">
        <v>33</v>
      </c>
      <c r="C90">
        <v>23840</v>
      </c>
      <c r="D90" t="s">
        <v>562</v>
      </c>
      <c r="E90" t="s">
        <v>2</v>
      </c>
      <c r="F90">
        <v>269308</v>
      </c>
      <c r="G90" s="1" t="s">
        <v>972</v>
      </c>
      <c r="H90">
        <v>25045445</v>
      </c>
      <c r="I90">
        <v>1146</v>
      </c>
      <c r="J90" t="s">
        <v>35</v>
      </c>
      <c r="K90" s="17">
        <v>27933025000102</v>
      </c>
      <c r="L90" s="17">
        <v>9576274000106</v>
      </c>
      <c r="M90" s="9">
        <v>41.03</v>
      </c>
      <c r="N90" t="s">
        <v>43</v>
      </c>
      <c r="Q90" s="2"/>
      <c r="R90" s="9"/>
      <c r="S90" t="s">
        <v>44</v>
      </c>
      <c r="T90" t="s">
        <v>45</v>
      </c>
      <c r="U90" s="2" t="s">
        <v>792</v>
      </c>
      <c r="V90" s="9" t="s">
        <v>973</v>
      </c>
      <c r="W90">
        <v>4.1260827933025001E+43</v>
      </c>
      <c r="X90" t="s">
        <v>46</v>
      </c>
      <c r="Y90" s="2" t="s">
        <v>717</v>
      </c>
      <c r="Z90" s="2" t="s">
        <v>718</v>
      </c>
      <c r="AA90" s="9" t="s">
        <v>715</v>
      </c>
      <c r="AC90" s="2"/>
      <c r="AD90" t="s">
        <v>7</v>
      </c>
      <c r="AE90" t="s">
        <v>974</v>
      </c>
    </row>
    <row r="91" spans="1:31" x14ac:dyDescent="0.3">
      <c r="A91" s="17">
        <v>90739624000118</v>
      </c>
      <c r="B91" t="s">
        <v>73</v>
      </c>
      <c r="D91" t="s">
        <v>534</v>
      </c>
      <c r="E91" t="s">
        <v>2</v>
      </c>
      <c r="F91">
        <v>269308</v>
      </c>
      <c r="G91" s="1" t="s">
        <v>975</v>
      </c>
      <c r="H91">
        <v>25045427</v>
      </c>
      <c r="J91" t="s">
        <v>262</v>
      </c>
      <c r="K91" s="17">
        <v>7473735001587</v>
      </c>
      <c r="L91" s="17"/>
      <c r="M91" s="9">
        <v>126.76</v>
      </c>
      <c r="N91" t="s">
        <v>43</v>
      </c>
      <c r="Q91" s="2"/>
      <c r="R91" s="9"/>
      <c r="S91" t="s">
        <v>87</v>
      </c>
      <c r="U91" s="2"/>
      <c r="V91" s="9"/>
      <c r="X91" t="s">
        <v>88</v>
      </c>
      <c r="Y91" s="2" t="s">
        <v>717</v>
      </c>
      <c r="Z91" s="2" t="s">
        <v>718</v>
      </c>
      <c r="AA91" s="9" t="s">
        <v>715</v>
      </c>
      <c r="AC91" s="2"/>
      <c r="AD91" t="s">
        <v>7</v>
      </c>
    </row>
    <row r="92" spans="1:31" x14ac:dyDescent="0.3">
      <c r="A92" s="17">
        <v>90739624000118</v>
      </c>
      <c r="B92" t="s">
        <v>70</v>
      </c>
      <c r="D92" t="s">
        <v>96</v>
      </c>
      <c r="E92" t="s">
        <v>2</v>
      </c>
      <c r="F92">
        <v>269308</v>
      </c>
      <c r="G92" s="1" t="s">
        <v>977</v>
      </c>
      <c r="H92">
        <v>25045243</v>
      </c>
      <c r="I92">
        <v>257424</v>
      </c>
      <c r="J92" t="s">
        <v>72</v>
      </c>
      <c r="K92" s="17">
        <v>79964177000168</v>
      </c>
      <c r="L92" s="17">
        <v>9576274000106</v>
      </c>
      <c r="M92" s="9">
        <v>283.05</v>
      </c>
      <c r="N92" t="s">
        <v>43</v>
      </c>
      <c r="Q92" s="2"/>
      <c r="R92" s="9"/>
      <c r="S92" t="s">
        <v>44</v>
      </c>
      <c r="T92" t="s">
        <v>45</v>
      </c>
      <c r="U92" s="2" t="s">
        <v>583</v>
      </c>
      <c r="V92" s="9" t="s">
        <v>651</v>
      </c>
      <c r="W92">
        <v>4.1260879964176998E+43</v>
      </c>
      <c r="X92" t="s">
        <v>46</v>
      </c>
      <c r="Y92" s="2" t="s">
        <v>717</v>
      </c>
      <c r="Z92" s="2" t="s">
        <v>718</v>
      </c>
      <c r="AA92" s="9" t="s">
        <v>715</v>
      </c>
      <c r="AC92" s="2"/>
      <c r="AD92" t="s">
        <v>7</v>
      </c>
      <c r="AE92" t="s">
        <v>978</v>
      </c>
    </row>
    <row r="93" spans="1:31" x14ac:dyDescent="0.3">
      <c r="A93" s="17">
        <v>90739624000118</v>
      </c>
      <c r="B93" t="s">
        <v>170</v>
      </c>
      <c r="C93">
        <v>24444</v>
      </c>
      <c r="D93" t="s">
        <v>281</v>
      </c>
      <c r="E93" t="s">
        <v>2</v>
      </c>
      <c r="F93">
        <v>269308</v>
      </c>
      <c r="G93" s="1" t="s">
        <v>979</v>
      </c>
      <c r="H93">
        <v>25045086</v>
      </c>
      <c r="I93">
        <v>130093</v>
      </c>
      <c r="J93" t="s">
        <v>178</v>
      </c>
      <c r="K93" s="17">
        <v>83392050000199</v>
      </c>
      <c r="L93" s="17">
        <v>90739624001432</v>
      </c>
      <c r="M93" s="9">
        <v>137.08000000000001</v>
      </c>
      <c r="N93" t="s">
        <v>43</v>
      </c>
      <c r="Q93" s="2"/>
      <c r="R93" s="9"/>
      <c r="S93" t="s">
        <v>44</v>
      </c>
      <c r="T93" t="s">
        <v>45</v>
      </c>
      <c r="U93" s="2" t="s">
        <v>583</v>
      </c>
      <c r="V93" s="9" t="s">
        <v>980</v>
      </c>
      <c r="W93">
        <v>4.2260883392050001E+43</v>
      </c>
      <c r="X93" t="s">
        <v>46</v>
      </c>
      <c r="Y93" s="2" t="s">
        <v>717</v>
      </c>
      <c r="Z93" s="2" t="s">
        <v>718</v>
      </c>
      <c r="AA93" s="9" t="s">
        <v>715</v>
      </c>
      <c r="AC93" s="2"/>
      <c r="AD93" t="s">
        <v>7</v>
      </c>
      <c r="AE93" t="s">
        <v>981</v>
      </c>
    </row>
    <row r="94" spans="1:31" x14ac:dyDescent="0.3">
      <c r="A94" s="17">
        <v>90739624000118</v>
      </c>
      <c r="B94" t="s">
        <v>8</v>
      </c>
      <c r="C94">
        <v>21139</v>
      </c>
      <c r="D94" t="s">
        <v>251</v>
      </c>
      <c r="E94" t="s">
        <v>2</v>
      </c>
      <c r="F94">
        <v>269308</v>
      </c>
      <c r="G94" s="1" t="s">
        <v>982</v>
      </c>
      <c r="H94">
        <v>25045007</v>
      </c>
      <c r="I94">
        <v>9441</v>
      </c>
      <c r="J94" t="s">
        <v>252</v>
      </c>
      <c r="K94" s="17">
        <v>3680814000102</v>
      </c>
      <c r="L94" s="17">
        <v>9576274000106</v>
      </c>
      <c r="M94" s="9">
        <v>416.12</v>
      </c>
      <c r="N94" t="s">
        <v>43</v>
      </c>
      <c r="Q94" s="2"/>
      <c r="R94" s="9"/>
      <c r="S94" t="s">
        <v>44</v>
      </c>
      <c r="T94" t="s">
        <v>45</v>
      </c>
      <c r="U94" s="2" t="s">
        <v>583</v>
      </c>
      <c r="V94" s="9" t="s">
        <v>983</v>
      </c>
      <c r="W94">
        <v>4.1260803680813999E+43</v>
      </c>
      <c r="X94" t="s">
        <v>46</v>
      </c>
      <c r="Y94" s="2" t="s">
        <v>717</v>
      </c>
      <c r="Z94" s="2" t="s">
        <v>718</v>
      </c>
      <c r="AA94" s="9" t="s">
        <v>715</v>
      </c>
      <c r="AC94" s="2"/>
      <c r="AD94" t="s">
        <v>7</v>
      </c>
      <c r="AE94" t="s">
        <v>984</v>
      </c>
    </row>
    <row r="95" spans="1:31" x14ac:dyDescent="0.3">
      <c r="A95" s="17">
        <v>90739624000118</v>
      </c>
      <c r="B95" t="s">
        <v>33</v>
      </c>
      <c r="C95">
        <v>22486</v>
      </c>
      <c r="D95" t="s">
        <v>38</v>
      </c>
      <c r="E95" t="s">
        <v>2</v>
      </c>
      <c r="F95">
        <v>269308</v>
      </c>
      <c r="G95" s="1" t="s">
        <v>985</v>
      </c>
      <c r="H95">
        <v>25044827</v>
      </c>
      <c r="J95" t="s">
        <v>35</v>
      </c>
      <c r="K95" s="17">
        <v>27933025000102</v>
      </c>
      <c r="L95" s="17"/>
      <c r="M95" s="9">
        <v>99.07</v>
      </c>
      <c r="N95" t="s">
        <v>43</v>
      </c>
      <c r="Q95" s="2"/>
      <c r="R95" s="9"/>
      <c r="S95" t="s">
        <v>87</v>
      </c>
      <c r="U95" s="2"/>
      <c r="V95" s="9"/>
      <c r="X95" t="s">
        <v>88</v>
      </c>
      <c r="Y95" s="2" t="s">
        <v>717</v>
      </c>
      <c r="Z95" s="2" t="s">
        <v>718</v>
      </c>
      <c r="AA95" s="9" t="s">
        <v>715</v>
      </c>
      <c r="AC95" s="2"/>
      <c r="AD95" t="s">
        <v>7</v>
      </c>
    </row>
    <row r="96" spans="1:31" x14ac:dyDescent="0.3">
      <c r="A96" s="17">
        <v>90739624000118</v>
      </c>
      <c r="B96" t="s">
        <v>58</v>
      </c>
      <c r="D96" t="s">
        <v>396</v>
      </c>
      <c r="E96" t="s">
        <v>2</v>
      </c>
      <c r="F96">
        <v>269308</v>
      </c>
      <c r="G96" s="1" t="s">
        <v>987</v>
      </c>
      <c r="H96">
        <v>25044744</v>
      </c>
      <c r="I96">
        <v>1667</v>
      </c>
      <c r="J96" t="s">
        <v>988</v>
      </c>
      <c r="K96" s="17">
        <v>93489243003050</v>
      </c>
      <c r="L96" s="17">
        <v>90739624002323</v>
      </c>
      <c r="M96" s="9">
        <v>272.66000000000003</v>
      </c>
      <c r="N96" t="s">
        <v>43</v>
      </c>
      <c r="Q96" s="2"/>
      <c r="R96" s="9"/>
      <c r="S96" t="s">
        <v>44</v>
      </c>
      <c r="T96" t="s">
        <v>45</v>
      </c>
      <c r="U96" s="2" t="s">
        <v>583</v>
      </c>
      <c r="V96" s="9" t="s">
        <v>989</v>
      </c>
      <c r="W96">
        <v>4.3260893489242999E+43</v>
      </c>
      <c r="X96" t="s">
        <v>46</v>
      </c>
      <c r="Y96" s="2" t="s">
        <v>717</v>
      </c>
      <c r="Z96" s="2" t="s">
        <v>718</v>
      </c>
      <c r="AA96" s="9" t="s">
        <v>715</v>
      </c>
      <c r="AC96" s="2"/>
      <c r="AD96" t="s">
        <v>7</v>
      </c>
      <c r="AE96" t="s">
        <v>990</v>
      </c>
    </row>
    <row r="97" spans="1:31" x14ac:dyDescent="0.3">
      <c r="A97" s="17">
        <v>90739624000118</v>
      </c>
      <c r="B97" t="s">
        <v>52</v>
      </c>
      <c r="C97">
        <v>22492</v>
      </c>
      <c r="D97" t="s">
        <v>249</v>
      </c>
      <c r="E97" t="s">
        <v>2</v>
      </c>
      <c r="F97">
        <v>269308</v>
      </c>
      <c r="G97" s="1" t="s">
        <v>991</v>
      </c>
      <c r="H97">
        <v>25044738</v>
      </c>
      <c r="I97">
        <v>41235</v>
      </c>
      <c r="J97" t="s">
        <v>545</v>
      </c>
      <c r="K97" s="17">
        <v>30429333000282</v>
      </c>
      <c r="L97" s="17">
        <v>9576274000106</v>
      </c>
      <c r="M97" s="9">
        <v>176.21</v>
      </c>
      <c r="N97" t="s">
        <v>43</v>
      </c>
      <c r="Q97" s="2"/>
      <c r="R97" s="9"/>
      <c r="S97" t="s">
        <v>44</v>
      </c>
      <c r="T97" t="s">
        <v>45</v>
      </c>
      <c r="U97" s="2" t="s">
        <v>583</v>
      </c>
      <c r="V97" s="9" t="s">
        <v>992</v>
      </c>
      <c r="W97">
        <v>4.1260830429333002E+43</v>
      </c>
      <c r="X97" t="s">
        <v>46</v>
      </c>
      <c r="Y97" s="2" t="s">
        <v>717</v>
      </c>
      <c r="Z97" s="2" t="s">
        <v>718</v>
      </c>
      <c r="AA97" s="9" t="s">
        <v>715</v>
      </c>
      <c r="AC97" s="2"/>
      <c r="AD97" t="s">
        <v>7</v>
      </c>
      <c r="AE97" t="s">
        <v>993</v>
      </c>
    </row>
    <row r="98" spans="1:31" x14ac:dyDescent="0.3">
      <c r="A98" s="17">
        <v>90739624000118</v>
      </c>
      <c r="B98" t="s">
        <v>31</v>
      </c>
      <c r="C98">
        <v>22137</v>
      </c>
      <c r="D98" t="s">
        <v>544</v>
      </c>
      <c r="E98" t="s">
        <v>2</v>
      </c>
      <c r="F98">
        <v>269308</v>
      </c>
      <c r="G98" s="1" t="s">
        <v>994</v>
      </c>
      <c r="H98">
        <v>25044722</v>
      </c>
      <c r="I98">
        <v>54921</v>
      </c>
      <c r="J98" t="s">
        <v>56</v>
      </c>
      <c r="K98" s="17">
        <v>8603562000212</v>
      </c>
      <c r="L98" s="17">
        <v>90739624001866</v>
      </c>
      <c r="M98" s="9">
        <v>83.8</v>
      </c>
      <c r="N98" t="s">
        <v>43</v>
      </c>
      <c r="Q98" s="2"/>
      <c r="R98" s="9"/>
      <c r="S98" t="s">
        <v>44</v>
      </c>
      <c r="T98" t="s">
        <v>45</v>
      </c>
      <c r="U98" s="2" t="s">
        <v>583</v>
      </c>
      <c r="V98" s="9" t="s">
        <v>995</v>
      </c>
      <c r="W98">
        <v>5.1260808603562005E+43</v>
      </c>
      <c r="X98" t="s">
        <v>46</v>
      </c>
      <c r="Y98" s="2" t="s">
        <v>717</v>
      </c>
      <c r="Z98" s="2" t="s">
        <v>718</v>
      </c>
      <c r="AA98" s="9" t="s">
        <v>715</v>
      </c>
      <c r="AC98" s="2"/>
      <c r="AD98" t="s">
        <v>7</v>
      </c>
      <c r="AE98" t="s">
        <v>996</v>
      </c>
    </row>
    <row r="99" spans="1:31" x14ac:dyDescent="0.3">
      <c r="A99" s="17">
        <v>90739624000118</v>
      </c>
      <c r="B99" t="s">
        <v>73</v>
      </c>
      <c r="D99" t="s">
        <v>261</v>
      </c>
      <c r="E99" t="s">
        <v>2</v>
      </c>
      <c r="F99">
        <v>269308</v>
      </c>
      <c r="G99" s="1" t="s">
        <v>997</v>
      </c>
      <c r="H99">
        <v>25044652</v>
      </c>
      <c r="J99" t="s">
        <v>262</v>
      </c>
      <c r="K99" s="17">
        <v>7473735001587</v>
      </c>
      <c r="L99" s="17"/>
      <c r="M99" s="9">
        <v>271.04000000000002</v>
      </c>
      <c r="N99" t="s">
        <v>43</v>
      </c>
      <c r="Q99" s="2"/>
      <c r="R99" s="9"/>
      <c r="S99" t="s">
        <v>87</v>
      </c>
      <c r="U99" s="2"/>
      <c r="V99" s="9"/>
      <c r="X99" t="s">
        <v>88</v>
      </c>
      <c r="Y99" s="2" t="s">
        <v>717</v>
      </c>
      <c r="Z99" s="2" t="s">
        <v>718</v>
      </c>
      <c r="AA99" s="9" t="s">
        <v>715</v>
      </c>
      <c r="AC99" s="2"/>
      <c r="AD99" t="s">
        <v>7</v>
      </c>
    </row>
    <row r="100" spans="1:31" x14ac:dyDescent="0.3">
      <c r="A100" s="17">
        <v>90739624000118</v>
      </c>
      <c r="B100" t="s">
        <v>58</v>
      </c>
      <c r="C100">
        <v>26122</v>
      </c>
      <c r="D100" t="s">
        <v>102</v>
      </c>
      <c r="E100" t="s">
        <v>2</v>
      </c>
      <c r="F100">
        <v>269308</v>
      </c>
      <c r="G100" s="1" t="s">
        <v>999</v>
      </c>
      <c r="H100">
        <v>25044538</v>
      </c>
      <c r="J100" t="s">
        <v>360</v>
      </c>
      <c r="K100" s="17">
        <v>7473735006201</v>
      </c>
      <c r="L100" s="17"/>
      <c r="M100" s="9">
        <v>227.45</v>
      </c>
      <c r="N100" t="s">
        <v>43</v>
      </c>
      <c r="Q100" s="2"/>
      <c r="R100" s="9"/>
      <c r="S100" t="s">
        <v>87</v>
      </c>
      <c r="U100" s="2"/>
      <c r="V100" s="9"/>
      <c r="X100" t="s">
        <v>88</v>
      </c>
      <c r="Y100" s="2" t="s">
        <v>717</v>
      </c>
      <c r="Z100" s="2" t="s">
        <v>718</v>
      </c>
      <c r="AA100" s="9" t="s">
        <v>715</v>
      </c>
      <c r="AC100" s="2"/>
      <c r="AD100" t="s">
        <v>7</v>
      </c>
    </row>
    <row r="101" spans="1:31" x14ac:dyDescent="0.3">
      <c r="A101" s="17">
        <v>90739624000118</v>
      </c>
      <c r="B101" t="s">
        <v>65</v>
      </c>
      <c r="D101" t="s">
        <v>107</v>
      </c>
      <c r="E101" t="s">
        <v>2</v>
      </c>
      <c r="F101">
        <v>269308</v>
      </c>
      <c r="G101" s="1" t="s">
        <v>1001</v>
      </c>
      <c r="H101">
        <v>25044500</v>
      </c>
      <c r="J101" t="s">
        <v>67</v>
      </c>
      <c r="K101" s="17">
        <v>7473735006031</v>
      </c>
      <c r="L101" s="17"/>
      <c r="M101" s="9">
        <v>161.19</v>
      </c>
      <c r="N101" t="s">
        <v>43</v>
      </c>
      <c r="Q101" s="2"/>
      <c r="R101" s="9"/>
      <c r="S101" t="s">
        <v>87</v>
      </c>
      <c r="U101" s="2"/>
      <c r="V101" s="9"/>
      <c r="X101" t="s">
        <v>88</v>
      </c>
      <c r="Y101" s="2" t="s">
        <v>717</v>
      </c>
      <c r="Z101" s="2" t="s">
        <v>718</v>
      </c>
      <c r="AA101" s="9" t="s">
        <v>715</v>
      </c>
      <c r="AC101" s="2"/>
      <c r="AD101" t="s">
        <v>7</v>
      </c>
    </row>
    <row r="102" spans="1:31" x14ac:dyDescent="0.3">
      <c r="A102" s="17">
        <v>90739624000118</v>
      </c>
      <c r="B102" t="s">
        <v>61</v>
      </c>
      <c r="D102" t="s">
        <v>84</v>
      </c>
      <c r="E102" t="s">
        <v>2</v>
      </c>
      <c r="F102">
        <v>269308</v>
      </c>
      <c r="G102" s="1" t="s">
        <v>1003</v>
      </c>
      <c r="H102">
        <v>25044312</v>
      </c>
      <c r="I102">
        <v>2540</v>
      </c>
      <c r="J102" t="s">
        <v>85</v>
      </c>
      <c r="K102" s="17">
        <v>1975878000105</v>
      </c>
      <c r="L102" s="17">
        <v>9576274000106</v>
      </c>
      <c r="M102" s="9">
        <v>253.29</v>
      </c>
      <c r="N102" t="s">
        <v>43</v>
      </c>
      <c r="Q102" s="2"/>
      <c r="R102" s="9"/>
      <c r="S102" t="s">
        <v>44</v>
      </c>
      <c r="T102" t="s">
        <v>45</v>
      </c>
      <c r="U102" s="2" t="s">
        <v>583</v>
      </c>
      <c r="V102" s="9" t="s">
        <v>1004</v>
      </c>
      <c r="W102">
        <v>4.1260801975878E+43</v>
      </c>
      <c r="X102" t="s">
        <v>46</v>
      </c>
      <c r="Y102" s="2" t="s">
        <v>717</v>
      </c>
      <c r="Z102" s="2" t="s">
        <v>718</v>
      </c>
      <c r="AA102" s="9" t="s">
        <v>715</v>
      </c>
      <c r="AC102" s="2"/>
      <c r="AD102" t="s">
        <v>7</v>
      </c>
      <c r="AE102" t="s">
        <v>1005</v>
      </c>
    </row>
    <row r="103" spans="1:31" x14ac:dyDescent="0.3">
      <c r="A103" s="17">
        <v>90739624000118</v>
      </c>
      <c r="B103" t="s">
        <v>58</v>
      </c>
      <c r="D103" t="s">
        <v>555</v>
      </c>
      <c r="E103" t="s">
        <v>2</v>
      </c>
      <c r="F103">
        <v>269308</v>
      </c>
      <c r="G103" s="1" t="s">
        <v>1006</v>
      </c>
      <c r="H103">
        <v>25044223</v>
      </c>
      <c r="J103" t="s">
        <v>106</v>
      </c>
      <c r="K103" s="17">
        <v>7473735015103</v>
      </c>
      <c r="L103" s="17"/>
      <c r="M103" s="9">
        <v>580.46</v>
      </c>
      <c r="N103" t="s">
        <v>43</v>
      </c>
      <c r="Q103" s="2"/>
      <c r="R103" s="9"/>
      <c r="S103" t="s">
        <v>87</v>
      </c>
      <c r="U103" s="2"/>
      <c r="V103" s="9"/>
      <c r="X103" t="s">
        <v>88</v>
      </c>
      <c r="Y103" s="2" t="s">
        <v>717</v>
      </c>
      <c r="Z103" s="2" t="s">
        <v>718</v>
      </c>
      <c r="AA103" s="9" t="s">
        <v>715</v>
      </c>
      <c r="AC103" s="2"/>
      <c r="AD103" t="s">
        <v>7</v>
      </c>
    </row>
    <row r="104" spans="1:31" x14ac:dyDescent="0.3">
      <c r="A104" s="17">
        <v>90739624000118</v>
      </c>
      <c r="B104" t="s">
        <v>61</v>
      </c>
      <c r="C104">
        <v>18633</v>
      </c>
      <c r="D104" t="s">
        <v>304</v>
      </c>
      <c r="E104" t="s">
        <v>2</v>
      </c>
      <c r="F104">
        <v>269308</v>
      </c>
      <c r="G104" s="1" t="s">
        <v>1008</v>
      </c>
      <c r="H104">
        <v>25044164</v>
      </c>
      <c r="J104" t="s">
        <v>79</v>
      </c>
      <c r="K104" s="17">
        <v>7473735000777</v>
      </c>
      <c r="L104" s="17"/>
      <c r="M104" s="9">
        <v>680.57</v>
      </c>
      <c r="N104" t="s">
        <v>43</v>
      </c>
      <c r="Q104" s="2"/>
      <c r="R104" s="9"/>
      <c r="S104" t="s">
        <v>87</v>
      </c>
      <c r="U104" s="2"/>
      <c r="V104" s="9"/>
      <c r="X104" t="s">
        <v>88</v>
      </c>
      <c r="Y104" s="2" t="s">
        <v>717</v>
      </c>
      <c r="Z104" s="2" t="s">
        <v>718</v>
      </c>
      <c r="AA104" s="9" t="s">
        <v>715</v>
      </c>
      <c r="AC104" s="2"/>
      <c r="AD104" t="s">
        <v>7</v>
      </c>
    </row>
    <row r="105" spans="1:31" x14ac:dyDescent="0.3">
      <c r="A105" s="17">
        <v>90739624000118</v>
      </c>
      <c r="B105" t="s">
        <v>13</v>
      </c>
      <c r="C105">
        <v>24566</v>
      </c>
      <c r="D105" t="s">
        <v>574</v>
      </c>
      <c r="E105" t="s">
        <v>2</v>
      </c>
      <c r="F105">
        <v>269308</v>
      </c>
      <c r="G105" s="1" t="s">
        <v>1010</v>
      </c>
      <c r="H105">
        <v>25044126</v>
      </c>
      <c r="I105">
        <v>178302</v>
      </c>
      <c r="J105" t="s">
        <v>601</v>
      </c>
      <c r="K105" s="17">
        <v>6294288000130</v>
      </c>
      <c r="L105" s="17">
        <v>90739624001190</v>
      </c>
      <c r="M105" s="9">
        <v>403.31</v>
      </c>
      <c r="N105" t="s">
        <v>43</v>
      </c>
      <c r="Q105" s="2"/>
      <c r="R105" s="9"/>
      <c r="S105" t="s">
        <v>44</v>
      </c>
      <c r="T105" t="s">
        <v>45</v>
      </c>
      <c r="U105" s="2" t="s">
        <v>602</v>
      </c>
      <c r="V105" s="9" t="s">
        <v>1011</v>
      </c>
      <c r="W105">
        <v>5.0260806294288002E+43</v>
      </c>
      <c r="X105" t="s">
        <v>46</v>
      </c>
      <c r="Y105" s="2" t="s">
        <v>717</v>
      </c>
      <c r="Z105" s="2" t="s">
        <v>718</v>
      </c>
      <c r="AA105" s="9" t="s">
        <v>715</v>
      </c>
      <c r="AC105" s="2"/>
      <c r="AD105" t="s">
        <v>7</v>
      </c>
      <c r="AE105" t="s">
        <v>1012</v>
      </c>
    </row>
    <row r="106" spans="1:31" x14ac:dyDescent="0.3">
      <c r="A106" s="17">
        <v>90739624000118</v>
      </c>
      <c r="B106" t="s">
        <v>52</v>
      </c>
      <c r="C106">
        <v>21636</v>
      </c>
      <c r="D106" t="s">
        <v>326</v>
      </c>
      <c r="E106" t="s">
        <v>2</v>
      </c>
      <c r="F106">
        <v>269308</v>
      </c>
      <c r="G106" s="1" t="s">
        <v>1013</v>
      </c>
      <c r="H106">
        <v>25044124</v>
      </c>
      <c r="I106">
        <v>16851</v>
      </c>
      <c r="J106" t="s">
        <v>54</v>
      </c>
      <c r="K106" s="17">
        <v>79130647000198</v>
      </c>
      <c r="L106" s="17">
        <v>9576274000106</v>
      </c>
      <c r="M106" s="9">
        <v>203.2</v>
      </c>
      <c r="N106" t="s">
        <v>43</v>
      </c>
      <c r="Q106" s="2"/>
      <c r="R106" s="9"/>
      <c r="S106" t="s">
        <v>44</v>
      </c>
      <c r="T106" t="s">
        <v>45</v>
      </c>
      <c r="U106" s="2" t="s">
        <v>583</v>
      </c>
      <c r="V106" s="9" t="s">
        <v>1014</v>
      </c>
      <c r="W106">
        <v>4.1260879130646998E+43</v>
      </c>
      <c r="X106" t="s">
        <v>46</v>
      </c>
      <c r="Y106" s="2" t="s">
        <v>717</v>
      </c>
      <c r="Z106" s="2" t="s">
        <v>718</v>
      </c>
      <c r="AA106" s="9" t="s">
        <v>715</v>
      </c>
      <c r="AC106" s="2"/>
      <c r="AD106" t="s">
        <v>7</v>
      </c>
      <c r="AE106" t="s">
        <v>1015</v>
      </c>
    </row>
    <row r="107" spans="1:31" x14ac:dyDescent="0.3">
      <c r="A107" s="17">
        <v>90739624000118</v>
      </c>
      <c r="B107" t="s">
        <v>99</v>
      </c>
      <c r="D107" t="s">
        <v>474</v>
      </c>
      <c r="E107" t="s">
        <v>2</v>
      </c>
      <c r="F107">
        <v>269308</v>
      </c>
      <c r="G107" s="1" t="s">
        <v>1016</v>
      </c>
      <c r="H107">
        <v>25044100</v>
      </c>
      <c r="I107">
        <v>50605</v>
      </c>
      <c r="J107" t="s">
        <v>507</v>
      </c>
      <c r="K107" s="17">
        <v>3626094001330</v>
      </c>
      <c r="L107" s="17">
        <v>9576274000106</v>
      </c>
      <c r="M107" s="9">
        <v>248.02</v>
      </c>
      <c r="N107" t="s">
        <v>43</v>
      </c>
      <c r="Q107" s="2"/>
      <c r="R107" s="9"/>
      <c r="S107" t="s">
        <v>44</v>
      </c>
      <c r="T107" t="s">
        <v>45</v>
      </c>
      <c r="U107" s="2" t="s">
        <v>583</v>
      </c>
      <c r="V107" s="9" t="s">
        <v>1017</v>
      </c>
      <c r="W107">
        <v>4.1260803626093998E+43</v>
      </c>
      <c r="X107" t="s">
        <v>46</v>
      </c>
      <c r="Y107" s="2" t="s">
        <v>717</v>
      </c>
      <c r="Z107" s="2" t="s">
        <v>718</v>
      </c>
      <c r="AA107" s="9" t="s">
        <v>715</v>
      </c>
      <c r="AC107" s="2"/>
      <c r="AD107" t="s">
        <v>7</v>
      </c>
      <c r="AE107" t="s">
        <v>1018</v>
      </c>
    </row>
    <row r="108" spans="1:31" x14ac:dyDescent="0.3">
      <c r="A108" s="17">
        <v>90739624000118</v>
      </c>
      <c r="B108" t="s">
        <v>174</v>
      </c>
      <c r="D108" t="s">
        <v>175</v>
      </c>
      <c r="E108" t="s">
        <v>2</v>
      </c>
      <c r="F108">
        <v>269308</v>
      </c>
      <c r="G108" s="1" t="s">
        <v>1019</v>
      </c>
      <c r="H108">
        <v>25044038</v>
      </c>
      <c r="I108">
        <v>99277</v>
      </c>
      <c r="J108" t="s">
        <v>176</v>
      </c>
      <c r="K108" s="17">
        <v>4219621000111</v>
      </c>
      <c r="L108" s="17">
        <v>90739624000118</v>
      </c>
      <c r="M108" s="9">
        <v>280</v>
      </c>
      <c r="N108" t="s">
        <v>43</v>
      </c>
      <c r="Q108" s="2"/>
      <c r="R108" s="9"/>
      <c r="S108" t="s">
        <v>44</v>
      </c>
      <c r="T108" t="s">
        <v>45</v>
      </c>
      <c r="U108" s="2" t="s">
        <v>602</v>
      </c>
      <c r="V108" s="9" t="s">
        <v>1020</v>
      </c>
      <c r="W108">
        <v>1.7260804219621001E+43</v>
      </c>
      <c r="X108" t="s">
        <v>46</v>
      </c>
      <c r="Y108" s="2" t="s">
        <v>717</v>
      </c>
      <c r="Z108" s="2" t="s">
        <v>718</v>
      </c>
      <c r="AA108" s="9" t="s">
        <v>715</v>
      </c>
      <c r="AC108" s="2"/>
      <c r="AD108" t="s">
        <v>7</v>
      </c>
      <c r="AE108" t="s">
        <v>1021</v>
      </c>
    </row>
    <row r="109" spans="1:31" x14ac:dyDescent="0.3">
      <c r="A109" s="17">
        <v>90739624000118</v>
      </c>
      <c r="B109" t="s">
        <v>11</v>
      </c>
      <c r="D109" t="s">
        <v>26</v>
      </c>
      <c r="E109" t="s">
        <v>2</v>
      </c>
      <c r="F109">
        <v>269308</v>
      </c>
      <c r="G109" s="1" t="s">
        <v>1022</v>
      </c>
      <c r="H109">
        <v>25043854</v>
      </c>
      <c r="I109">
        <v>53321</v>
      </c>
      <c r="J109" t="s">
        <v>486</v>
      </c>
      <c r="K109" s="17">
        <v>58446194000133</v>
      </c>
      <c r="L109" s="17">
        <v>90739624001947</v>
      </c>
      <c r="M109" s="9">
        <v>270.29000000000002</v>
      </c>
      <c r="N109" t="s">
        <v>43</v>
      </c>
      <c r="Q109" s="2"/>
      <c r="R109" s="9"/>
      <c r="S109" t="s">
        <v>44</v>
      </c>
      <c r="T109" t="s">
        <v>45</v>
      </c>
      <c r="U109" s="2" t="s">
        <v>583</v>
      </c>
      <c r="V109" s="9" t="s">
        <v>1023</v>
      </c>
      <c r="W109">
        <v>5.2260858446193998E+43</v>
      </c>
      <c r="X109" t="s">
        <v>46</v>
      </c>
      <c r="Y109" s="2" t="s">
        <v>717</v>
      </c>
      <c r="Z109" s="2" t="s">
        <v>718</v>
      </c>
      <c r="AA109" s="9" t="s">
        <v>715</v>
      </c>
      <c r="AC109" s="2"/>
      <c r="AD109" t="s">
        <v>7</v>
      </c>
      <c r="AE109" t="s">
        <v>1024</v>
      </c>
    </row>
    <row r="110" spans="1:31" x14ac:dyDescent="0.3">
      <c r="A110" s="17">
        <v>90739624000118</v>
      </c>
      <c r="B110" t="s">
        <v>0</v>
      </c>
      <c r="D110" t="s">
        <v>330</v>
      </c>
      <c r="E110" t="s">
        <v>2</v>
      </c>
      <c r="F110">
        <v>269308</v>
      </c>
      <c r="G110" s="1" t="s">
        <v>1025</v>
      </c>
      <c r="H110">
        <v>25043551</v>
      </c>
      <c r="I110">
        <v>28231</v>
      </c>
      <c r="J110" t="s">
        <v>1026</v>
      </c>
      <c r="K110" s="17">
        <v>81326258001407</v>
      </c>
      <c r="L110" s="17">
        <v>90739624001432</v>
      </c>
      <c r="M110" s="9">
        <v>426.05</v>
      </c>
      <c r="N110" t="s">
        <v>43</v>
      </c>
      <c r="Q110" s="2"/>
      <c r="R110" s="9"/>
      <c r="S110" t="s">
        <v>44</v>
      </c>
      <c r="T110" t="s">
        <v>45</v>
      </c>
      <c r="U110" s="2" t="s">
        <v>583</v>
      </c>
      <c r="V110" s="9" t="s">
        <v>1027</v>
      </c>
      <c r="W110">
        <v>4.2260881326258001E+43</v>
      </c>
      <c r="X110" t="s">
        <v>46</v>
      </c>
      <c r="Y110" s="2" t="s">
        <v>717</v>
      </c>
      <c r="Z110" s="2" t="s">
        <v>718</v>
      </c>
      <c r="AA110" s="9" t="s">
        <v>715</v>
      </c>
      <c r="AC110" s="2"/>
      <c r="AD110" t="s">
        <v>7</v>
      </c>
      <c r="AE110" t="s">
        <v>1028</v>
      </c>
    </row>
    <row r="111" spans="1:31" x14ac:dyDescent="0.3">
      <c r="A111" s="17">
        <v>90739624000118</v>
      </c>
      <c r="B111" t="s">
        <v>99</v>
      </c>
      <c r="C111">
        <v>25069</v>
      </c>
      <c r="D111" t="s">
        <v>253</v>
      </c>
      <c r="E111" t="s">
        <v>2</v>
      </c>
      <c r="F111">
        <v>269308</v>
      </c>
      <c r="G111" s="1" t="s">
        <v>1029</v>
      </c>
      <c r="H111">
        <v>25043488</v>
      </c>
      <c r="I111">
        <v>50604</v>
      </c>
      <c r="J111" t="s">
        <v>507</v>
      </c>
      <c r="K111" s="17">
        <v>3626094001330</v>
      </c>
      <c r="L111" s="17">
        <v>9576274000106</v>
      </c>
      <c r="M111" s="9">
        <v>292.64999999999998</v>
      </c>
      <c r="N111" t="s">
        <v>43</v>
      </c>
      <c r="Q111" s="2"/>
      <c r="R111" s="9"/>
      <c r="S111" t="s">
        <v>44</v>
      </c>
      <c r="T111" t="s">
        <v>45</v>
      </c>
      <c r="U111" s="2" t="s">
        <v>583</v>
      </c>
      <c r="V111" s="9" t="s">
        <v>625</v>
      </c>
      <c r="W111">
        <v>4.1260803626093998E+43</v>
      </c>
      <c r="X111" t="s">
        <v>46</v>
      </c>
      <c r="Y111" s="2" t="s">
        <v>717</v>
      </c>
      <c r="Z111" s="2" t="s">
        <v>718</v>
      </c>
      <c r="AA111" s="9" t="s">
        <v>715</v>
      </c>
      <c r="AC111" s="2"/>
      <c r="AD111" t="s">
        <v>7</v>
      </c>
      <c r="AE111" t="s">
        <v>1030</v>
      </c>
    </row>
    <row r="112" spans="1:31" x14ac:dyDescent="0.3">
      <c r="A112" s="17">
        <v>90739624000118</v>
      </c>
      <c r="B112" t="s">
        <v>11</v>
      </c>
      <c r="D112" t="s">
        <v>247</v>
      </c>
      <c r="E112" t="s">
        <v>2</v>
      </c>
      <c r="F112">
        <v>269308</v>
      </c>
      <c r="G112" s="1" t="s">
        <v>1031</v>
      </c>
      <c r="H112">
        <v>25043331</v>
      </c>
      <c r="I112">
        <v>97937</v>
      </c>
      <c r="J112" t="s">
        <v>1032</v>
      </c>
      <c r="K112" s="17">
        <v>9427958000138</v>
      </c>
      <c r="L112" s="17">
        <v>90739624001947</v>
      </c>
      <c r="M112" s="9">
        <v>195.15</v>
      </c>
      <c r="N112" t="s">
        <v>43</v>
      </c>
      <c r="Q112" s="2"/>
      <c r="R112" s="9"/>
      <c r="S112" t="s">
        <v>44</v>
      </c>
      <c r="T112" t="s">
        <v>45</v>
      </c>
      <c r="U112" s="2" t="s">
        <v>583</v>
      </c>
      <c r="V112" s="9" t="s">
        <v>1033</v>
      </c>
      <c r="W112">
        <v>5.2260809427957998E+43</v>
      </c>
      <c r="X112" t="s">
        <v>46</v>
      </c>
      <c r="Y112" s="2" t="s">
        <v>717</v>
      </c>
      <c r="Z112" s="2" t="s">
        <v>718</v>
      </c>
      <c r="AA112" s="9" t="s">
        <v>715</v>
      </c>
      <c r="AC112" s="2"/>
      <c r="AD112" t="s">
        <v>7</v>
      </c>
      <c r="AE112" t="s">
        <v>1034</v>
      </c>
    </row>
    <row r="113" spans="1:31" x14ac:dyDescent="0.3">
      <c r="A113" s="17">
        <v>90739624000118</v>
      </c>
      <c r="B113" t="s">
        <v>58</v>
      </c>
      <c r="D113" t="s">
        <v>153</v>
      </c>
      <c r="E113" t="s">
        <v>2</v>
      </c>
      <c r="F113">
        <v>269308</v>
      </c>
      <c r="G113" s="1" t="s">
        <v>1035</v>
      </c>
      <c r="H113">
        <v>25043286</v>
      </c>
      <c r="J113" t="s">
        <v>106</v>
      </c>
      <c r="K113" s="17">
        <v>7473735015103</v>
      </c>
      <c r="L113" s="17"/>
      <c r="M113" s="9">
        <v>241.03</v>
      </c>
      <c r="N113" t="s">
        <v>43</v>
      </c>
      <c r="Q113" s="2"/>
      <c r="R113" s="9"/>
      <c r="S113" t="s">
        <v>87</v>
      </c>
      <c r="U113" s="2"/>
      <c r="V113" s="9"/>
      <c r="X113" t="s">
        <v>88</v>
      </c>
      <c r="Y113" s="2" t="s">
        <v>717</v>
      </c>
      <c r="Z113" s="2" t="s">
        <v>718</v>
      </c>
      <c r="AA113" s="9" t="s">
        <v>715</v>
      </c>
      <c r="AC113" s="2"/>
      <c r="AD113" t="s">
        <v>7</v>
      </c>
    </row>
    <row r="114" spans="1:31" x14ac:dyDescent="0.3">
      <c r="A114" s="17">
        <v>90739624000118</v>
      </c>
      <c r="B114" t="s">
        <v>31</v>
      </c>
      <c r="D114" t="s">
        <v>110</v>
      </c>
      <c r="E114" t="s">
        <v>2</v>
      </c>
      <c r="F114">
        <v>269308</v>
      </c>
      <c r="G114" s="1" t="s">
        <v>1037</v>
      </c>
      <c r="H114">
        <v>25042872</v>
      </c>
      <c r="I114">
        <v>16046</v>
      </c>
      <c r="J114" t="s">
        <v>142</v>
      </c>
      <c r="K114" s="17">
        <v>54494203000100</v>
      </c>
      <c r="L114" s="17">
        <v>90739624001866</v>
      </c>
      <c r="M114" s="9">
        <v>167.82</v>
      </c>
      <c r="N114" t="s">
        <v>43</v>
      </c>
      <c r="Q114" s="2"/>
      <c r="R114" s="9"/>
      <c r="S114" t="s">
        <v>44</v>
      </c>
      <c r="T114" t="s">
        <v>45</v>
      </c>
      <c r="U114" s="2" t="s">
        <v>1039</v>
      </c>
      <c r="V114" s="9" t="s">
        <v>1038</v>
      </c>
      <c r="W114">
        <v>5.1260854494202996E+43</v>
      </c>
      <c r="X114" t="s">
        <v>46</v>
      </c>
      <c r="Y114" s="2" t="s">
        <v>717</v>
      </c>
      <c r="Z114" s="2" t="s">
        <v>718</v>
      </c>
      <c r="AA114" s="9" t="s">
        <v>715</v>
      </c>
      <c r="AC114" s="2"/>
      <c r="AD114" t="s">
        <v>7</v>
      </c>
      <c r="AE114" t="s">
        <v>1040</v>
      </c>
    </row>
    <row r="115" spans="1:31" x14ac:dyDescent="0.3">
      <c r="A115" s="17">
        <v>90739624000118</v>
      </c>
      <c r="B115" t="s">
        <v>31</v>
      </c>
      <c r="D115" t="s">
        <v>55</v>
      </c>
      <c r="E115" t="s">
        <v>2</v>
      </c>
      <c r="F115">
        <v>269308</v>
      </c>
      <c r="G115" s="1" t="s">
        <v>1041</v>
      </c>
      <c r="H115">
        <v>25042871</v>
      </c>
      <c r="I115">
        <v>54915</v>
      </c>
      <c r="J115" t="s">
        <v>56</v>
      </c>
      <c r="K115" s="17">
        <v>8603562000212</v>
      </c>
      <c r="L115" s="17">
        <v>90739624001866</v>
      </c>
      <c r="M115" s="9">
        <v>112.22</v>
      </c>
      <c r="N115" t="s">
        <v>43</v>
      </c>
      <c r="Q115" s="2"/>
      <c r="R115" s="9"/>
      <c r="S115" t="s">
        <v>44</v>
      </c>
      <c r="T115" t="s">
        <v>45</v>
      </c>
      <c r="U115" s="2" t="s">
        <v>583</v>
      </c>
      <c r="V115" s="9" t="s">
        <v>1042</v>
      </c>
      <c r="W115">
        <v>5.1260808603562005E+43</v>
      </c>
      <c r="X115" t="s">
        <v>46</v>
      </c>
      <c r="Y115" s="2" t="s">
        <v>717</v>
      </c>
      <c r="Z115" s="2" t="s">
        <v>718</v>
      </c>
      <c r="AA115" s="9" t="s">
        <v>715</v>
      </c>
      <c r="AC115" s="2"/>
      <c r="AD115" t="s">
        <v>7</v>
      </c>
      <c r="AE115" t="s">
        <v>1043</v>
      </c>
    </row>
    <row r="116" spans="1:31" x14ac:dyDescent="0.3">
      <c r="A116" s="17">
        <v>90739624000118</v>
      </c>
      <c r="B116" t="s">
        <v>99</v>
      </c>
      <c r="C116">
        <v>22479</v>
      </c>
      <c r="D116" t="s">
        <v>114</v>
      </c>
      <c r="E116" t="s">
        <v>2</v>
      </c>
      <c r="F116">
        <v>269308</v>
      </c>
      <c r="G116" s="1" t="s">
        <v>1044</v>
      </c>
      <c r="H116">
        <v>25042847</v>
      </c>
      <c r="I116">
        <v>50603</v>
      </c>
      <c r="J116" t="s">
        <v>507</v>
      </c>
      <c r="K116" s="17">
        <v>3626094001330</v>
      </c>
      <c r="L116" s="17">
        <v>9576274000106</v>
      </c>
      <c r="M116" s="9">
        <v>151.38</v>
      </c>
      <c r="N116" t="s">
        <v>43</v>
      </c>
      <c r="Q116" s="2"/>
      <c r="R116" s="9"/>
      <c r="S116" t="s">
        <v>44</v>
      </c>
      <c r="T116" t="s">
        <v>45</v>
      </c>
      <c r="U116" s="2" t="s">
        <v>583</v>
      </c>
      <c r="V116" s="9" t="s">
        <v>1045</v>
      </c>
      <c r="W116">
        <v>4.1260803626093998E+43</v>
      </c>
      <c r="X116" t="s">
        <v>46</v>
      </c>
      <c r="Y116" s="2" t="s">
        <v>717</v>
      </c>
      <c r="Z116" s="2" t="s">
        <v>718</v>
      </c>
      <c r="AA116" s="9" t="s">
        <v>715</v>
      </c>
      <c r="AC116" s="2"/>
      <c r="AD116" t="s">
        <v>7</v>
      </c>
      <c r="AE116" t="s">
        <v>1046</v>
      </c>
    </row>
    <row r="117" spans="1:31" x14ac:dyDescent="0.3">
      <c r="A117" s="17">
        <v>90739624000118</v>
      </c>
      <c r="B117" t="s">
        <v>65</v>
      </c>
      <c r="D117" t="s">
        <v>66</v>
      </c>
      <c r="E117" t="s">
        <v>2</v>
      </c>
      <c r="F117">
        <v>269308</v>
      </c>
      <c r="G117" s="1" t="s">
        <v>1047</v>
      </c>
      <c r="H117">
        <v>25042817</v>
      </c>
      <c r="J117" t="s">
        <v>67</v>
      </c>
      <c r="K117" s="17">
        <v>7473735006031</v>
      </c>
      <c r="L117" s="17"/>
      <c r="M117" s="9">
        <v>276.58999999999997</v>
      </c>
      <c r="N117" t="s">
        <v>43</v>
      </c>
      <c r="Q117" s="2"/>
      <c r="R117" s="9"/>
      <c r="S117" t="s">
        <v>87</v>
      </c>
      <c r="U117" s="2"/>
      <c r="V117" s="9"/>
      <c r="X117" t="s">
        <v>88</v>
      </c>
      <c r="Y117" s="2" t="s">
        <v>717</v>
      </c>
      <c r="Z117" s="2" t="s">
        <v>718</v>
      </c>
      <c r="AA117" s="9" t="s">
        <v>715</v>
      </c>
      <c r="AC117" s="2"/>
      <c r="AD117" t="s">
        <v>7</v>
      </c>
    </row>
    <row r="118" spans="1:31" x14ac:dyDescent="0.3">
      <c r="A118" s="17">
        <v>90739624000118</v>
      </c>
      <c r="B118" t="s">
        <v>13</v>
      </c>
      <c r="C118">
        <v>21767</v>
      </c>
      <c r="D118" t="s">
        <v>355</v>
      </c>
      <c r="E118" t="s">
        <v>2</v>
      </c>
      <c r="F118">
        <v>269308</v>
      </c>
      <c r="G118" s="1" t="s">
        <v>1049</v>
      </c>
      <c r="H118">
        <v>25042814</v>
      </c>
      <c r="I118">
        <v>24732</v>
      </c>
      <c r="J118" t="s">
        <v>15</v>
      </c>
      <c r="K118" s="17">
        <v>30432373000100</v>
      </c>
      <c r="L118" s="17">
        <v>90739624001190</v>
      </c>
      <c r="M118" s="9">
        <v>314.37</v>
      </c>
      <c r="N118" t="s">
        <v>43</v>
      </c>
      <c r="Q118" s="2"/>
      <c r="R118" s="9"/>
      <c r="S118" t="s">
        <v>44</v>
      </c>
      <c r="T118" t="s">
        <v>45</v>
      </c>
      <c r="U118" s="2" t="s">
        <v>583</v>
      </c>
      <c r="V118" s="9" t="s">
        <v>1051</v>
      </c>
      <c r="W118">
        <v>5.0260830432372995E+43</v>
      </c>
      <c r="X118" t="s">
        <v>46</v>
      </c>
      <c r="Y118" s="2" t="s">
        <v>717</v>
      </c>
      <c r="Z118" s="2" t="s">
        <v>718</v>
      </c>
      <c r="AA118" s="9" t="s">
        <v>715</v>
      </c>
      <c r="AC118" s="2"/>
      <c r="AD118" t="s">
        <v>7</v>
      </c>
      <c r="AE118" t="s">
        <v>1052</v>
      </c>
    </row>
    <row r="119" spans="1:31" x14ac:dyDescent="0.3">
      <c r="A119" s="17">
        <v>90739624000118</v>
      </c>
      <c r="B119" t="s">
        <v>13</v>
      </c>
      <c r="D119" t="s">
        <v>551</v>
      </c>
      <c r="E119" t="s">
        <v>2</v>
      </c>
      <c r="F119">
        <v>269308</v>
      </c>
      <c r="G119" s="1" t="s">
        <v>1053</v>
      </c>
      <c r="H119">
        <v>25042588</v>
      </c>
      <c r="I119">
        <v>91534</v>
      </c>
      <c r="J119" t="s">
        <v>465</v>
      </c>
      <c r="K119" s="17">
        <v>24601882000109</v>
      </c>
      <c r="L119" s="17">
        <v>90739624001190</v>
      </c>
      <c r="M119" s="9">
        <v>263.62</v>
      </c>
      <c r="N119" t="s">
        <v>43</v>
      </c>
      <c r="Q119" s="2"/>
      <c r="R119" s="9"/>
      <c r="S119" t="s">
        <v>44</v>
      </c>
      <c r="T119" t="s">
        <v>45</v>
      </c>
      <c r="U119" s="2" t="s">
        <v>602</v>
      </c>
      <c r="V119" s="9" t="s">
        <v>1054</v>
      </c>
      <c r="W119">
        <v>5.0260824601881997E+43</v>
      </c>
      <c r="X119" t="s">
        <v>46</v>
      </c>
      <c r="Y119" s="2" t="s">
        <v>717</v>
      </c>
      <c r="Z119" s="2" t="s">
        <v>718</v>
      </c>
      <c r="AA119" s="9" t="s">
        <v>715</v>
      </c>
      <c r="AC119" s="2"/>
      <c r="AD119" t="s">
        <v>7</v>
      </c>
      <c r="AE119" t="s">
        <v>1055</v>
      </c>
    </row>
    <row r="120" spans="1:31" x14ac:dyDescent="0.3">
      <c r="A120" s="17">
        <v>90739624000118</v>
      </c>
      <c r="B120" t="s">
        <v>58</v>
      </c>
      <c r="D120" t="s">
        <v>535</v>
      </c>
      <c r="E120" t="s">
        <v>2</v>
      </c>
      <c r="F120">
        <v>269308</v>
      </c>
      <c r="G120" s="1" t="s">
        <v>1056</v>
      </c>
      <c r="H120">
        <v>25042577</v>
      </c>
      <c r="J120" t="s">
        <v>629</v>
      </c>
      <c r="K120" s="17">
        <v>7473735021260</v>
      </c>
      <c r="L120" s="17"/>
      <c r="M120" s="9">
        <v>518.25</v>
      </c>
      <c r="N120" t="s">
        <v>43</v>
      </c>
      <c r="Q120" s="2"/>
      <c r="R120" s="9"/>
      <c r="S120" t="s">
        <v>87</v>
      </c>
      <c r="U120" s="2"/>
      <c r="V120" s="9"/>
      <c r="X120" t="s">
        <v>88</v>
      </c>
      <c r="Y120" s="2" t="s">
        <v>717</v>
      </c>
      <c r="Z120" s="2" t="s">
        <v>718</v>
      </c>
      <c r="AA120" s="9" t="s">
        <v>715</v>
      </c>
      <c r="AC120" s="2"/>
      <c r="AD120" t="s">
        <v>7</v>
      </c>
    </row>
    <row r="121" spans="1:31" x14ac:dyDescent="0.3">
      <c r="A121" s="17">
        <v>90739624000118</v>
      </c>
      <c r="B121" t="s">
        <v>18</v>
      </c>
      <c r="C121">
        <v>26123</v>
      </c>
      <c r="D121" t="s">
        <v>39</v>
      </c>
      <c r="E121" t="s">
        <v>17</v>
      </c>
      <c r="F121">
        <v>269308</v>
      </c>
      <c r="G121" s="1" t="s">
        <v>1058</v>
      </c>
      <c r="H121">
        <v>25042510</v>
      </c>
      <c r="I121">
        <v>20216</v>
      </c>
      <c r="J121" t="s">
        <v>54</v>
      </c>
      <c r="K121" s="17">
        <v>79130647000198</v>
      </c>
      <c r="L121" s="17">
        <v>9576274000106</v>
      </c>
      <c r="M121" s="9">
        <v>22.9</v>
      </c>
      <c r="N121" t="s">
        <v>43</v>
      </c>
      <c r="Q121" s="2"/>
      <c r="R121" s="9"/>
      <c r="S121" t="s">
        <v>44</v>
      </c>
      <c r="T121" t="s">
        <v>45</v>
      </c>
      <c r="U121" s="2" t="s">
        <v>583</v>
      </c>
      <c r="V121" s="9" t="s">
        <v>1059</v>
      </c>
      <c r="W121">
        <v>4.1260879130646998E+43</v>
      </c>
      <c r="X121" t="s">
        <v>46</v>
      </c>
      <c r="Y121" s="2" t="s">
        <v>717</v>
      </c>
      <c r="Z121" s="2" t="s">
        <v>718</v>
      </c>
      <c r="AA121" s="9" t="s">
        <v>715</v>
      </c>
      <c r="AC121" s="2"/>
      <c r="AD121" t="s">
        <v>7</v>
      </c>
      <c r="AE121" t="s">
        <v>1060</v>
      </c>
    </row>
    <row r="122" spans="1:31" x14ac:dyDescent="0.3">
      <c r="A122" s="17">
        <v>90739624000118</v>
      </c>
      <c r="B122" t="s">
        <v>18</v>
      </c>
      <c r="C122">
        <v>26123</v>
      </c>
      <c r="D122" t="s">
        <v>39</v>
      </c>
      <c r="E122" t="s">
        <v>2</v>
      </c>
      <c r="F122">
        <v>269308</v>
      </c>
      <c r="G122" s="1" t="s">
        <v>1061</v>
      </c>
      <c r="H122">
        <v>25042478</v>
      </c>
      <c r="I122">
        <v>20215</v>
      </c>
      <c r="J122" t="s">
        <v>54</v>
      </c>
      <c r="K122" s="17">
        <v>79130647000198</v>
      </c>
      <c r="L122" s="17">
        <v>9576274000106</v>
      </c>
      <c r="M122" s="9">
        <v>193.27</v>
      </c>
      <c r="N122" t="s">
        <v>43</v>
      </c>
      <c r="Q122" s="2"/>
      <c r="R122" s="9"/>
      <c r="S122" t="s">
        <v>44</v>
      </c>
      <c r="T122" t="s">
        <v>45</v>
      </c>
      <c r="U122" s="2" t="s">
        <v>583</v>
      </c>
      <c r="V122" s="9" t="s">
        <v>661</v>
      </c>
      <c r="W122">
        <v>4.1260879130646998E+43</v>
      </c>
      <c r="X122" t="s">
        <v>46</v>
      </c>
      <c r="Y122" s="2" t="s">
        <v>717</v>
      </c>
      <c r="Z122" s="2" t="s">
        <v>718</v>
      </c>
      <c r="AA122" s="9" t="s">
        <v>715</v>
      </c>
      <c r="AC122" s="2"/>
      <c r="AD122" t="s">
        <v>7</v>
      </c>
      <c r="AE122" t="s">
        <v>1062</v>
      </c>
    </row>
    <row r="123" spans="1:31" x14ac:dyDescent="0.3">
      <c r="A123" s="17">
        <v>90739624000118</v>
      </c>
      <c r="B123" t="s">
        <v>61</v>
      </c>
      <c r="D123" t="s">
        <v>614</v>
      </c>
      <c r="E123" t="s">
        <v>2</v>
      </c>
      <c r="F123">
        <v>269308</v>
      </c>
      <c r="G123" s="1" t="s">
        <v>1063</v>
      </c>
      <c r="H123">
        <v>25042324</v>
      </c>
      <c r="I123">
        <v>2539</v>
      </c>
      <c r="J123" t="s">
        <v>85</v>
      </c>
      <c r="K123" s="17">
        <v>1975878000105</v>
      </c>
      <c r="L123" s="17">
        <v>9576274000106</v>
      </c>
      <c r="M123" s="9">
        <v>289.85000000000002</v>
      </c>
      <c r="N123" t="s">
        <v>43</v>
      </c>
      <c r="Q123" s="2"/>
      <c r="R123" s="9"/>
      <c r="S123" t="s">
        <v>44</v>
      </c>
      <c r="T123" t="s">
        <v>45</v>
      </c>
      <c r="U123" s="2" t="s">
        <v>583</v>
      </c>
      <c r="V123" s="9" t="s">
        <v>1064</v>
      </c>
      <c r="W123">
        <v>4.1260801975878E+43</v>
      </c>
      <c r="X123" t="s">
        <v>46</v>
      </c>
      <c r="Y123" s="2" t="s">
        <v>717</v>
      </c>
      <c r="Z123" s="2" t="s">
        <v>718</v>
      </c>
      <c r="AA123" s="9" t="s">
        <v>715</v>
      </c>
      <c r="AC123" s="2"/>
      <c r="AD123" t="s">
        <v>7</v>
      </c>
      <c r="AE123" t="s">
        <v>1065</v>
      </c>
    </row>
    <row r="124" spans="1:31" x14ac:dyDescent="0.3">
      <c r="A124" s="17">
        <v>90739624000118</v>
      </c>
      <c r="B124" t="s">
        <v>58</v>
      </c>
      <c r="D124" t="s">
        <v>387</v>
      </c>
      <c r="E124" t="s">
        <v>2</v>
      </c>
      <c r="F124">
        <v>269308</v>
      </c>
      <c r="G124" s="1" t="s">
        <v>1066</v>
      </c>
      <c r="H124">
        <v>25042312</v>
      </c>
      <c r="J124" t="s">
        <v>106</v>
      </c>
      <c r="K124" s="17">
        <v>7473735015103</v>
      </c>
      <c r="L124" s="17"/>
      <c r="M124" s="9">
        <v>163.53</v>
      </c>
      <c r="N124" t="s">
        <v>43</v>
      </c>
      <c r="Q124" s="2"/>
      <c r="R124" s="9"/>
      <c r="S124" t="s">
        <v>87</v>
      </c>
      <c r="U124" s="2"/>
      <c r="V124" s="9"/>
      <c r="X124" t="s">
        <v>88</v>
      </c>
      <c r="Y124" s="2" t="s">
        <v>717</v>
      </c>
      <c r="Z124" s="2" t="s">
        <v>718</v>
      </c>
      <c r="AA124" s="9" t="s">
        <v>715</v>
      </c>
      <c r="AC124" s="2"/>
      <c r="AD124" t="s">
        <v>7</v>
      </c>
    </row>
    <row r="125" spans="1:31" x14ac:dyDescent="0.3">
      <c r="A125" s="17">
        <v>90739624000118</v>
      </c>
      <c r="B125" t="s">
        <v>13</v>
      </c>
      <c r="D125" t="s">
        <v>1068</v>
      </c>
      <c r="E125" t="s">
        <v>17</v>
      </c>
      <c r="F125">
        <v>269308</v>
      </c>
      <c r="G125" s="1" t="s">
        <v>1069</v>
      </c>
      <c r="H125">
        <v>25042020</v>
      </c>
      <c r="I125">
        <v>264138</v>
      </c>
      <c r="J125" t="s">
        <v>337</v>
      </c>
      <c r="K125" s="17">
        <v>6068493000188</v>
      </c>
      <c r="L125" s="17">
        <v>90739624000380</v>
      </c>
      <c r="M125" s="9">
        <v>10.72</v>
      </c>
      <c r="N125" t="s">
        <v>43</v>
      </c>
      <c r="Q125" s="2"/>
      <c r="R125" s="9"/>
      <c r="S125" t="s">
        <v>44</v>
      </c>
      <c r="T125" t="s">
        <v>45</v>
      </c>
      <c r="U125" s="2" t="s">
        <v>602</v>
      </c>
      <c r="V125" s="9" t="s">
        <v>1071</v>
      </c>
      <c r="W125">
        <v>3.5260806068492999E+43</v>
      </c>
      <c r="X125" t="s">
        <v>46</v>
      </c>
      <c r="Y125" s="2" t="s">
        <v>717</v>
      </c>
      <c r="Z125" s="2" t="s">
        <v>718</v>
      </c>
      <c r="AA125" s="9" t="s">
        <v>715</v>
      </c>
      <c r="AC125" s="2"/>
      <c r="AD125" t="s">
        <v>7</v>
      </c>
      <c r="AE125" t="s">
        <v>1072</v>
      </c>
    </row>
    <row r="126" spans="1:31" x14ac:dyDescent="0.3">
      <c r="A126" s="17">
        <v>90739624000118</v>
      </c>
      <c r="B126" t="s">
        <v>13</v>
      </c>
      <c r="D126" t="s">
        <v>1068</v>
      </c>
      <c r="E126" t="s">
        <v>2</v>
      </c>
      <c r="F126">
        <v>269308</v>
      </c>
      <c r="G126" s="1" t="s">
        <v>1073</v>
      </c>
      <c r="H126">
        <v>25042004</v>
      </c>
      <c r="I126">
        <v>264138</v>
      </c>
      <c r="J126" t="s">
        <v>337</v>
      </c>
      <c r="K126" s="17">
        <v>6068493000188</v>
      </c>
      <c r="L126" s="17">
        <v>90739624000380</v>
      </c>
      <c r="M126" s="9">
        <v>249.66</v>
      </c>
      <c r="N126" t="s">
        <v>43</v>
      </c>
      <c r="Q126" s="2"/>
      <c r="R126" s="9"/>
      <c r="S126" t="s">
        <v>44</v>
      </c>
      <c r="T126" t="s">
        <v>45</v>
      </c>
      <c r="U126" s="2" t="s">
        <v>602</v>
      </c>
      <c r="V126" s="9" t="s">
        <v>1071</v>
      </c>
      <c r="W126">
        <v>3.5260806068492999E+43</v>
      </c>
      <c r="X126" t="s">
        <v>46</v>
      </c>
      <c r="Y126" s="2" t="s">
        <v>717</v>
      </c>
      <c r="Z126" s="2" t="s">
        <v>718</v>
      </c>
      <c r="AA126" s="9" t="s">
        <v>715</v>
      </c>
      <c r="AC126" s="2"/>
      <c r="AD126" t="s">
        <v>7</v>
      </c>
      <c r="AE126" t="s">
        <v>1072</v>
      </c>
    </row>
    <row r="127" spans="1:31" x14ac:dyDescent="0.3">
      <c r="A127" s="17">
        <v>90739624000118</v>
      </c>
      <c r="B127" t="s">
        <v>61</v>
      </c>
      <c r="C127">
        <v>23457</v>
      </c>
      <c r="D127" t="s">
        <v>357</v>
      </c>
      <c r="E127" t="s">
        <v>2</v>
      </c>
      <c r="F127">
        <v>269308</v>
      </c>
      <c r="G127" s="1" t="s">
        <v>1075</v>
      </c>
      <c r="H127">
        <v>25041997</v>
      </c>
      <c r="I127">
        <v>2538</v>
      </c>
      <c r="J127" t="s">
        <v>85</v>
      </c>
      <c r="K127" s="17">
        <v>1975878000105</v>
      </c>
      <c r="L127" s="17">
        <v>9576274000106</v>
      </c>
      <c r="M127" s="9">
        <v>436.32</v>
      </c>
      <c r="N127" t="s">
        <v>43</v>
      </c>
      <c r="Q127" s="2"/>
      <c r="R127" s="9"/>
      <c r="S127" t="s">
        <v>44</v>
      </c>
      <c r="T127" t="s">
        <v>45</v>
      </c>
      <c r="U127" s="2" t="s">
        <v>583</v>
      </c>
      <c r="V127" s="9" t="s">
        <v>1076</v>
      </c>
      <c r="W127">
        <v>4.1260801975878E+43</v>
      </c>
      <c r="X127" t="s">
        <v>46</v>
      </c>
      <c r="Y127" s="2" t="s">
        <v>717</v>
      </c>
      <c r="Z127" s="2" t="s">
        <v>718</v>
      </c>
      <c r="AA127" s="9" t="s">
        <v>715</v>
      </c>
      <c r="AC127" s="2"/>
      <c r="AD127" t="s">
        <v>7</v>
      </c>
      <c r="AE127" t="s">
        <v>1077</v>
      </c>
    </row>
    <row r="128" spans="1:31" x14ac:dyDescent="0.3">
      <c r="A128" s="17">
        <v>90739624000118</v>
      </c>
      <c r="B128" t="s">
        <v>58</v>
      </c>
      <c r="D128" t="s">
        <v>388</v>
      </c>
      <c r="E128" t="s">
        <v>2</v>
      </c>
      <c r="F128">
        <v>269308</v>
      </c>
      <c r="G128" s="1" t="s">
        <v>1078</v>
      </c>
      <c r="H128">
        <v>25041983</v>
      </c>
      <c r="J128" t="s">
        <v>106</v>
      </c>
      <c r="K128" s="17">
        <v>7473735015103</v>
      </c>
      <c r="L128" s="17"/>
      <c r="M128" s="9">
        <v>172.51</v>
      </c>
      <c r="N128" t="s">
        <v>43</v>
      </c>
      <c r="Q128" s="2"/>
      <c r="R128" s="9"/>
      <c r="S128" t="s">
        <v>87</v>
      </c>
      <c r="U128" s="2"/>
      <c r="V128" s="9"/>
      <c r="X128" t="s">
        <v>88</v>
      </c>
      <c r="Y128" s="2" t="s">
        <v>717</v>
      </c>
      <c r="Z128" s="2" t="s">
        <v>718</v>
      </c>
      <c r="AA128" s="9" t="s">
        <v>715</v>
      </c>
      <c r="AC128" s="2"/>
      <c r="AD128" t="s">
        <v>7</v>
      </c>
    </row>
    <row r="129" spans="1:31" x14ac:dyDescent="0.3">
      <c r="A129" s="17">
        <v>90739624000118</v>
      </c>
      <c r="B129" t="s">
        <v>25</v>
      </c>
      <c r="D129" t="s">
        <v>93</v>
      </c>
      <c r="E129" t="s">
        <v>2</v>
      </c>
      <c r="F129">
        <v>269308</v>
      </c>
      <c r="G129" s="1" t="s">
        <v>1080</v>
      </c>
      <c r="H129">
        <v>25041671</v>
      </c>
      <c r="I129">
        <v>34037</v>
      </c>
      <c r="J129" t="s">
        <v>132</v>
      </c>
      <c r="K129" s="17">
        <v>10588554000105</v>
      </c>
      <c r="L129" s="17">
        <v>90739624003486</v>
      </c>
      <c r="M129" s="9">
        <v>145.08000000000001</v>
      </c>
      <c r="N129" t="s">
        <v>43</v>
      </c>
      <c r="Q129" s="2"/>
      <c r="R129" s="9"/>
      <c r="S129" t="s">
        <v>44</v>
      </c>
      <c r="T129" t="s">
        <v>45</v>
      </c>
      <c r="U129" s="2" t="s">
        <v>583</v>
      </c>
      <c r="V129" s="9" t="s">
        <v>1081</v>
      </c>
      <c r="W129">
        <v>5.1260810588554005E+43</v>
      </c>
      <c r="X129" t="s">
        <v>46</v>
      </c>
      <c r="Y129" s="2" t="s">
        <v>717</v>
      </c>
      <c r="Z129" s="2" t="s">
        <v>718</v>
      </c>
      <c r="AA129" s="9" t="s">
        <v>715</v>
      </c>
      <c r="AC129" s="2"/>
      <c r="AD129" t="s">
        <v>7</v>
      </c>
      <c r="AE129" t="s">
        <v>1082</v>
      </c>
    </row>
    <row r="130" spans="1:31" x14ac:dyDescent="0.3">
      <c r="A130" s="17">
        <v>90739624000118</v>
      </c>
      <c r="B130" t="s">
        <v>25</v>
      </c>
      <c r="D130" t="s">
        <v>548</v>
      </c>
      <c r="E130" t="s">
        <v>2</v>
      </c>
      <c r="F130">
        <v>269308</v>
      </c>
      <c r="G130" s="1" t="s">
        <v>1083</v>
      </c>
      <c r="H130">
        <v>25041638</v>
      </c>
      <c r="I130">
        <v>34038</v>
      </c>
      <c r="J130" t="s">
        <v>132</v>
      </c>
      <c r="K130" s="17">
        <v>10588554000105</v>
      </c>
      <c r="L130" s="17">
        <v>90739624003486</v>
      </c>
      <c r="M130" s="9">
        <v>133.44</v>
      </c>
      <c r="N130" t="s">
        <v>43</v>
      </c>
      <c r="Q130" s="2"/>
      <c r="R130" s="9"/>
      <c r="S130" t="s">
        <v>44</v>
      </c>
      <c r="T130" t="s">
        <v>45</v>
      </c>
      <c r="U130" s="2" t="s">
        <v>583</v>
      </c>
      <c r="V130" s="9" t="s">
        <v>1084</v>
      </c>
      <c r="W130">
        <v>5.1260810588554005E+43</v>
      </c>
      <c r="X130" t="s">
        <v>46</v>
      </c>
      <c r="Y130" s="2" t="s">
        <v>717</v>
      </c>
      <c r="Z130" s="2" t="s">
        <v>718</v>
      </c>
      <c r="AA130" s="9" t="s">
        <v>715</v>
      </c>
      <c r="AC130" s="2"/>
      <c r="AD130" t="s">
        <v>7</v>
      </c>
      <c r="AE130" t="s">
        <v>1085</v>
      </c>
    </row>
    <row r="131" spans="1:31" x14ac:dyDescent="0.3">
      <c r="A131" s="17">
        <v>90739624000118</v>
      </c>
      <c r="B131" t="s">
        <v>31</v>
      </c>
      <c r="D131" t="s">
        <v>118</v>
      </c>
      <c r="E131" t="s">
        <v>2</v>
      </c>
      <c r="F131">
        <v>269308</v>
      </c>
      <c r="G131" s="1" t="s">
        <v>697</v>
      </c>
      <c r="H131">
        <v>25041265</v>
      </c>
      <c r="I131">
        <v>19665</v>
      </c>
      <c r="J131" t="s">
        <v>632</v>
      </c>
      <c r="K131" s="17">
        <v>4903852000140</v>
      </c>
      <c r="L131" s="17">
        <v>90739624000118</v>
      </c>
      <c r="M131" s="9">
        <v>285.73</v>
      </c>
      <c r="N131" t="s">
        <v>43</v>
      </c>
      <c r="Q131" s="2"/>
      <c r="R131" s="9"/>
      <c r="S131" t="s">
        <v>44</v>
      </c>
      <c r="T131" t="s">
        <v>45</v>
      </c>
      <c r="U131" s="2" t="s">
        <v>619</v>
      </c>
      <c r="V131" s="9" t="s">
        <v>1086</v>
      </c>
      <c r="W131">
        <v>1.1260804903852001E+43</v>
      </c>
      <c r="X131" t="s">
        <v>46</v>
      </c>
      <c r="Y131" s="2" t="s">
        <v>717</v>
      </c>
      <c r="Z131" s="2" t="s">
        <v>718</v>
      </c>
      <c r="AA131" s="9" t="s">
        <v>715</v>
      </c>
      <c r="AC131" s="2"/>
      <c r="AD131" t="s">
        <v>7</v>
      </c>
      <c r="AE131" t="s">
        <v>1087</v>
      </c>
    </row>
    <row r="132" spans="1:31" x14ac:dyDescent="0.3">
      <c r="A132" s="17">
        <v>90739624000118</v>
      </c>
      <c r="B132" t="s">
        <v>58</v>
      </c>
      <c r="D132" t="s">
        <v>387</v>
      </c>
      <c r="E132" t="s">
        <v>2</v>
      </c>
      <c r="F132">
        <v>269308</v>
      </c>
      <c r="G132" s="1" t="s">
        <v>699</v>
      </c>
      <c r="H132">
        <v>25041211</v>
      </c>
      <c r="I132">
        <v>56880</v>
      </c>
      <c r="J132" t="s">
        <v>480</v>
      </c>
      <c r="K132" s="17">
        <v>7473735019877</v>
      </c>
      <c r="L132" s="17">
        <v>90739624002323</v>
      </c>
      <c r="M132" s="9">
        <v>241.49</v>
      </c>
      <c r="N132" t="s">
        <v>43</v>
      </c>
      <c r="Q132" s="2"/>
      <c r="R132" s="9"/>
      <c r="S132" t="s">
        <v>44</v>
      </c>
      <c r="T132" t="s">
        <v>45</v>
      </c>
      <c r="U132" s="2" t="s">
        <v>668</v>
      </c>
      <c r="V132" s="9" t="s">
        <v>1088</v>
      </c>
      <c r="W132">
        <v>4.3260707473735002E+43</v>
      </c>
      <c r="X132" t="s">
        <v>46</v>
      </c>
      <c r="Y132" s="2" t="s">
        <v>717</v>
      </c>
      <c r="Z132" s="2" t="s">
        <v>718</v>
      </c>
      <c r="AA132" s="9" t="s">
        <v>715</v>
      </c>
      <c r="AC132" s="2"/>
      <c r="AD132" t="s">
        <v>7</v>
      </c>
      <c r="AE132" t="s">
        <v>1089</v>
      </c>
    </row>
    <row r="133" spans="1:31" x14ac:dyDescent="0.3">
      <c r="A133" s="17">
        <v>90739624000118</v>
      </c>
      <c r="B133" t="s">
        <v>8</v>
      </c>
      <c r="C133">
        <v>23617</v>
      </c>
      <c r="D133" t="s">
        <v>358</v>
      </c>
      <c r="E133" t="s">
        <v>2</v>
      </c>
      <c r="F133">
        <v>269308</v>
      </c>
      <c r="G133" s="1" t="s">
        <v>1090</v>
      </c>
      <c r="H133">
        <v>25041206</v>
      </c>
      <c r="I133">
        <v>10649</v>
      </c>
      <c r="J133" t="s">
        <v>144</v>
      </c>
      <c r="K133" s="17">
        <v>37607755000169</v>
      </c>
      <c r="L133" s="17">
        <v>9576274000106</v>
      </c>
      <c r="M133" s="9">
        <v>375.83</v>
      </c>
      <c r="N133" t="s">
        <v>43</v>
      </c>
      <c r="Q133" s="2"/>
      <c r="R133" s="9"/>
      <c r="S133" t="s">
        <v>44</v>
      </c>
      <c r="T133" t="s">
        <v>45</v>
      </c>
      <c r="U133" s="2" t="s">
        <v>583</v>
      </c>
      <c r="V133" s="9" t="s">
        <v>1091</v>
      </c>
      <c r="W133">
        <v>4.1260837607755001E+43</v>
      </c>
      <c r="X133" t="s">
        <v>46</v>
      </c>
      <c r="Y133" s="2" t="s">
        <v>717</v>
      </c>
      <c r="Z133" s="2" t="s">
        <v>718</v>
      </c>
      <c r="AA133" s="9" t="s">
        <v>715</v>
      </c>
      <c r="AC133" s="2"/>
      <c r="AD133" t="s">
        <v>7</v>
      </c>
      <c r="AE133" t="s">
        <v>1092</v>
      </c>
    </row>
    <row r="134" spans="1:31" x14ac:dyDescent="0.3">
      <c r="A134" s="17">
        <v>90739624000118</v>
      </c>
      <c r="B134" t="s">
        <v>28</v>
      </c>
      <c r="D134" t="s">
        <v>511</v>
      </c>
      <c r="E134" t="s">
        <v>2</v>
      </c>
      <c r="F134">
        <v>269308</v>
      </c>
      <c r="G134" s="1" t="s">
        <v>1093</v>
      </c>
      <c r="H134">
        <v>25040902</v>
      </c>
      <c r="I134">
        <v>73607</v>
      </c>
      <c r="J134" t="s">
        <v>366</v>
      </c>
      <c r="K134" s="17">
        <v>27098262000197</v>
      </c>
      <c r="L134" s="17">
        <v>90739624001947</v>
      </c>
      <c r="M134" s="9">
        <v>88.92</v>
      </c>
      <c r="N134" t="s">
        <v>43</v>
      </c>
      <c r="Q134" s="2"/>
      <c r="R134" s="9"/>
      <c r="S134" t="s">
        <v>44</v>
      </c>
      <c r="T134" t="s">
        <v>45</v>
      </c>
      <c r="U134" s="2" t="s">
        <v>583</v>
      </c>
      <c r="V134" s="9" t="s">
        <v>1094</v>
      </c>
      <c r="W134">
        <v>5.2260827098261996E+43</v>
      </c>
      <c r="X134" t="s">
        <v>46</v>
      </c>
      <c r="Y134" s="2" t="s">
        <v>717</v>
      </c>
      <c r="Z134" s="2" t="s">
        <v>718</v>
      </c>
      <c r="AA134" s="9" t="s">
        <v>715</v>
      </c>
      <c r="AC134" s="2"/>
      <c r="AD134" t="s">
        <v>7</v>
      </c>
      <c r="AE134" t="s">
        <v>1095</v>
      </c>
    </row>
    <row r="135" spans="1:31" x14ac:dyDescent="0.3">
      <c r="A135" s="17">
        <v>90739624000118</v>
      </c>
      <c r="B135" t="s">
        <v>61</v>
      </c>
      <c r="C135">
        <v>26247</v>
      </c>
      <c r="D135" t="s">
        <v>343</v>
      </c>
      <c r="E135" t="s">
        <v>2</v>
      </c>
      <c r="F135">
        <v>269308</v>
      </c>
      <c r="G135" s="1" t="s">
        <v>1096</v>
      </c>
      <c r="H135">
        <v>25040730</v>
      </c>
      <c r="I135">
        <v>820768</v>
      </c>
      <c r="J135" t="s">
        <v>62</v>
      </c>
      <c r="K135" s="17">
        <v>79964177000591</v>
      </c>
      <c r="L135" s="17">
        <v>9576274000106</v>
      </c>
      <c r="M135" s="9">
        <v>389.68</v>
      </c>
      <c r="N135" t="s">
        <v>43</v>
      </c>
      <c r="Q135" s="2"/>
      <c r="R135" s="9"/>
      <c r="S135" t="s">
        <v>44</v>
      </c>
      <c r="T135" t="s">
        <v>45</v>
      </c>
      <c r="U135" s="2" t="s">
        <v>583</v>
      </c>
      <c r="V135" s="9" t="s">
        <v>1097</v>
      </c>
      <c r="W135">
        <v>4.1260879964176998E+43</v>
      </c>
      <c r="X135" t="s">
        <v>46</v>
      </c>
      <c r="Y135" s="2" t="s">
        <v>717</v>
      </c>
      <c r="Z135" s="2" t="s">
        <v>718</v>
      </c>
      <c r="AA135" s="9" t="s">
        <v>715</v>
      </c>
      <c r="AC135" s="2"/>
      <c r="AD135" t="s">
        <v>7</v>
      </c>
      <c r="AE135" t="s">
        <v>1098</v>
      </c>
    </row>
    <row r="136" spans="1:31" x14ac:dyDescent="0.3">
      <c r="A136" s="17">
        <v>90739624000118</v>
      </c>
      <c r="B136" t="s">
        <v>120</v>
      </c>
      <c r="C136">
        <v>22471</v>
      </c>
      <c r="D136" t="s">
        <v>244</v>
      </c>
      <c r="E136" t="s">
        <v>2</v>
      </c>
      <c r="F136">
        <v>269308</v>
      </c>
      <c r="G136" s="1" t="s">
        <v>1099</v>
      </c>
      <c r="H136">
        <v>25040464</v>
      </c>
      <c r="I136">
        <v>61225</v>
      </c>
      <c r="J136" t="s">
        <v>150</v>
      </c>
      <c r="K136" s="17">
        <v>27643038000139</v>
      </c>
      <c r="L136" s="17">
        <v>90739624001432</v>
      </c>
      <c r="M136" s="9">
        <v>317.52</v>
      </c>
      <c r="N136" t="s">
        <v>43</v>
      </c>
      <c r="Q136" s="2"/>
      <c r="R136" s="9"/>
      <c r="S136" t="s">
        <v>44</v>
      </c>
      <c r="T136" t="s">
        <v>45</v>
      </c>
      <c r="U136" s="2" t="s">
        <v>583</v>
      </c>
      <c r="V136" s="9" t="s">
        <v>1100</v>
      </c>
      <c r="W136">
        <v>4.2260827643038002E+43</v>
      </c>
      <c r="X136" t="s">
        <v>46</v>
      </c>
      <c r="Y136" s="2" t="s">
        <v>717</v>
      </c>
      <c r="Z136" s="2" t="s">
        <v>718</v>
      </c>
      <c r="AA136" s="9" t="s">
        <v>715</v>
      </c>
      <c r="AC136" s="2"/>
      <c r="AD136" t="s">
        <v>7</v>
      </c>
      <c r="AE136" t="s">
        <v>1101</v>
      </c>
    </row>
    <row r="137" spans="1:31" x14ac:dyDescent="0.3">
      <c r="A137" s="17">
        <v>90739624000118</v>
      </c>
      <c r="B137" t="s">
        <v>28</v>
      </c>
      <c r="D137" t="s">
        <v>214</v>
      </c>
      <c r="E137" t="s">
        <v>2</v>
      </c>
      <c r="F137">
        <v>269308</v>
      </c>
      <c r="G137" s="1" t="s">
        <v>1102</v>
      </c>
      <c r="H137">
        <v>25040224</v>
      </c>
      <c r="I137">
        <v>53849</v>
      </c>
      <c r="J137" t="s">
        <v>92</v>
      </c>
      <c r="K137" s="17">
        <v>2310460000141</v>
      </c>
      <c r="L137" s="17">
        <v>90739624001947</v>
      </c>
      <c r="M137" s="9">
        <v>203.7</v>
      </c>
      <c r="N137" t="s">
        <v>43</v>
      </c>
      <c r="Q137" s="2"/>
      <c r="R137" s="9"/>
      <c r="S137" t="s">
        <v>44</v>
      </c>
      <c r="T137" t="s">
        <v>45</v>
      </c>
      <c r="U137" s="2" t="s">
        <v>583</v>
      </c>
      <c r="V137" s="9" t="s">
        <v>607</v>
      </c>
      <c r="W137">
        <v>5.2260802310459999E+43</v>
      </c>
      <c r="X137" t="s">
        <v>46</v>
      </c>
      <c r="Y137" s="2" t="s">
        <v>717</v>
      </c>
      <c r="Z137" s="2" t="s">
        <v>718</v>
      </c>
      <c r="AA137" s="9" t="s">
        <v>715</v>
      </c>
      <c r="AC137" s="2"/>
      <c r="AD137" t="s">
        <v>7</v>
      </c>
      <c r="AE137" t="s">
        <v>1103</v>
      </c>
    </row>
    <row r="138" spans="1:31" x14ac:dyDescent="0.3">
      <c r="A138" s="17">
        <v>90739624000118</v>
      </c>
      <c r="B138" t="s">
        <v>40</v>
      </c>
      <c r="D138" t="s">
        <v>124</v>
      </c>
      <c r="E138" t="s">
        <v>2</v>
      </c>
      <c r="F138">
        <v>269308</v>
      </c>
      <c r="G138" s="1" t="s">
        <v>1104</v>
      </c>
      <c r="H138">
        <v>25039496</v>
      </c>
      <c r="I138">
        <v>168663</v>
      </c>
      <c r="J138" t="s">
        <v>42</v>
      </c>
      <c r="K138" s="17">
        <v>82156977000248</v>
      </c>
      <c r="L138" s="17">
        <v>90739624001432</v>
      </c>
      <c r="M138" s="9">
        <v>281.56</v>
      </c>
      <c r="N138" t="s">
        <v>43</v>
      </c>
      <c r="Q138" s="2"/>
      <c r="R138" s="9"/>
      <c r="S138" t="s">
        <v>44</v>
      </c>
      <c r="T138" t="s">
        <v>45</v>
      </c>
      <c r="U138" s="2" t="s">
        <v>583</v>
      </c>
      <c r="V138" s="9" t="s">
        <v>1105</v>
      </c>
      <c r="W138">
        <v>4.2260882156977001E+43</v>
      </c>
      <c r="X138" t="s">
        <v>46</v>
      </c>
      <c r="Y138" s="2" t="s">
        <v>717</v>
      </c>
      <c r="Z138" s="2" t="s">
        <v>718</v>
      </c>
      <c r="AA138" s="9" t="s">
        <v>715</v>
      </c>
      <c r="AC138" s="2"/>
      <c r="AD138" t="s">
        <v>7</v>
      </c>
      <c r="AE138" t="s">
        <v>1106</v>
      </c>
    </row>
    <row r="139" spans="1:31" x14ac:dyDescent="0.3">
      <c r="A139" s="17">
        <v>90739624000118</v>
      </c>
      <c r="B139" t="s">
        <v>31</v>
      </c>
      <c r="D139" t="s">
        <v>118</v>
      </c>
      <c r="E139" t="s">
        <v>2</v>
      </c>
      <c r="F139">
        <v>269308</v>
      </c>
      <c r="G139" s="1" t="s">
        <v>1107</v>
      </c>
      <c r="H139">
        <v>25035477</v>
      </c>
      <c r="I139">
        <v>171928</v>
      </c>
      <c r="J139" t="s">
        <v>233</v>
      </c>
      <c r="K139" s="17">
        <v>22611652000103</v>
      </c>
      <c r="L139" s="17">
        <v>90739624001866</v>
      </c>
      <c r="M139" s="9">
        <v>169.4</v>
      </c>
      <c r="N139" t="s">
        <v>43</v>
      </c>
      <c r="Q139" s="2"/>
      <c r="R139" s="9"/>
      <c r="S139" t="s">
        <v>44</v>
      </c>
      <c r="T139" t="s">
        <v>45</v>
      </c>
      <c r="U139" s="2" t="s">
        <v>583</v>
      </c>
      <c r="V139" s="9" t="s">
        <v>1108</v>
      </c>
      <c r="W139">
        <v>5.1260822611652001E+43</v>
      </c>
      <c r="X139" t="s">
        <v>46</v>
      </c>
      <c r="Y139" s="2" t="s">
        <v>717</v>
      </c>
      <c r="Z139" s="2" t="s">
        <v>718</v>
      </c>
      <c r="AA139" s="9" t="s">
        <v>715</v>
      </c>
      <c r="AC139" s="2"/>
      <c r="AD139" t="s">
        <v>7</v>
      </c>
      <c r="AE139" t="s">
        <v>1109</v>
      </c>
    </row>
    <row r="140" spans="1:31" x14ac:dyDescent="0.3">
      <c r="A140" s="17">
        <v>90739624000118</v>
      </c>
      <c r="B140" t="s">
        <v>28</v>
      </c>
      <c r="D140" t="s">
        <v>483</v>
      </c>
      <c r="E140" t="s">
        <v>2</v>
      </c>
      <c r="F140">
        <v>269308</v>
      </c>
      <c r="G140" s="1" t="s">
        <v>1110</v>
      </c>
      <c r="H140">
        <v>25035345</v>
      </c>
      <c r="I140">
        <v>67862</v>
      </c>
      <c r="J140" t="s">
        <v>288</v>
      </c>
      <c r="K140" s="17">
        <v>2162964000161</v>
      </c>
      <c r="L140" s="17">
        <v>90739624001947</v>
      </c>
      <c r="M140" s="9">
        <v>233.85</v>
      </c>
      <c r="N140" t="s">
        <v>43</v>
      </c>
      <c r="Q140" s="2"/>
      <c r="R140" s="9"/>
      <c r="S140" t="s">
        <v>44</v>
      </c>
      <c r="T140" t="s">
        <v>45</v>
      </c>
      <c r="U140" s="2" t="s">
        <v>583</v>
      </c>
      <c r="V140" s="9" t="s">
        <v>1111</v>
      </c>
      <c r="W140">
        <v>5.2260802162963999E+43</v>
      </c>
      <c r="X140" t="s">
        <v>46</v>
      </c>
      <c r="Y140" s="2" t="s">
        <v>717</v>
      </c>
      <c r="Z140" s="2" t="s">
        <v>718</v>
      </c>
      <c r="AA140" s="9" t="s">
        <v>715</v>
      </c>
      <c r="AC140" s="2"/>
      <c r="AD140" t="s">
        <v>7</v>
      </c>
      <c r="AE140" t="s">
        <v>1112</v>
      </c>
    </row>
    <row r="141" spans="1:31" x14ac:dyDescent="0.3">
      <c r="A141" s="17">
        <v>90739624000118</v>
      </c>
      <c r="B141" t="s">
        <v>36</v>
      </c>
      <c r="D141" t="s">
        <v>510</v>
      </c>
      <c r="E141" t="s">
        <v>2</v>
      </c>
      <c r="F141">
        <v>269308</v>
      </c>
      <c r="G141" s="1" t="s">
        <v>1113</v>
      </c>
      <c r="H141">
        <v>25035326</v>
      </c>
      <c r="I141">
        <v>47012</v>
      </c>
      <c r="J141" t="s">
        <v>290</v>
      </c>
      <c r="K141" s="17">
        <v>4283686000126</v>
      </c>
      <c r="L141" s="17">
        <v>90739624001947</v>
      </c>
      <c r="M141" s="9">
        <v>143.46</v>
      </c>
      <c r="N141" t="s">
        <v>43</v>
      </c>
      <c r="Q141" s="2"/>
      <c r="R141" s="9"/>
      <c r="S141" t="s">
        <v>44</v>
      </c>
      <c r="T141" t="s">
        <v>45</v>
      </c>
      <c r="U141" s="2" t="s">
        <v>583</v>
      </c>
      <c r="V141" s="9" t="s">
        <v>1114</v>
      </c>
      <c r="W141">
        <v>5.2260804283686003E+43</v>
      </c>
      <c r="X141" t="s">
        <v>46</v>
      </c>
      <c r="Y141" s="2" t="s">
        <v>717</v>
      </c>
      <c r="Z141" s="2" t="s">
        <v>718</v>
      </c>
      <c r="AA141" s="9" t="s">
        <v>715</v>
      </c>
      <c r="AC141" s="2"/>
      <c r="AD141" t="s">
        <v>7</v>
      </c>
      <c r="AE141" t="s">
        <v>1115</v>
      </c>
    </row>
    <row r="142" spans="1:31" x14ac:dyDescent="0.3">
      <c r="A142" s="17">
        <v>90739624000118</v>
      </c>
      <c r="B142" t="s">
        <v>31</v>
      </c>
      <c r="C142">
        <v>22137</v>
      </c>
      <c r="D142" t="s">
        <v>544</v>
      </c>
      <c r="E142" t="s">
        <v>2</v>
      </c>
      <c r="F142">
        <v>269308</v>
      </c>
      <c r="G142" s="1" t="s">
        <v>1116</v>
      </c>
      <c r="H142">
        <v>25035286</v>
      </c>
      <c r="I142">
        <v>16039</v>
      </c>
      <c r="J142" t="s">
        <v>142</v>
      </c>
      <c r="K142" s="17">
        <v>54494203000100</v>
      </c>
      <c r="L142" s="17">
        <v>90739624001866</v>
      </c>
      <c r="M142" s="9">
        <v>109</v>
      </c>
      <c r="N142" t="s">
        <v>43</v>
      </c>
      <c r="Q142" s="2"/>
      <c r="R142" s="9"/>
      <c r="S142" t="s">
        <v>44</v>
      </c>
      <c r="T142" t="s">
        <v>45</v>
      </c>
      <c r="U142" s="2" t="s">
        <v>1039</v>
      </c>
      <c r="V142" s="9" t="s">
        <v>1117</v>
      </c>
      <c r="W142">
        <v>5.1260854494202996E+43</v>
      </c>
      <c r="X142" t="s">
        <v>46</v>
      </c>
      <c r="Y142" s="2" t="s">
        <v>717</v>
      </c>
      <c r="Z142" s="2" t="s">
        <v>718</v>
      </c>
      <c r="AA142" s="9" t="s">
        <v>715</v>
      </c>
      <c r="AC142" s="2"/>
      <c r="AD142" t="s">
        <v>7</v>
      </c>
      <c r="AE142" t="s">
        <v>1118</v>
      </c>
    </row>
    <row r="143" spans="1:31" x14ac:dyDescent="0.3">
      <c r="A143" s="17">
        <v>90739624000118</v>
      </c>
      <c r="B143" t="s">
        <v>31</v>
      </c>
      <c r="C143">
        <v>21540</v>
      </c>
      <c r="D143" t="s">
        <v>475</v>
      </c>
      <c r="E143" t="s">
        <v>2</v>
      </c>
      <c r="F143">
        <v>269308</v>
      </c>
      <c r="G143" s="1" t="s">
        <v>1119</v>
      </c>
      <c r="H143">
        <v>25035218</v>
      </c>
      <c r="I143">
        <v>54908</v>
      </c>
      <c r="J143" t="s">
        <v>56</v>
      </c>
      <c r="K143" s="17">
        <v>8603562000212</v>
      </c>
      <c r="L143" s="17">
        <v>90739624001866</v>
      </c>
      <c r="M143" s="9">
        <v>145.24</v>
      </c>
      <c r="N143" t="s">
        <v>43</v>
      </c>
      <c r="Q143" s="2"/>
      <c r="R143" s="9"/>
      <c r="S143" t="s">
        <v>44</v>
      </c>
      <c r="T143" t="s">
        <v>45</v>
      </c>
      <c r="U143" s="2" t="s">
        <v>583</v>
      </c>
      <c r="V143" s="9" t="s">
        <v>1120</v>
      </c>
      <c r="W143">
        <v>5.1260808603562005E+43</v>
      </c>
      <c r="X143" t="s">
        <v>46</v>
      </c>
      <c r="Y143" s="2" t="s">
        <v>717</v>
      </c>
      <c r="Z143" s="2" t="s">
        <v>718</v>
      </c>
      <c r="AA143" s="9" t="s">
        <v>715</v>
      </c>
      <c r="AC143" s="2"/>
      <c r="AD143" t="s">
        <v>7</v>
      </c>
      <c r="AE143" t="s">
        <v>1121</v>
      </c>
    </row>
    <row r="144" spans="1:31" x14ac:dyDescent="0.3">
      <c r="A144" s="17">
        <v>90739624000118</v>
      </c>
      <c r="B144" t="s">
        <v>61</v>
      </c>
      <c r="D144" t="s">
        <v>350</v>
      </c>
      <c r="E144" t="s">
        <v>2</v>
      </c>
      <c r="F144">
        <v>269308</v>
      </c>
      <c r="G144" s="1" t="s">
        <v>1122</v>
      </c>
      <c r="H144">
        <v>25035172</v>
      </c>
      <c r="I144">
        <v>2537</v>
      </c>
      <c r="J144" t="s">
        <v>85</v>
      </c>
      <c r="K144" s="17">
        <v>1975878000105</v>
      </c>
      <c r="L144" s="17">
        <v>9576274000106</v>
      </c>
      <c r="M144" s="9">
        <v>513.36</v>
      </c>
      <c r="N144" t="s">
        <v>43</v>
      </c>
      <c r="Q144" s="2"/>
      <c r="R144" s="9"/>
      <c r="S144" t="s">
        <v>44</v>
      </c>
      <c r="T144" t="s">
        <v>45</v>
      </c>
      <c r="U144" s="2" t="s">
        <v>583</v>
      </c>
      <c r="V144" s="9" t="s">
        <v>1123</v>
      </c>
      <c r="W144">
        <v>4.1260801975878E+43</v>
      </c>
      <c r="X144" t="s">
        <v>46</v>
      </c>
      <c r="Y144" s="2" t="s">
        <v>717</v>
      </c>
      <c r="Z144" s="2" t="s">
        <v>718</v>
      </c>
      <c r="AA144" s="9" t="s">
        <v>715</v>
      </c>
      <c r="AC144" s="2"/>
      <c r="AD144" t="s">
        <v>7</v>
      </c>
      <c r="AE144" t="s">
        <v>1124</v>
      </c>
    </row>
    <row r="145" spans="1:31" x14ac:dyDescent="0.3">
      <c r="A145" s="17">
        <v>90739624000118</v>
      </c>
      <c r="B145" t="s">
        <v>18</v>
      </c>
      <c r="C145">
        <v>21143</v>
      </c>
      <c r="D145" t="s">
        <v>264</v>
      </c>
      <c r="E145" t="s">
        <v>2</v>
      </c>
      <c r="F145">
        <v>269308</v>
      </c>
      <c r="G145" s="1" t="s">
        <v>1125</v>
      </c>
      <c r="H145">
        <v>25034871</v>
      </c>
      <c r="I145">
        <v>19392</v>
      </c>
      <c r="J145" t="s">
        <v>393</v>
      </c>
      <c r="K145" s="17">
        <v>45585890000189</v>
      </c>
      <c r="L145" s="17">
        <v>90739624000380</v>
      </c>
      <c r="M145" s="9">
        <v>500.87</v>
      </c>
      <c r="N145" t="s">
        <v>43</v>
      </c>
      <c r="Q145" s="2"/>
      <c r="R145" s="9"/>
      <c r="S145" t="s">
        <v>44</v>
      </c>
      <c r="T145" t="s">
        <v>45</v>
      </c>
      <c r="U145" s="2" t="s">
        <v>602</v>
      </c>
      <c r="V145" s="9" t="s">
        <v>1126</v>
      </c>
      <c r="W145">
        <v>3.526084558589E+43</v>
      </c>
      <c r="X145" t="s">
        <v>46</v>
      </c>
      <c r="Y145" s="2" t="s">
        <v>717</v>
      </c>
      <c r="Z145" s="2" t="s">
        <v>718</v>
      </c>
      <c r="AA145" s="9" t="s">
        <v>715</v>
      </c>
      <c r="AC145" s="2"/>
      <c r="AD145" t="s">
        <v>7</v>
      </c>
      <c r="AE145" t="s">
        <v>1127</v>
      </c>
    </row>
    <row r="146" spans="1:31" x14ac:dyDescent="0.3">
      <c r="A146" s="17">
        <v>90739624000118</v>
      </c>
      <c r="B146" t="s">
        <v>25</v>
      </c>
      <c r="D146" t="s">
        <v>108</v>
      </c>
      <c r="E146" t="s">
        <v>2</v>
      </c>
      <c r="F146">
        <v>269308</v>
      </c>
      <c r="G146" s="1" t="s">
        <v>1128</v>
      </c>
      <c r="H146">
        <v>25034863</v>
      </c>
      <c r="I146">
        <v>30818</v>
      </c>
      <c r="J146" t="s">
        <v>149</v>
      </c>
      <c r="K146" s="17">
        <v>8512459000186</v>
      </c>
      <c r="L146" s="17">
        <v>90739624001866</v>
      </c>
      <c r="M146" s="9">
        <v>109.65</v>
      </c>
      <c r="N146" t="s">
        <v>43</v>
      </c>
      <c r="Q146" s="2"/>
      <c r="R146" s="9"/>
      <c r="S146" t="s">
        <v>44</v>
      </c>
      <c r="T146" t="s">
        <v>45</v>
      </c>
      <c r="U146" s="2" t="s">
        <v>583</v>
      </c>
      <c r="V146" s="9" t="s">
        <v>1129</v>
      </c>
      <c r="W146">
        <v>5.1260808512458996E+43</v>
      </c>
      <c r="X146" t="s">
        <v>46</v>
      </c>
      <c r="Y146" s="2" t="s">
        <v>717</v>
      </c>
      <c r="Z146" s="2" t="s">
        <v>718</v>
      </c>
      <c r="AA146" s="9" t="s">
        <v>715</v>
      </c>
      <c r="AC146" s="2"/>
      <c r="AD146" t="s">
        <v>7</v>
      </c>
      <c r="AE146" t="s">
        <v>1130</v>
      </c>
    </row>
    <row r="147" spans="1:31" x14ac:dyDescent="0.3">
      <c r="A147" s="17">
        <v>90739624000118</v>
      </c>
      <c r="B147" t="s">
        <v>61</v>
      </c>
      <c r="C147">
        <v>24141</v>
      </c>
      <c r="D147" t="s">
        <v>499</v>
      </c>
      <c r="E147" t="s">
        <v>2</v>
      </c>
      <c r="F147">
        <v>269308</v>
      </c>
      <c r="G147" s="1" t="s">
        <v>1131</v>
      </c>
      <c r="H147">
        <v>25034817</v>
      </c>
      <c r="I147">
        <v>820756</v>
      </c>
      <c r="J147" t="s">
        <v>62</v>
      </c>
      <c r="K147" s="17">
        <v>79964177000591</v>
      </c>
      <c r="L147" s="17">
        <v>9576274000106</v>
      </c>
      <c r="M147" s="9">
        <v>822.03</v>
      </c>
      <c r="N147" t="s">
        <v>43</v>
      </c>
      <c r="Q147" s="2"/>
      <c r="R147" s="9"/>
      <c r="S147" t="s">
        <v>44</v>
      </c>
      <c r="T147" t="s">
        <v>45</v>
      </c>
      <c r="U147" s="2" t="s">
        <v>583</v>
      </c>
      <c r="V147" s="9" t="s">
        <v>1132</v>
      </c>
      <c r="W147">
        <v>4.1260879964176998E+43</v>
      </c>
      <c r="X147" t="s">
        <v>46</v>
      </c>
      <c r="Y147" s="2" t="s">
        <v>717</v>
      </c>
      <c r="Z147" s="2" t="s">
        <v>718</v>
      </c>
      <c r="AA147" s="9" t="s">
        <v>715</v>
      </c>
      <c r="AC147" s="2"/>
      <c r="AD147" t="s">
        <v>7</v>
      </c>
      <c r="AE147" t="s">
        <v>1133</v>
      </c>
    </row>
    <row r="148" spans="1:31" x14ac:dyDescent="0.3">
      <c r="A148" s="17">
        <v>90739624000118</v>
      </c>
      <c r="B148" t="s">
        <v>25</v>
      </c>
      <c r="D148" t="s">
        <v>650</v>
      </c>
      <c r="E148" t="s">
        <v>2</v>
      </c>
      <c r="F148">
        <v>269308</v>
      </c>
      <c r="G148" s="1" t="s">
        <v>1134</v>
      </c>
      <c r="H148">
        <v>25034785</v>
      </c>
      <c r="J148" t="s">
        <v>32</v>
      </c>
      <c r="K148" s="17">
        <v>9001879002619</v>
      </c>
      <c r="L148" s="17"/>
      <c r="M148" s="9">
        <v>325.27999999999997</v>
      </c>
      <c r="N148" t="s">
        <v>43</v>
      </c>
      <c r="Q148" s="2"/>
      <c r="R148" s="9"/>
      <c r="S148" t="s">
        <v>87</v>
      </c>
      <c r="U148" s="2"/>
      <c r="V148" s="9"/>
      <c r="X148" t="s">
        <v>88</v>
      </c>
      <c r="Y148" s="2" t="s">
        <v>717</v>
      </c>
      <c r="Z148" s="2" t="s">
        <v>718</v>
      </c>
      <c r="AA148" s="9" t="s">
        <v>715</v>
      </c>
      <c r="AC148" s="2"/>
      <c r="AD148" t="s">
        <v>7</v>
      </c>
    </row>
    <row r="149" spans="1:31" x14ac:dyDescent="0.3">
      <c r="A149" s="17">
        <v>90739624000118</v>
      </c>
      <c r="B149" t="s">
        <v>13</v>
      </c>
      <c r="C149">
        <v>26010</v>
      </c>
      <c r="D149" t="s">
        <v>336</v>
      </c>
      <c r="E149" t="s">
        <v>2</v>
      </c>
      <c r="F149">
        <v>269308</v>
      </c>
      <c r="G149" s="1" t="s">
        <v>1136</v>
      </c>
      <c r="H149">
        <v>25034710</v>
      </c>
      <c r="I149">
        <v>117447</v>
      </c>
      <c r="J149" t="s">
        <v>340</v>
      </c>
      <c r="K149" s="17">
        <v>29127799000163</v>
      </c>
      <c r="L149" s="17">
        <v>90739624000380</v>
      </c>
      <c r="M149" s="9">
        <v>228</v>
      </c>
      <c r="N149" t="s">
        <v>43</v>
      </c>
      <c r="Q149" s="2"/>
      <c r="R149" s="9"/>
      <c r="S149" t="s">
        <v>44</v>
      </c>
      <c r="T149" t="s">
        <v>45</v>
      </c>
      <c r="U149" s="2" t="s">
        <v>583</v>
      </c>
      <c r="V149" s="9" t="s">
        <v>1137</v>
      </c>
      <c r="W149">
        <v>3.5260829127798998E+43</v>
      </c>
      <c r="X149" t="s">
        <v>46</v>
      </c>
      <c r="Y149" s="2" t="s">
        <v>717</v>
      </c>
      <c r="Z149" s="2" t="s">
        <v>718</v>
      </c>
      <c r="AA149" s="9" t="s">
        <v>715</v>
      </c>
      <c r="AC149" s="2"/>
      <c r="AD149" t="s">
        <v>7</v>
      </c>
      <c r="AE149" t="s">
        <v>1138</v>
      </c>
    </row>
    <row r="150" spans="1:31" x14ac:dyDescent="0.3">
      <c r="A150" s="17">
        <v>90739624000118</v>
      </c>
      <c r="B150" t="s">
        <v>8</v>
      </c>
      <c r="D150" t="s">
        <v>9</v>
      </c>
      <c r="E150" t="s">
        <v>2</v>
      </c>
      <c r="F150">
        <v>269308</v>
      </c>
      <c r="G150" s="1" t="s">
        <v>1139</v>
      </c>
      <c r="H150">
        <v>25034532</v>
      </c>
      <c r="I150">
        <v>4430</v>
      </c>
      <c r="J150" t="s">
        <v>10</v>
      </c>
      <c r="K150" s="17">
        <v>33286065000102</v>
      </c>
      <c r="L150" s="17">
        <v>9576274000106</v>
      </c>
      <c r="M150" s="9">
        <v>1472.34</v>
      </c>
      <c r="N150" t="s">
        <v>43</v>
      </c>
      <c r="Q150" s="2"/>
      <c r="R150" s="9"/>
      <c r="S150" t="s">
        <v>44</v>
      </c>
      <c r="T150" t="s">
        <v>45</v>
      </c>
      <c r="U150" s="2" t="s">
        <v>583</v>
      </c>
      <c r="V150" s="9" t="s">
        <v>1140</v>
      </c>
      <c r="W150">
        <v>4.1260833286065001E+43</v>
      </c>
      <c r="X150" t="s">
        <v>46</v>
      </c>
      <c r="Y150" s="2" t="s">
        <v>717</v>
      </c>
      <c r="Z150" s="2" t="s">
        <v>718</v>
      </c>
      <c r="AA150" s="9" t="s">
        <v>715</v>
      </c>
      <c r="AC150" s="2"/>
      <c r="AD150" t="s">
        <v>7</v>
      </c>
      <c r="AE150" t="s">
        <v>1141</v>
      </c>
    </row>
    <row r="151" spans="1:31" x14ac:dyDescent="0.3">
      <c r="A151" s="17">
        <v>90739624000118</v>
      </c>
      <c r="B151" t="s">
        <v>8</v>
      </c>
      <c r="D151" t="s">
        <v>9</v>
      </c>
      <c r="E151" t="s">
        <v>17</v>
      </c>
      <c r="F151">
        <v>269308</v>
      </c>
      <c r="G151" s="1" t="s">
        <v>1142</v>
      </c>
      <c r="H151">
        <v>25034512</v>
      </c>
      <c r="I151">
        <v>4429</v>
      </c>
      <c r="J151" t="s">
        <v>10</v>
      </c>
      <c r="K151" s="17">
        <v>33286065000102</v>
      </c>
      <c r="L151" s="17">
        <v>9576274000106</v>
      </c>
      <c r="M151" s="9">
        <v>56.65</v>
      </c>
      <c r="N151" t="s">
        <v>43</v>
      </c>
      <c r="Q151" s="2"/>
      <c r="R151" s="9"/>
      <c r="S151" t="s">
        <v>44</v>
      </c>
      <c r="T151" t="s">
        <v>45</v>
      </c>
      <c r="U151" s="2" t="s">
        <v>583</v>
      </c>
      <c r="V151" s="9" t="s">
        <v>1143</v>
      </c>
      <c r="W151">
        <v>4.1260833286065001E+43</v>
      </c>
      <c r="X151" t="s">
        <v>46</v>
      </c>
      <c r="Y151" s="2" t="s">
        <v>717</v>
      </c>
      <c r="Z151" s="2" t="s">
        <v>718</v>
      </c>
      <c r="AA151" s="9" t="s">
        <v>715</v>
      </c>
      <c r="AC151" s="2"/>
      <c r="AD151" t="s">
        <v>7</v>
      </c>
      <c r="AE151" t="s">
        <v>1144</v>
      </c>
    </row>
    <row r="152" spans="1:31" x14ac:dyDescent="0.3">
      <c r="A152" s="17">
        <v>90739624000118</v>
      </c>
      <c r="B152" t="s">
        <v>8</v>
      </c>
      <c r="C152">
        <v>26249</v>
      </c>
      <c r="D152" t="s">
        <v>76</v>
      </c>
      <c r="E152" t="s">
        <v>2</v>
      </c>
      <c r="F152">
        <v>269308</v>
      </c>
      <c r="G152" s="1" t="s">
        <v>1145</v>
      </c>
      <c r="H152">
        <v>25034348</v>
      </c>
      <c r="I152">
        <v>4428</v>
      </c>
      <c r="J152" t="s">
        <v>10</v>
      </c>
      <c r="K152" s="17">
        <v>33286065000102</v>
      </c>
      <c r="L152" s="17">
        <v>9576274000106</v>
      </c>
      <c r="M152" s="9">
        <v>584.07000000000005</v>
      </c>
      <c r="N152" t="s">
        <v>43</v>
      </c>
      <c r="Q152" s="2"/>
      <c r="R152" s="9"/>
      <c r="S152" t="s">
        <v>44</v>
      </c>
      <c r="T152" t="s">
        <v>45</v>
      </c>
      <c r="U152" s="2" t="s">
        <v>583</v>
      </c>
      <c r="V152" s="9" t="s">
        <v>1146</v>
      </c>
      <c r="W152">
        <v>4.1260833286065001E+43</v>
      </c>
      <c r="X152" t="s">
        <v>46</v>
      </c>
      <c r="Y152" s="2" t="s">
        <v>717</v>
      </c>
      <c r="Z152" s="2" t="s">
        <v>718</v>
      </c>
      <c r="AA152" s="9" t="s">
        <v>715</v>
      </c>
      <c r="AC152" s="2"/>
      <c r="AD152" t="s">
        <v>7</v>
      </c>
      <c r="AE152" t="s">
        <v>1147</v>
      </c>
    </row>
    <row r="153" spans="1:31" x14ac:dyDescent="0.3">
      <c r="A153" s="17">
        <v>90739624000118</v>
      </c>
      <c r="B153" t="s">
        <v>31</v>
      </c>
      <c r="D153" t="s">
        <v>273</v>
      </c>
      <c r="E153" t="s">
        <v>2</v>
      </c>
      <c r="F153">
        <v>269308</v>
      </c>
      <c r="G153" s="1" t="s">
        <v>1148</v>
      </c>
      <c r="H153">
        <v>25034195</v>
      </c>
      <c r="I153">
        <v>56090</v>
      </c>
      <c r="J153" t="s">
        <v>504</v>
      </c>
      <c r="K153" s="17">
        <v>8603562002002</v>
      </c>
      <c r="L153" s="17">
        <v>90739624001866</v>
      </c>
      <c r="M153" s="9">
        <v>138.29</v>
      </c>
      <c r="N153" t="s">
        <v>43</v>
      </c>
      <c r="Q153" s="2"/>
      <c r="R153" s="9"/>
      <c r="S153" t="s">
        <v>44</v>
      </c>
      <c r="T153" t="s">
        <v>45</v>
      </c>
      <c r="U153" s="2" t="s">
        <v>583</v>
      </c>
      <c r="V153" s="9" t="s">
        <v>1149</v>
      </c>
      <c r="W153">
        <v>5.1260808603562005E+43</v>
      </c>
      <c r="X153" t="s">
        <v>46</v>
      </c>
      <c r="Y153" s="2" t="s">
        <v>717</v>
      </c>
      <c r="Z153" s="2" t="s">
        <v>718</v>
      </c>
      <c r="AA153" s="9" t="s">
        <v>715</v>
      </c>
      <c r="AC153" s="2"/>
      <c r="AD153" t="s">
        <v>7</v>
      </c>
      <c r="AE153" t="s">
        <v>1150</v>
      </c>
    </row>
    <row r="154" spans="1:31" x14ac:dyDescent="0.3">
      <c r="A154" s="17">
        <v>90739624000118</v>
      </c>
      <c r="B154" t="s">
        <v>58</v>
      </c>
      <c r="C154">
        <v>24800</v>
      </c>
      <c r="D154" t="s">
        <v>539</v>
      </c>
      <c r="E154" t="s">
        <v>2</v>
      </c>
      <c r="F154">
        <v>269308</v>
      </c>
      <c r="G154" s="1" t="s">
        <v>1151</v>
      </c>
      <c r="H154">
        <v>25034185</v>
      </c>
      <c r="J154" t="s">
        <v>1152</v>
      </c>
      <c r="K154" s="17">
        <v>17695813000146</v>
      </c>
      <c r="L154" s="17"/>
      <c r="M154" s="9">
        <v>906.81</v>
      </c>
      <c r="N154" t="s">
        <v>43</v>
      </c>
      <c r="Q154" s="2"/>
      <c r="R154" s="9"/>
      <c r="S154" t="s">
        <v>87</v>
      </c>
      <c r="U154" s="2"/>
      <c r="V154" s="9"/>
      <c r="X154" t="s">
        <v>88</v>
      </c>
      <c r="Y154" s="2" t="s">
        <v>717</v>
      </c>
      <c r="Z154" s="2" t="s">
        <v>718</v>
      </c>
      <c r="AA154" s="9" t="s">
        <v>715</v>
      </c>
      <c r="AC154" s="2"/>
      <c r="AD154" t="s">
        <v>7</v>
      </c>
    </row>
    <row r="155" spans="1:31" x14ac:dyDescent="0.3">
      <c r="A155" s="17">
        <v>90739624000118</v>
      </c>
      <c r="B155" t="s">
        <v>28</v>
      </c>
      <c r="D155" t="s">
        <v>511</v>
      </c>
      <c r="E155" t="s">
        <v>2</v>
      </c>
      <c r="F155">
        <v>269308</v>
      </c>
      <c r="G155" s="1" t="s">
        <v>1154</v>
      </c>
      <c r="H155">
        <v>25033965</v>
      </c>
      <c r="I155">
        <v>113361</v>
      </c>
      <c r="J155" t="s">
        <v>29</v>
      </c>
      <c r="K155" s="17">
        <v>47377960000139</v>
      </c>
      <c r="L155" s="17">
        <v>90739624001947</v>
      </c>
      <c r="M155" s="9">
        <v>131.57</v>
      </c>
      <c r="N155" t="s">
        <v>43</v>
      </c>
      <c r="Q155" s="2"/>
      <c r="R155" s="9"/>
      <c r="S155" t="s">
        <v>44</v>
      </c>
      <c r="T155" t="s">
        <v>45</v>
      </c>
      <c r="U155" s="2" t="s">
        <v>583</v>
      </c>
      <c r="V155" s="9" t="s">
        <v>1155</v>
      </c>
      <c r="W155">
        <v>5.2260847377959996E+43</v>
      </c>
      <c r="X155" t="s">
        <v>46</v>
      </c>
      <c r="Y155" s="2" t="s">
        <v>717</v>
      </c>
      <c r="Z155" s="2" t="s">
        <v>718</v>
      </c>
      <c r="AA155" s="9" t="s">
        <v>715</v>
      </c>
      <c r="AC155" s="2"/>
      <c r="AD155" t="s">
        <v>7</v>
      </c>
      <c r="AE155" t="s">
        <v>1156</v>
      </c>
    </row>
    <row r="156" spans="1:31" x14ac:dyDescent="0.3">
      <c r="A156" s="17">
        <v>90739624000118</v>
      </c>
      <c r="B156" t="s">
        <v>11</v>
      </c>
      <c r="D156" t="s">
        <v>116</v>
      </c>
      <c r="E156" t="s">
        <v>2</v>
      </c>
      <c r="F156">
        <v>269308</v>
      </c>
      <c r="G156" s="1" t="s">
        <v>1157</v>
      </c>
      <c r="H156">
        <v>25033904</v>
      </c>
      <c r="I156">
        <v>4422</v>
      </c>
      <c r="J156" t="s">
        <v>95</v>
      </c>
      <c r="K156" s="17">
        <v>37489429000102</v>
      </c>
      <c r="L156" s="17">
        <v>90739624001947</v>
      </c>
      <c r="M156" s="9">
        <v>190.77</v>
      </c>
      <c r="N156" t="s">
        <v>43</v>
      </c>
      <c r="Q156" s="2"/>
      <c r="R156" s="9"/>
      <c r="S156" t="s">
        <v>44</v>
      </c>
      <c r="T156" t="s">
        <v>45</v>
      </c>
      <c r="U156" s="2" t="s">
        <v>583</v>
      </c>
      <c r="V156" s="9" t="s">
        <v>1158</v>
      </c>
      <c r="W156">
        <v>5.2260837489428997E+43</v>
      </c>
      <c r="X156" t="s">
        <v>46</v>
      </c>
      <c r="Y156" s="2" t="s">
        <v>717</v>
      </c>
      <c r="Z156" s="2" t="s">
        <v>718</v>
      </c>
      <c r="AA156" s="9" t="s">
        <v>715</v>
      </c>
      <c r="AC156" s="2"/>
      <c r="AD156" t="s">
        <v>7</v>
      </c>
      <c r="AE156" t="s">
        <v>1159</v>
      </c>
    </row>
    <row r="157" spans="1:31" x14ac:dyDescent="0.3">
      <c r="A157" s="17">
        <v>90739624000118</v>
      </c>
      <c r="B157" t="s">
        <v>58</v>
      </c>
      <c r="C157">
        <v>25078</v>
      </c>
      <c r="D157" t="s">
        <v>612</v>
      </c>
      <c r="E157" t="s">
        <v>2</v>
      </c>
      <c r="F157">
        <v>269308</v>
      </c>
      <c r="G157" s="1" t="s">
        <v>1160</v>
      </c>
      <c r="H157">
        <v>25033474</v>
      </c>
      <c r="J157" t="s">
        <v>1161</v>
      </c>
      <c r="K157" s="17">
        <v>7473735006708</v>
      </c>
      <c r="L157" s="17"/>
      <c r="M157" s="9">
        <v>247.59</v>
      </c>
      <c r="N157" t="s">
        <v>43</v>
      </c>
      <c r="Q157" s="2"/>
      <c r="R157" s="9"/>
      <c r="S157" t="s">
        <v>87</v>
      </c>
      <c r="U157" s="2"/>
      <c r="V157" s="9"/>
      <c r="X157" t="s">
        <v>88</v>
      </c>
      <c r="Y157" s="2" t="s">
        <v>717</v>
      </c>
      <c r="Z157" s="2" t="s">
        <v>718</v>
      </c>
      <c r="AA157" s="9" t="s">
        <v>715</v>
      </c>
      <c r="AC157" s="2"/>
      <c r="AD157" t="s">
        <v>7</v>
      </c>
    </row>
    <row r="158" spans="1:31" x14ac:dyDescent="0.3">
      <c r="A158" s="17">
        <v>90739624000118</v>
      </c>
      <c r="B158" t="s">
        <v>36</v>
      </c>
      <c r="C158">
        <v>23192</v>
      </c>
      <c r="D158" t="s">
        <v>305</v>
      </c>
      <c r="E158" t="s">
        <v>2</v>
      </c>
      <c r="F158">
        <v>269308</v>
      </c>
      <c r="G158" s="1" t="s">
        <v>1163</v>
      </c>
      <c r="H158">
        <v>25033406</v>
      </c>
      <c r="I158">
        <v>4243</v>
      </c>
      <c r="J158" t="s">
        <v>186</v>
      </c>
      <c r="K158" s="17">
        <v>7822636000168</v>
      </c>
      <c r="L158" s="17">
        <v>90739624004458</v>
      </c>
      <c r="M158" s="9">
        <v>271.97000000000003</v>
      </c>
      <c r="N158" t="s">
        <v>43</v>
      </c>
      <c r="Q158" s="2"/>
      <c r="R158" s="9"/>
      <c r="S158" t="s">
        <v>44</v>
      </c>
      <c r="T158" t="s">
        <v>45</v>
      </c>
      <c r="U158" s="2" t="s">
        <v>583</v>
      </c>
      <c r="V158" s="9" t="s">
        <v>1164</v>
      </c>
      <c r="W158">
        <v>5.3260807822636003E+43</v>
      </c>
      <c r="X158" t="s">
        <v>46</v>
      </c>
      <c r="Y158" s="2" t="s">
        <v>717</v>
      </c>
      <c r="Z158" s="2" t="s">
        <v>718</v>
      </c>
      <c r="AA158" s="9" t="s">
        <v>715</v>
      </c>
      <c r="AC158" s="2"/>
      <c r="AD158" t="s">
        <v>7</v>
      </c>
      <c r="AE158" t="s">
        <v>1165</v>
      </c>
    </row>
    <row r="159" spans="1:31" x14ac:dyDescent="0.3">
      <c r="A159" s="17">
        <v>90739624000118</v>
      </c>
      <c r="B159" t="s">
        <v>0</v>
      </c>
      <c r="D159" t="s">
        <v>284</v>
      </c>
      <c r="E159" t="s">
        <v>17</v>
      </c>
      <c r="F159">
        <v>269308</v>
      </c>
      <c r="G159" s="1" t="s">
        <v>1166</v>
      </c>
      <c r="H159">
        <v>25033177</v>
      </c>
      <c r="I159">
        <v>35557</v>
      </c>
      <c r="J159" t="s">
        <v>200</v>
      </c>
      <c r="K159" s="17">
        <v>4308884000520</v>
      </c>
      <c r="L159" s="17">
        <v>90739624001432</v>
      </c>
      <c r="M159" s="9">
        <v>77.95</v>
      </c>
      <c r="N159" t="s">
        <v>43</v>
      </c>
      <c r="Q159" s="2"/>
      <c r="R159" s="9"/>
      <c r="S159" t="s">
        <v>44</v>
      </c>
      <c r="T159" t="s">
        <v>45</v>
      </c>
      <c r="U159" s="2" t="s">
        <v>583</v>
      </c>
      <c r="V159" s="9" t="s">
        <v>1167</v>
      </c>
      <c r="W159">
        <v>4.2260804308884001E+43</v>
      </c>
      <c r="X159" t="s">
        <v>46</v>
      </c>
      <c r="Y159" s="2" t="s">
        <v>717</v>
      </c>
      <c r="Z159" s="2" t="s">
        <v>718</v>
      </c>
      <c r="AA159" s="9" t="s">
        <v>715</v>
      </c>
      <c r="AC159" s="2"/>
      <c r="AD159" t="s">
        <v>7</v>
      </c>
      <c r="AE159" t="s">
        <v>1168</v>
      </c>
    </row>
    <row r="160" spans="1:31" x14ac:dyDescent="0.3">
      <c r="A160" s="17">
        <v>90739624000118</v>
      </c>
      <c r="B160" t="s">
        <v>63</v>
      </c>
      <c r="D160" t="s">
        <v>743</v>
      </c>
      <c r="E160" t="s">
        <v>17</v>
      </c>
      <c r="F160">
        <v>269308</v>
      </c>
      <c r="G160" s="1" t="s">
        <v>1169</v>
      </c>
      <c r="H160">
        <v>25033135</v>
      </c>
      <c r="I160">
        <v>179537</v>
      </c>
      <c r="J160" t="s">
        <v>64</v>
      </c>
      <c r="K160" s="17">
        <v>23448964001921</v>
      </c>
      <c r="L160" s="17">
        <v>90739624001432</v>
      </c>
      <c r="M160" s="9">
        <v>19.95</v>
      </c>
      <c r="N160" t="s">
        <v>43</v>
      </c>
      <c r="Q160" s="2"/>
      <c r="R160" s="9"/>
      <c r="S160" t="s">
        <v>44</v>
      </c>
      <c r="T160" t="s">
        <v>45</v>
      </c>
      <c r="U160" s="2" t="s">
        <v>583</v>
      </c>
      <c r="V160" s="9" t="s">
        <v>1170</v>
      </c>
      <c r="W160">
        <v>4.2260823448963998E+43</v>
      </c>
      <c r="X160" t="s">
        <v>46</v>
      </c>
      <c r="Y160" s="2" t="s">
        <v>717</v>
      </c>
      <c r="Z160" s="2" t="s">
        <v>718</v>
      </c>
      <c r="AA160" s="9" t="s">
        <v>715</v>
      </c>
      <c r="AC160" s="2"/>
      <c r="AD160" t="s">
        <v>7</v>
      </c>
      <c r="AE160" t="s">
        <v>1171</v>
      </c>
    </row>
    <row r="161" spans="1:31" x14ac:dyDescent="0.3">
      <c r="A161" s="17">
        <v>90739624000118</v>
      </c>
      <c r="B161" t="s">
        <v>120</v>
      </c>
      <c r="C161">
        <v>26017</v>
      </c>
      <c r="D161" t="s">
        <v>215</v>
      </c>
      <c r="E161" t="s">
        <v>17</v>
      </c>
      <c r="F161">
        <v>269308</v>
      </c>
      <c r="G161" s="1" t="s">
        <v>1172</v>
      </c>
      <c r="H161">
        <v>25033107</v>
      </c>
      <c r="I161">
        <v>61214</v>
      </c>
      <c r="J161" t="s">
        <v>150</v>
      </c>
      <c r="K161" s="17">
        <v>27643038000139</v>
      </c>
      <c r="L161" s="17">
        <v>90739624001432</v>
      </c>
      <c r="M161" s="9">
        <v>54.43</v>
      </c>
      <c r="N161" t="s">
        <v>43</v>
      </c>
      <c r="Q161" s="2"/>
      <c r="R161" s="9"/>
      <c r="S161" t="s">
        <v>44</v>
      </c>
      <c r="T161" t="s">
        <v>45</v>
      </c>
      <c r="U161" s="2" t="s">
        <v>583</v>
      </c>
      <c r="V161" s="9" t="s">
        <v>1173</v>
      </c>
      <c r="W161">
        <v>4.2260827643038002E+43</v>
      </c>
      <c r="X161" t="s">
        <v>46</v>
      </c>
      <c r="Y161" s="2" t="s">
        <v>717</v>
      </c>
      <c r="Z161" s="2" t="s">
        <v>718</v>
      </c>
      <c r="AA161" s="9" t="s">
        <v>715</v>
      </c>
      <c r="AC161" s="2"/>
      <c r="AD161" t="s">
        <v>7</v>
      </c>
      <c r="AE161" t="s">
        <v>1174</v>
      </c>
    </row>
    <row r="162" spans="1:31" x14ac:dyDescent="0.3">
      <c r="A162" s="17">
        <v>90739624000118</v>
      </c>
      <c r="B162" t="s">
        <v>63</v>
      </c>
      <c r="D162" t="s">
        <v>743</v>
      </c>
      <c r="E162" t="s">
        <v>2</v>
      </c>
      <c r="F162">
        <v>269308</v>
      </c>
      <c r="G162" s="1" t="s">
        <v>1175</v>
      </c>
      <c r="H162">
        <v>25033102</v>
      </c>
      <c r="I162">
        <v>179536</v>
      </c>
      <c r="J162" t="s">
        <v>64</v>
      </c>
      <c r="K162" s="17">
        <v>23448964001921</v>
      </c>
      <c r="L162" s="17">
        <v>90739624001432</v>
      </c>
      <c r="M162" s="9">
        <v>495.77</v>
      </c>
      <c r="N162" t="s">
        <v>43</v>
      </c>
      <c r="Q162" s="2"/>
      <c r="R162" s="9"/>
      <c r="S162" t="s">
        <v>44</v>
      </c>
      <c r="T162" t="s">
        <v>45</v>
      </c>
      <c r="U162" s="2" t="s">
        <v>583</v>
      </c>
      <c r="V162" s="9" t="s">
        <v>1176</v>
      </c>
      <c r="W162">
        <v>4.2260823448963998E+43</v>
      </c>
      <c r="X162" t="s">
        <v>46</v>
      </c>
      <c r="Y162" s="2" t="s">
        <v>717</v>
      </c>
      <c r="Z162" s="2" t="s">
        <v>718</v>
      </c>
      <c r="AA162" s="9" t="s">
        <v>715</v>
      </c>
      <c r="AC162" s="2"/>
      <c r="AD162" t="s">
        <v>7</v>
      </c>
      <c r="AE162" t="s">
        <v>1177</v>
      </c>
    </row>
    <row r="163" spans="1:31" x14ac:dyDescent="0.3">
      <c r="A163" s="17">
        <v>90739624000118</v>
      </c>
      <c r="B163" t="s">
        <v>63</v>
      </c>
      <c r="D163" t="s">
        <v>104</v>
      </c>
      <c r="E163" t="s">
        <v>17</v>
      </c>
      <c r="F163">
        <v>269308</v>
      </c>
      <c r="G163" s="1" t="s">
        <v>1178</v>
      </c>
      <c r="H163">
        <v>25033098</v>
      </c>
      <c r="I163">
        <v>168646</v>
      </c>
      <c r="J163" t="s">
        <v>42</v>
      </c>
      <c r="K163" s="17">
        <v>82156977000248</v>
      </c>
      <c r="L163" s="17">
        <v>90739624001432</v>
      </c>
      <c r="M163" s="9">
        <v>48.3</v>
      </c>
      <c r="N163" t="s">
        <v>43</v>
      </c>
      <c r="Q163" s="2"/>
      <c r="R163" s="9"/>
      <c r="S163" t="s">
        <v>44</v>
      </c>
      <c r="T163" t="s">
        <v>45</v>
      </c>
      <c r="U163" s="2" t="s">
        <v>583</v>
      </c>
      <c r="V163" s="9" t="s">
        <v>1179</v>
      </c>
      <c r="W163">
        <v>4.2260882156977001E+43</v>
      </c>
      <c r="X163" t="s">
        <v>46</v>
      </c>
      <c r="Y163" s="2" t="s">
        <v>717</v>
      </c>
      <c r="Z163" s="2" t="s">
        <v>718</v>
      </c>
      <c r="AA163" s="9" t="s">
        <v>715</v>
      </c>
      <c r="AC163" s="2"/>
      <c r="AD163" t="s">
        <v>7</v>
      </c>
      <c r="AE163" t="s">
        <v>1180</v>
      </c>
    </row>
    <row r="164" spans="1:31" x14ac:dyDescent="0.3">
      <c r="A164" s="17">
        <v>90739624000118</v>
      </c>
      <c r="B164" t="s">
        <v>120</v>
      </c>
      <c r="C164">
        <v>26017</v>
      </c>
      <c r="D164" t="s">
        <v>215</v>
      </c>
      <c r="E164" t="s">
        <v>2</v>
      </c>
      <c r="F164">
        <v>269308</v>
      </c>
      <c r="G164" s="1" t="s">
        <v>1181</v>
      </c>
      <c r="H164">
        <v>25033091</v>
      </c>
      <c r="I164">
        <v>61213</v>
      </c>
      <c r="J164" t="s">
        <v>150</v>
      </c>
      <c r="K164" s="17">
        <v>27643038000139</v>
      </c>
      <c r="L164" s="17">
        <v>90739624001432</v>
      </c>
      <c r="M164" s="9">
        <v>723.09</v>
      </c>
      <c r="N164" t="s">
        <v>43</v>
      </c>
      <c r="Q164" s="2"/>
      <c r="R164" s="9"/>
      <c r="S164" t="s">
        <v>44</v>
      </c>
      <c r="T164" t="s">
        <v>45</v>
      </c>
      <c r="U164" s="2" t="s">
        <v>583</v>
      </c>
      <c r="V164" s="9" t="s">
        <v>1182</v>
      </c>
      <c r="W164">
        <v>4.2260827643038002E+43</v>
      </c>
      <c r="X164" t="s">
        <v>46</v>
      </c>
      <c r="Y164" s="2" t="s">
        <v>717</v>
      </c>
      <c r="Z164" s="2" t="s">
        <v>718</v>
      </c>
      <c r="AA164" s="9" t="s">
        <v>715</v>
      </c>
      <c r="AC164" s="2"/>
      <c r="AD164" t="s">
        <v>7</v>
      </c>
      <c r="AE164" t="s">
        <v>1183</v>
      </c>
    </row>
    <row r="165" spans="1:31" x14ac:dyDescent="0.3">
      <c r="A165" s="17">
        <v>90739624000118</v>
      </c>
      <c r="B165" t="s">
        <v>0</v>
      </c>
      <c r="D165" t="s">
        <v>284</v>
      </c>
      <c r="E165" t="s">
        <v>2</v>
      </c>
      <c r="F165">
        <v>269308</v>
      </c>
      <c r="G165" s="1" t="s">
        <v>1184</v>
      </c>
      <c r="H165">
        <v>25033086</v>
      </c>
      <c r="I165">
        <v>35553</v>
      </c>
      <c r="J165" t="s">
        <v>200</v>
      </c>
      <c r="K165" s="17">
        <v>4308884000520</v>
      </c>
      <c r="L165" s="17">
        <v>90739624001432</v>
      </c>
      <c r="M165" s="9">
        <v>1346.97</v>
      </c>
      <c r="N165" t="s">
        <v>43</v>
      </c>
      <c r="Q165" s="2"/>
      <c r="R165" s="9"/>
      <c r="S165" t="s">
        <v>44</v>
      </c>
      <c r="T165" t="s">
        <v>45</v>
      </c>
      <c r="U165" s="2" t="s">
        <v>583</v>
      </c>
      <c r="V165" s="9" t="s">
        <v>1185</v>
      </c>
      <c r="W165">
        <v>4.2260804308884001E+43</v>
      </c>
      <c r="X165" t="s">
        <v>46</v>
      </c>
      <c r="Y165" s="2" t="s">
        <v>717</v>
      </c>
      <c r="Z165" s="2" t="s">
        <v>718</v>
      </c>
      <c r="AA165" s="9" t="s">
        <v>715</v>
      </c>
      <c r="AC165" s="2"/>
      <c r="AD165" t="s">
        <v>7</v>
      </c>
      <c r="AE165" t="s">
        <v>1186</v>
      </c>
    </row>
    <row r="166" spans="1:31" x14ac:dyDescent="0.3">
      <c r="A166" s="17">
        <v>90739624000118</v>
      </c>
      <c r="B166" t="s">
        <v>63</v>
      </c>
      <c r="D166" t="s">
        <v>104</v>
      </c>
      <c r="E166" t="s">
        <v>2</v>
      </c>
      <c r="F166">
        <v>269308</v>
      </c>
      <c r="G166" s="1" t="s">
        <v>1187</v>
      </c>
      <c r="H166">
        <v>25033082</v>
      </c>
      <c r="I166">
        <v>168645</v>
      </c>
      <c r="J166" t="s">
        <v>42</v>
      </c>
      <c r="K166" s="17">
        <v>82156977000248</v>
      </c>
      <c r="L166" s="17">
        <v>90739624001432</v>
      </c>
      <c r="M166" s="9">
        <v>1229.68</v>
      </c>
      <c r="N166" t="s">
        <v>43</v>
      </c>
      <c r="Q166" s="2"/>
      <c r="R166" s="9"/>
      <c r="S166" t="s">
        <v>44</v>
      </c>
      <c r="T166" t="s">
        <v>45</v>
      </c>
      <c r="U166" s="2" t="s">
        <v>583</v>
      </c>
      <c r="V166" s="9" t="s">
        <v>1188</v>
      </c>
      <c r="W166">
        <v>4.2260882156977001E+43</v>
      </c>
      <c r="X166" t="s">
        <v>46</v>
      </c>
      <c r="Y166" s="2" t="s">
        <v>717</v>
      </c>
      <c r="Z166" s="2" t="s">
        <v>718</v>
      </c>
      <c r="AA166" s="9" t="s">
        <v>715</v>
      </c>
      <c r="AC166" s="2"/>
      <c r="AD166" t="s">
        <v>7</v>
      </c>
      <c r="AE166" t="s">
        <v>1189</v>
      </c>
    </row>
    <row r="167" spans="1:31" x14ac:dyDescent="0.3">
      <c r="A167" s="17">
        <v>90739624000118</v>
      </c>
      <c r="B167" t="s">
        <v>61</v>
      </c>
      <c r="D167" t="s">
        <v>533</v>
      </c>
      <c r="E167" t="s">
        <v>2</v>
      </c>
      <c r="F167">
        <v>269308</v>
      </c>
      <c r="G167" s="1" t="s">
        <v>1190</v>
      </c>
      <c r="H167">
        <v>25032987</v>
      </c>
      <c r="I167">
        <v>820738</v>
      </c>
      <c r="J167" t="s">
        <v>62</v>
      </c>
      <c r="K167" s="17">
        <v>79964177000591</v>
      </c>
      <c r="L167" s="17">
        <v>9576274000106</v>
      </c>
      <c r="M167" s="9">
        <v>613</v>
      </c>
      <c r="N167" t="s">
        <v>43</v>
      </c>
      <c r="Q167" s="2"/>
      <c r="R167" s="9"/>
      <c r="S167" t="s">
        <v>44</v>
      </c>
      <c r="T167" t="s">
        <v>45</v>
      </c>
      <c r="U167" s="2" t="s">
        <v>583</v>
      </c>
      <c r="V167" s="9" t="s">
        <v>1191</v>
      </c>
      <c r="W167">
        <v>4.1260879964176998E+43</v>
      </c>
      <c r="X167" t="s">
        <v>46</v>
      </c>
      <c r="Y167" s="2" t="s">
        <v>717</v>
      </c>
      <c r="Z167" s="2" t="s">
        <v>718</v>
      </c>
      <c r="AA167" s="9" t="s">
        <v>715</v>
      </c>
      <c r="AC167" s="2"/>
      <c r="AD167" t="s">
        <v>7</v>
      </c>
      <c r="AE167" t="s">
        <v>1192</v>
      </c>
    </row>
    <row r="168" spans="1:31" x14ac:dyDescent="0.3">
      <c r="A168" s="17">
        <v>90739624000118</v>
      </c>
      <c r="B168" t="s">
        <v>58</v>
      </c>
      <c r="D168" t="s">
        <v>59</v>
      </c>
      <c r="E168" t="s">
        <v>2</v>
      </c>
      <c r="F168">
        <v>269308</v>
      </c>
      <c r="G168" s="1" t="s">
        <v>1193</v>
      </c>
      <c r="H168">
        <v>25032852</v>
      </c>
      <c r="J168" t="s">
        <v>60</v>
      </c>
      <c r="K168" s="17">
        <v>7473735018200</v>
      </c>
      <c r="L168" s="17"/>
      <c r="M168" s="9">
        <v>760.4</v>
      </c>
      <c r="N168" t="s">
        <v>43</v>
      </c>
      <c r="Q168" s="2"/>
      <c r="R168" s="9"/>
      <c r="S168" t="s">
        <v>87</v>
      </c>
      <c r="U168" s="2"/>
      <c r="V168" s="9"/>
      <c r="X168" t="s">
        <v>88</v>
      </c>
      <c r="Y168" s="2" t="s">
        <v>717</v>
      </c>
      <c r="Z168" s="2" t="s">
        <v>718</v>
      </c>
      <c r="AA168" s="9" t="s">
        <v>715</v>
      </c>
      <c r="AC168" s="2"/>
      <c r="AD168" t="s">
        <v>7</v>
      </c>
    </row>
    <row r="169" spans="1:31" x14ac:dyDescent="0.3">
      <c r="A169" s="17">
        <v>90739624000118</v>
      </c>
      <c r="B169" t="s">
        <v>13</v>
      </c>
      <c r="C169">
        <v>24562</v>
      </c>
      <c r="D169" t="s">
        <v>21</v>
      </c>
      <c r="E169" t="s">
        <v>2</v>
      </c>
      <c r="F169">
        <v>269308</v>
      </c>
      <c r="G169" s="1" t="s">
        <v>1195</v>
      </c>
      <c r="H169">
        <v>25032839</v>
      </c>
      <c r="I169">
        <v>24684</v>
      </c>
      <c r="J169" t="s">
        <v>15</v>
      </c>
      <c r="K169" s="17">
        <v>30432373000100</v>
      </c>
      <c r="L169" s="17">
        <v>90739624001190</v>
      </c>
      <c r="M169" s="9">
        <v>429.17</v>
      </c>
      <c r="N169" t="s">
        <v>43</v>
      </c>
      <c r="Q169" s="2"/>
      <c r="R169" s="9"/>
      <c r="S169" t="s">
        <v>44</v>
      </c>
      <c r="T169" t="s">
        <v>45</v>
      </c>
      <c r="U169" s="2" t="s">
        <v>583</v>
      </c>
      <c r="V169" s="9" t="s">
        <v>1196</v>
      </c>
      <c r="W169">
        <v>5.0260830432372995E+43</v>
      </c>
      <c r="X169" t="s">
        <v>46</v>
      </c>
      <c r="Y169" s="2" t="s">
        <v>717</v>
      </c>
      <c r="Z169" s="2" t="s">
        <v>718</v>
      </c>
      <c r="AA169" s="9" t="s">
        <v>715</v>
      </c>
      <c r="AC169" s="2"/>
      <c r="AD169" t="s">
        <v>7</v>
      </c>
      <c r="AE169" t="s">
        <v>1197</v>
      </c>
    </row>
    <row r="170" spans="1:31" x14ac:dyDescent="0.3">
      <c r="A170" s="17">
        <v>90739624000118</v>
      </c>
      <c r="B170" t="s">
        <v>18</v>
      </c>
      <c r="D170" t="s">
        <v>702</v>
      </c>
      <c r="E170" t="s">
        <v>2</v>
      </c>
      <c r="F170">
        <v>269308</v>
      </c>
      <c r="G170" s="1" t="s">
        <v>1198</v>
      </c>
      <c r="H170">
        <v>25032827</v>
      </c>
      <c r="I170">
        <v>15546</v>
      </c>
      <c r="J170" t="s">
        <v>57</v>
      </c>
      <c r="K170" s="17">
        <v>50206655000199</v>
      </c>
      <c r="L170" s="17">
        <v>90739624000380</v>
      </c>
      <c r="M170" s="9">
        <v>347.76</v>
      </c>
      <c r="N170" t="s">
        <v>43</v>
      </c>
      <c r="Q170" s="2"/>
      <c r="R170" s="9"/>
      <c r="S170" t="s">
        <v>44</v>
      </c>
      <c r="T170" t="s">
        <v>45</v>
      </c>
      <c r="U170" s="2" t="s">
        <v>602</v>
      </c>
      <c r="V170" s="9" t="s">
        <v>1199</v>
      </c>
      <c r="W170">
        <v>3.5260850206654998E+43</v>
      </c>
      <c r="X170" t="s">
        <v>46</v>
      </c>
      <c r="Y170" s="2" t="s">
        <v>717</v>
      </c>
      <c r="Z170" s="2" t="s">
        <v>718</v>
      </c>
      <c r="AA170" s="9" t="s">
        <v>715</v>
      </c>
      <c r="AC170" s="2"/>
      <c r="AD170" t="s">
        <v>7</v>
      </c>
      <c r="AE170" t="s">
        <v>1200</v>
      </c>
    </row>
    <row r="171" spans="1:31" x14ac:dyDescent="0.3">
      <c r="A171" s="17">
        <v>90739624000118</v>
      </c>
      <c r="B171" t="s">
        <v>52</v>
      </c>
      <c r="D171" t="s">
        <v>231</v>
      </c>
      <c r="E171" t="s">
        <v>2</v>
      </c>
      <c r="F171">
        <v>269308</v>
      </c>
      <c r="G171" s="1" t="s">
        <v>1201</v>
      </c>
      <c r="H171">
        <v>25032418</v>
      </c>
      <c r="I171">
        <v>41500</v>
      </c>
      <c r="J171" t="s">
        <v>545</v>
      </c>
      <c r="K171" s="17">
        <v>30429333000282</v>
      </c>
      <c r="L171" s="17">
        <v>9576274000106</v>
      </c>
      <c r="M171" s="9">
        <v>261.70999999999998</v>
      </c>
      <c r="N171" t="s">
        <v>43</v>
      </c>
      <c r="Q171" s="2"/>
      <c r="R171" s="9"/>
      <c r="S171" t="s">
        <v>44</v>
      </c>
      <c r="T171" t="s">
        <v>45</v>
      </c>
      <c r="U171" s="2" t="s">
        <v>583</v>
      </c>
      <c r="V171" s="9" t="s">
        <v>613</v>
      </c>
      <c r="W171">
        <v>4.1260830429333002E+43</v>
      </c>
      <c r="X171" t="s">
        <v>46</v>
      </c>
      <c r="Y171" s="2" t="s">
        <v>717</v>
      </c>
      <c r="Z171" s="2" t="s">
        <v>718</v>
      </c>
      <c r="AA171" s="9" t="s">
        <v>715</v>
      </c>
      <c r="AC171" s="2"/>
      <c r="AD171" t="s">
        <v>7</v>
      </c>
      <c r="AE171" t="s">
        <v>1202</v>
      </c>
    </row>
    <row r="172" spans="1:31" x14ac:dyDescent="0.3">
      <c r="A172" s="17">
        <v>90739624000118</v>
      </c>
      <c r="B172" t="s">
        <v>33</v>
      </c>
      <c r="C172">
        <v>23399</v>
      </c>
      <c r="D172" t="s">
        <v>146</v>
      </c>
      <c r="E172" t="s">
        <v>2</v>
      </c>
      <c r="F172">
        <v>269308</v>
      </c>
      <c r="G172" s="1" t="s">
        <v>1203</v>
      </c>
      <c r="H172">
        <v>25032335</v>
      </c>
      <c r="I172">
        <v>1143</v>
      </c>
      <c r="J172" t="s">
        <v>35</v>
      </c>
      <c r="K172" s="17">
        <v>27933025000102</v>
      </c>
      <c r="L172" s="17">
        <v>9576274000106</v>
      </c>
      <c r="M172" s="9">
        <v>831.47</v>
      </c>
      <c r="N172" t="s">
        <v>43</v>
      </c>
      <c r="Q172" s="2"/>
      <c r="R172" s="9"/>
      <c r="S172" t="s">
        <v>44</v>
      </c>
      <c r="T172" t="s">
        <v>45</v>
      </c>
      <c r="U172" s="2" t="s">
        <v>792</v>
      </c>
      <c r="V172" s="9" t="s">
        <v>1204</v>
      </c>
      <c r="W172">
        <v>4.1260827933025001E+43</v>
      </c>
      <c r="X172" t="s">
        <v>46</v>
      </c>
      <c r="Y172" s="2" t="s">
        <v>717</v>
      </c>
      <c r="Z172" s="2" t="s">
        <v>718</v>
      </c>
      <c r="AA172" s="9" t="s">
        <v>715</v>
      </c>
      <c r="AC172" s="2"/>
      <c r="AD172" t="s">
        <v>7</v>
      </c>
      <c r="AE172" t="s">
        <v>1205</v>
      </c>
    </row>
    <row r="173" spans="1:31" x14ac:dyDescent="0.3">
      <c r="A173" s="17">
        <v>90739624000118</v>
      </c>
      <c r="B173" t="s">
        <v>61</v>
      </c>
      <c r="D173" t="s">
        <v>269</v>
      </c>
      <c r="E173" t="s">
        <v>2</v>
      </c>
      <c r="F173">
        <v>269308</v>
      </c>
      <c r="G173" s="1" t="s">
        <v>1206</v>
      </c>
      <c r="H173">
        <v>25032319</v>
      </c>
      <c r="I173">
        <v>820732</v>
      </c>
      <c r="J173" t="s">
        <v>62</v>
      </c>
      <c r="K173" s="17">
        <v>79964177000591</v>
      </c>
      <c r="L173" s="17">
        <v>9576274000106</v>
      </c>
      <c r="M173" s="9">
        <v>1795.29</v>
      </c>
      <c r="N173" t="s">
        <v>43</v>
      </c>
      <c r="Q173" s="2"/>
      <c r="R173" s="9"/>
      <c r="S173" t="s">
        <v>44</v>
      </c>
      <c r="T173" t="s">
        <v>45</v>
      </c>
      <c r="U173" s="2" t="s">
        <v>583</v>
      </c>
      <c r="V173" s="9" t="s">
        <v>1207</v>
      </c>
      <c r="W173">
        <v>4.1260879964176998E+43</v>
      </c>
      <c r="X173" t="s">
        <v>46</v>
      </c>
      <c r="Y173" s="2" t="s">
        <v>717</v>
      </c>
      <c r="Z173" s="2" t="s">
        <v>718</v>
      </c>
      <c r="AA173" s="9" t="s">
        <v>715</v>
      </c>
      <c r="AC173" s="2"/>
      <c r="AD173" t="s">
        <v>7</v>
      </c>
      <c r="AE173" t="s">
        <v>1208</v>
      </c>
    </row>
    <row r="174" spans="1:31" x14ac:dyDescent="0.3">
      <c r="A174" s="17">
        <v>90739624000118</v>
      </c>
      <c r="B174" t="s">
        <v>369</v>
      </c>
      <c r="C174">
        <v>19809</v>
      </c>
      <c r="D174" t="s">
        <v>370</v>
      </c>
      <c r="E174" t="s">
        <v>2</v>
      </c>
      <c r="F174">
        <v>269308</v>
      </c>
      <c r="G174" s="1" t="s">
        <v>1209</v>
      </c>
      <c r="H174">
        <v>25031888</v>
      </c>
      <c r="I174">
        <v>11427</v>
      </c>
      <c r="J174" t="s">
        <v>371</v>
      </c>
      <c r="K174" s="17">
        <v>26814629000169</v>
      </c>
      <c r="L174" s="17">
        <v>90739624002080</v>
      </c>
      <c r="M174" s="9">
        <v>283.97000000000003</v>
      </c>
      <c r="N174" t="s">
        <v>43</v>
      </c>
      <c r="Q174" s="2"/>
      <c r="R174" s="9"/>
      <c r="S174" t="s">
        <v>44</v>
      </c>
      <c r="T174" t="s">
        <v>45</v>
      </c>
      <c r="U174" s="2" t="s">
        <v>583</v>
      </c>
      <c r="V174" s="9" t="s">
        <v>1210</v>
      </c>
      <c r="W174">
        <v>2.9260826814629E+43</v>
      </c>
      <c r="X174" t="s">
        <v>46</v>
      </c>
      <c r="Y174" s="2" t="s">
        <v>717</v>
      </c>
      <c r="Z174" s="2" t="s">
        <v>718</v>
      </c>
      <c r="AA174" s="9" t="s">
        <v>715</v>
      </c>
      <c r="AC174" s="2"/>
      <c r="AD174" t="s">
        <v>7</v>
      </c>
      <c r="AE174" t="s">
        <v>1211</v>
      </c>
    </row>
    <row r="175" spans="1:31" x14ac:dyDescent="0.3">
      <c r="A175" s="17">
        <v>90739624000118</v>
      </c>
      <c r="B175" t="s">
        <v>11</v>
      </c>
      <c r="C175">
        <v>22475</v>
      </c>
      <c r="D175" t="s">
        <v>12</v>
      </c>
      <c r="E175" t="s">
        <v>2</v>
      </c>
      <c r="F175">
        <v>269308</v>
      </c>
      <c r="G175" s="1" t="s">
        <v>1212</v>
      </c>
      <c r="H175">
        <v>25031841</v>
      </c>
      <c r="I175">
        <v>4421</v>
      </c>
      <c r="J175" t="s">
        <v>95</v>
      </c>
      <c r="K175" s="17">
        <v>37489429000102</v>
      </c>
      <c r="L175" s="17">
        <v>90739624001947</v>
      </c>
      <c r="M175" s="9">
        <v>241.52</v>
      </c>
      <c r="N175" t="s">
        <v>43</v>
      </c>
      <c r="Q175" s="2"/>
      <c r="R175" s="9"/>
      <c r="S175" t="s">
        <v>44</v>
      </c>
      <c r="T175" t="s">
        <v>45</v>
      </c>
      <c r="U175" s="2" t="s">
        <v>583</v>
      </c>
      <c r="V175" s="9" t="s">
        <v>1213</v>
      </c>
      <c r="W175">
        <v>5.2260837489428997E+43</v>
      </c>
      <c r="X175" t="s">
        <v>46</v>
      </c>
      <c r="Y175" s="2" t="s">
        <v>717</v>
      </c>
      <c r="Z175" s="2" t="s">
        <v>718</v>
      </c>
      <c r="AA175" s="9" t="s">
        <v>715</v>
      </c>
      <c r="AC175" s="2"/>
      <c r="AD175" t="s">
        <v>7</v>
      </c>
      <c r="AE175" t="s">
        <v>1214</v>
      </c>
    </row>
    <row r="176" spans="1:31" x14ac:dyDescent="0.3">
      <c r="A176" s="17">
        <v>90739624000118</v>
      </c>
      <c r="B176" t="s">
        <v>31</v>
      </c>
      <c r="C176">
        <v>24041</v>
      </c>
      <c r="D176" t="s">
        <v>599</v>
      </c>
      <c r="E176" t="s">
        <v>2</v>
      </c>
      <c r="F176">
        <v>269308</v>
      </c>
      <c r="G176" s="1" t="s">
        <v>1215</v>
      </c>
      <c r="H176">
        <v>25031541</v>
      </c>
      <c r="I176">
        <v>54887</v>
      </c>
      <c r="J176" t="s">
        <v>56</v>
      </c>
      <c r="K176" s="17">
        <v>8603562000212</v>
      </c>
      <c r="L176" s="17">
        <v>90739624001866</v>
      </c>
      <c r="M176" s="9">
        <v>687.1</v>
      </c>
      <c r="N176" t="s">
        <v>43</v>
      </c>
      <c r="Q176" s="2"/>
      <c r="R176" s="9"/>
      <c r="S176" t="s">
        <v>44</v>
      </c>
      <c r="T176" t="s">
        <v>45</v>
      </c>
      <c r="U176" s="2" t="s">
        <v>583</v>
      </c>
      <c r="V176" s="9" t="s">
        <v>1216</v>
      </c>
      <c r="W176">
        <v>5.1260808603562005E+43</v>
      </c>
      <c r="X176" t="s">
        <v>46</v>
      </c>
      <c r="Y176" s="2" t="s">
        <v>717</v>
      </c>
      <c r="Z176" s="2" t="s">
        <v>718</v>
      </c>
      <c r="AA176" s="9" t="s">
        <v>715</v>
      </c>
      <c r="AC176" s="2"/>
      <c r="AD176" t="s">
        <v>7</v>
      </c>
      <c r="AE176" t="s">
        <v>1217</v>
      </c>
    </row>
    <row r="177" spans="1:31" x14ac:dyDescent="0.3">
      <c r="A177" s="17">
        <v>90739624000118</v>
      </c>
      <c r="B177" t="s">
        <v>31</v>
      </c>
      <c r="D177" t="s">
        <v>55</v>
      </c>
      <c r="E177" t="s">
        <v>2</v>
      </c>
      <c r="F177">
        <v>269308</v>
      </c>
      <c r="G177" s="1" t="s">
        <v>1218</v>
      </c>
      <c r="H177">
        <v>25031487</v>
      </c>
      <c r="I177">
        <v>39339</v>
      </c>
      <c r="J177" t="s">
        <v>295</v>
      </c>
      <c r="K177" s="17">
        <v>8603562001294</v>
      </c>
      <c r="L177" s="17">
        <v>90739624001866</v>
      </c>
      <c r="M177" s="9">
        <v>106.52</v>
      </c>
      <c r="N177" t="s">
        <v>43</v>
      </c>
      <c r="Q177" s="2"/>
      <c r="R177" s="9"/>
      <c r="S177" t="s">
        <v>44</v>
      </c>
      <c r="T177" t="s">
        <v>45</v>
      </c>
      <c r="U177" s="2" t="s">
        <v>583</v>
      </c>
      <c r="V177" s="9" t="s">
        <v>1219</v>
      </c>
      <c r="W177">
        <v>5.1260808603562005E+43</v>
      </c>
      <c r="X177" t="s">
        <v>46</v>
      </c>
      <c r="Y177" s="2" t="s">
        <v>717</v>
      </c>
      <c r="Z177" s="2" t="s">
        <v>718</v>
      </c>
      <c r="AA177" s="9" t="s">
        <v>715</v>
      </c>
      <c r="AC177" s="2"/>
      <c r="AD177" t="s">
        <v>7</v>
      </c>
      <c r="AE177" t="s">
        <v>1220</v>
      </c>
    </row>
    <row r="178" spans="1:31" x14ac:dyDescent="0.3">
      <c r="A178" s="17">
        <v>90739624000118</v>
      </c>
      <c r="B178" t="s">
        <v>25</v>
      </c>
      <c r="D178" t="s">
        <v>586</v>
      </c>
      <c r="E178" t="s">
        <v>2</v>
      </c>
      <c r="F178">
        <v>269308</v>
      </c>
      <c r="G178" s="1" t="s">
        <v>1221</v>
      </c>
      <c r="H178">
        <v>25030753</v>
      </c>
      <c r="I178">
        <v>298157</v>
      </c>
      <c r="J178" t="s">
        <v>109</v>
      </c>
      <c r="K178" s="17">
        <v>5218335000102</v>
      </c>
      <c r="L178" s="17">
        <v>90739624001866</v>
      </c>
      <c r="M178" s="9">
        <v>159.26</v>
      </c>
      <c r="N178" t="s">
        <v>43</v>
      </c>
      <c r="Q178" s="2"/>
      <c r="R178" s="9"/>
      <c r="S178" t="s">
        <v>44</v>
      </c>
      <c r="T178" t="s">
        <v>45</v>
      </c>
      <c r="U178" s="2" t="s">
        <v>583</v>
      </c>
      <c r="V178" s="9" t="s">
        <v>622</v>
      </c>
      <c r="W178">
        <v>5.1260805218334996E+43</v>
      </c>
      <c r="X178" t="s">
        <v>46</v>
      </c>
      <c r="Y178" s="2" t="s">
        <v>717</v>
      </c>
      <c r="Z178" s="2" t="s">
        <v>718</v>
      </c>
      <c r="AA178" s="9" t="s">
        <v>715</v>
      </c>
      <c r="AC178" s="2"/>
      <c r="AD178" t="s">
        <v>7</v>
      </c>
      <c r="AE178" t="s">
        <v>1222</v>
      </c>
    </row>
    <row r="179" spans="1:31" x14ac:dyDescent="0.3">
      <c r="A179" s="17">
        <v>90739624000118</v>
      </c>
      <c r="B179" t="s">
        <v>58</v>
      </c>
      <c r="D179" t="s">
        <v>1223</v>
      </c>
      <c r="E179" t="s">
        <v>2</v>
      </c>
      <c r="F179">
        <v>269308</v>
      </c>
      <c r="G179" s="1" t="s">
        <v>1224</v>
      </c>
      <c r="H179">
        <v>25030506</v>
      </c>
      <c r="J179" t="s">
        <v>167</v>
      </c>
      <c r="K179" s="17">
        <v>7473735016266</v>
      </c>
      <c r="L179" s="17"/>
      <c r="M179" s="9">
        <v>453.28</v>
      </c>
      <c r="N179" t="s">
        <v>43</v>
      </c>
      <c r="Q179" s="2"/>
      <c r="R179" s="9"/>
      <c r="S179" t="s">
        <v>87</v>
      </c>
      <c r="U179" s="2"/>
      <c r="V179" s="9"/>
      <c r="X179" t="s">
        <v>88</v>
      </c>
      <c r="Y179" s="2" t="s">
        <v>717</v>
      </c>
      <c r="Z179" s="2" t="s">
        <v>718</v>
      </c>
      <c r="AA179" s="9" t="s">
        <v>715</v>
      </c>
      <c r="AC179" s="2"/>
      <c r="AD179" t="s">
        <v>7</v>
      </c>
    </row>
    <row r="180" spans="1:31" x14ac:dyDescent="0.3">
      <c r="A180" s="17">
        <v>90739624000118</v>
      </c>
      <c r="B180" t="s">
        <v>61</v>
      </c>
      <c r="D180" t="s">
        <v>158</v>
      </c>
      <c r="E180" t="s">
        <v>2</v>
      </c>
      <c r="F180">
        <v>269308</v>
      </c>
      <c r="G180" s="1" t="s">
        <v>1226</v>
      </c>
      <c r="H180">
        <v>25030481</v>
      </c>
      <c r="I180">
        <v>820728</v>
      </c>
      <c r="J180" t="s">
        <v>62</v>
      </c>
      <c r="K180" s="17">
        <v>79964177000591</v>
      </c>
      <c r="L180" s="17">
        <v>9576274000106</v>
      </c>
      <c r="M180" s="9">
        <v>2353.92</v>
      </c>
      <c r="N180" t="s">
        <v>43</v>
      </c>
      <c r="Q180" s="2"/>
      <c r="R180" s="9"/>
      <c r="S180" t="s">
        <v>44</v>
      </c>
      <c r="T180" t="s">
        <v>45</v>
      </c>
      <c r="U180" s="2" t="s">
        <v>583</v>
      </c>
      <c r="V180" s="9" t="s">
        <v>1227</v>
      </c>
      <c r="W180">
        <v>4.1260879964176998E+43</v>
      </c>
      <c r="X180" t="s">
        <v>46</v>
      </c>
      <c r="Y180" s="2" t="s">
        <v>717</v>
      </c>
      <c r="Z180" s="2" t="s">
        <v>718</v>
      </c>
      <c r="AA180" s="9" t="s">
        <v>715</v>
      </c>
      <c r="AC180" s="2"/>
      <c r="AD180" t="s">
        <v>7</v>
      </c>
      <c r="AE180" t="s">
        <v>1228</v>
      </c>
    </row>
    <row r="181" spans="1:31" x14ac:dyDescent="0.3">
      <c r="A181" s="17">
        <v>90739624000118</v>
      </c>
      <c r="B181" t="s">
        <v>65</v>
      </c>
      <c r="D181" t="s">
        <v>644</v>
      </c>
      <c r="E181" t="s">
        <v>2</v>
      </c>
      <c r="F181">
        <v>269308</v>
      </c>
      <c r="G181" s="1" t="s">
        <v>645</v>
      </c>
      <c r="H181">
        <v>25030306</v>
      </c>
      <c r="I181">
        <v>24132</v>
      </c>
      <c r="J181" t="s">
        <v>646</v>
      </c>
      <c r="K181" s="17">
        <v>7473735009308</v>
      </c>
      <c r="L181" s="17">
        <v>90739624002323</v>
      </c>
      <c r="M181" s="9">
        <v>137.01</v>
      </c>
      <c r="N181" t="s">
        <v>43</v>
      </c>
      <c r="Q181" s="2"/>
      <c r="R181" s="9"/>
      <c r="S181" t="s">
        <v>44</v>
      </c>
      <c r="T181" t="s">
        <v>45</v>
      </c>
      <c r="U181" s="2" t="s">
        <v>579</v>
      </c>
      <c r="V181" s="9" t="s">
        <v>1229</v>
      </c>
      <c r="W181">
        <v>4.3260707473735002E+43</v>
      </c>
      <c r="X181" t="s">
        <v>46</v>
      </c>
      <c r="Y181" s="2" t="s">
        <v>717</v>
      </c>
      <c r="Z181" s="2" t="s">
        <v>718</v>
      </c>
      <c r="AA181" s="9" t="s">
        <v>715</v>
      </c>
      <c r="AC181" s="2"/>
      <c r="AD181" t="s">
        <v>7</v>
      </c>
      <c r="AE181" t="s">
        <v>1230</v>
      </c>
    </row>
    <row r="182" spans="1:31" x14ac:dyDescent="0.3">
      <c r="A182" s="17">
        <v>90739624000118</v>
      </c>
      <c r="B182" t="s">
        <v>28</v>
      </c>
      <c r="D182" t="s">
        <v>91</v>
      </c>
      <c r="E182" t="s">
        <v>2</v>
      </c>
      <c r="F182">
        <v>269308</v>
      </c>
      <c r="G182" s="1" t="s">
        <v>707</v>
      </c>
      <c r="H182">
        <v>25029962</v>
      </c>
      <c r="I182">
        <v>27016</v>
      </c>
      <c r="J182" t="s">
        <v>254</v>
      </c>
      <c r="K182" s="17">
        <v>13759928000104</v>
      </c>
      <c r="L182" s="17">
        <v>90739624001947</v>
      </c>
      <c r="M182" s="9">
        <v>223.45</v>
      </c>
      <c r="N182" t="s">
        <v>43</v>
      </c>
      <c r="Q182" s="2"/>
      <c r="R182" s="9"/>
      <c r="S182" t="s">
        <v>44</v>
      </c>
      <c r="T182" t="s">
        <v>45</v>
      </c>
      <c r="U182" s="2" t="s">
        <v>635</v>
      </c>
      <c r="V182" s="9" t="s">
        <v>1231</v>
      </c>
      <c r="W182">
        <v>5.2260713759928003E+43</v>
      </c>
      <c r="X182" t="s">
        <v>46</v>
      </c>
      <c r="Y182" s="2" t="s">
        <v>717</v>
      </c>
      <c r="Z182" s="2" t="s">
        <v>718</v>
      </c>
      <c r="AA182" s="9" t="s">
        <v>715</v>
      </c>
      <c r="AC182" s="2"/>
      <c r="AD182" t="s">
        <v>7</v>
      </c>
      <c r="AE182" t="s">
        <v>1232</v>
      </c>
    </row>
    <row r="183" spans="1:31" x14ac:dyDescent="0.3">
      <c r="A183" s="17">
        <v>90739624000118</v>
      </c>
      <c r="B183" t="s">
        <v>120</v>
      </c>
      <c r="D183" t="s">
        <v>652</v>
      </c>
      <c r="E183" t="s">
        <v>2</v>
      </c>
      <c r="F183">
        <v>269308</v>
      </c>
      <c r="G183" s="1" t="s">
        <v>1233</v>
      </c>
      <c r="H183">
        <v>25029062</v>
      </c>
      <c r="I183">
        <v>61204</v>
      </c>
      <c r="J183" t="s">
        <v>150</v>
      </c>
      <c r="K183" s="17">
        <v>27643038000139</v>
      </c>
      <c r="L183" s="17">
        <v>90739624001432</v>
      </c>
      <c r="M183" s="9">
        <v>469.56</v>
      </c>
      <c r="N183" t="s">
        <v>43</v>
      </c>
      <c r="Q183" s="2"/>
      <c r="R183" s="9"/>
      <c r="S183" t="s">
        <v>44</v>
      </c>
      <c r="T183" t="s">
        <v>45</v>
      </c>
      <c r="U183" s="2" t="s">
        <v>583</v>
      </c>
      <c r="V183" s="9" t="s">
        <v>1234</v>
      </c>
      <c r="W183">
        <v>4.2260827643038002E+43</v>
      </c>
      <c r="X183" t="s">
        <v>46</v>
      </c>
      <c r="Y183" s="2" t="s">
        <v>717</v>
      </c>
      <c r="Z183" s="2" t="s">
        <v>718</v>
      </c>
      <c r="AA183" s="9" t="s">
        <v>715</v>
      </c>
      <c r="AC183" s="2"/>
      <c r="AD183" t="s">
        <v>7</v>
      </c>
      <c r="AE183" t="s">
        <v>1235</v>
      </c>
    </row>
    <row r="184" spans="1:31" x14ac:dyDescent="0.3">
      <c r="A184" s="17">
        <v>90739624000118</v>
      </c>
      <c r="B184" t="s">
        <v>18</v>
      </c>
      <c r="D184" t="s">
        <v>648</v>
      </c>
      <c r="E184" t="s">
        <v>2</v>
      </c>
      <c r="F184">
        <v>269308</v>
      </c>
      <c r="G184" s="1" t="s">
        <v>1236</v>
      </c>
      <c r="H184">
        <v>25028992</v>
      </c>
      <c r="I184">
        <v>15545</v>
      </c>
      <c r="J184" t="s">
        <v>57</v>
      </c>
      <c r="K184" s="17">
        <v>50206655000199</v>
      </c>
      <c r="L184" s="17">
        <v>90739624000380</v>
      </c>
      <c r="M184" s="9">
        <v>620.04</v>
      </c>
      <c r="N184" t="s">
        <v>43</v>
      </c>
      <c r="Q184" s="2"/>
      <c r="R184" s="9"/>
      <c r="S184" t="s">
        <v>44</v>
      </c>
      <c r="T184" t="s">
        <v>45</v>
      </c>
      <c r="U184" s="2" t="s">
        <v>602</v>
      </c>
      <c r="V184" s="9" t="s">
        <v>1237</v>
      </c>
      <c r="W184">
        <v>3.5260850206654998E+43</v>
      </c>
      <c r="X184" t="s">
        <v>46</v>
      </c>
      <c r="Y184" s="2" t="s">
        <v>717</v>
      </c>
      <c r="Z184" s="2" t="s">
        <v>718</v>
      </c>
      <c r="AA184" s="9" t="s">
        <v>715</v>
      </c>
      <c r="AC184" s="2"/>
      <c r="AD184" t="s">
        <v>7</v>
      </c>
      <c r="AE184" t="s">
        <v>1238</v>
      </c>
    </row>
    <row r="185" spans="1:31" x14ac:dyDescent="0.3">
      <c r="A185" s="17">
        <v>90739624000118</v>
      </c>
      <c r="B185" t="s">
        <v>120</v>
      </c>
      <c r="C185">
        <v>23838</v>
      </c>
      <c r="D185" t="s">
        <v>121</v>
      </c>
      <c r="E185" t="s">
        <v>2</v>
      </c>
      <c r="F185">
        <v>269308</v>
      </c>
      <c r="G185" s="1" t="s">
        <v>1239</v>
      </c>
      <c r="H185">
        <v>25028581</v>
      </c>
      <c r="I185">
        <v>11776</v>
      </c>
      <c r="J185" t="s">
        <v>550</v>
      </c>
      <c r="K185" s="17">
        <v>45986480000492</v>
      </c>
      <c r="L185" s="17">
        <v>90739624001432</v>
      </c>
      <c r="M185" s="9">
        <v>225.06</v>
      </c>
      <c r="N185" t="s">
        <v>43</v>
      </c>
      <c r="Q185" s="2"/>
      <c r="R185" s="9"/>
      <c r="S185" t="s">
        <v>44</v>
      </c>
      <c r="T185" t="s">
        <v>45</v>
      </c>
      <c r="U185" s="2" t="s">
        <v>583</v>
      </c>
      <c r="V185" s="9" t="s">
        <v>618</v>
      </c>
      <c r="W185">
        <v>4.2260845986479998E+43</v>
      </c>
      <c r="X185" t="s">
        <v>46</v>
      </c>
      <c r="Y185" s="2" t="s">
        <v>717</v>
      </c>
      <c r="Z185" s="2" t="s">
        <v>718</v>
      </c>
      <c r="AA185" s="9" t="s">
        <v>715</v>
      </c>
      <c r="AC185" s="2"/>
      <c r="AD185" t="s">
        <v>7</v>
      </c>
      <c r="AE185" t="s">
        <v>1240</v>
      </c>
    </row>
    <row r="186" spans="1:31" x14ac:dyDescent="0.3">
      <c r="A186" s="17">
        <v>90739624000118</v>
      </c>
      <c r="B186" t="s">
        <v>126</v>
      </c>
      <c r="D186" t="s">
        <v>489</v>
      </c>
      <c r="E186" t="s">
        <v>2</v>
      </c>
      <c r="F186">
        <v>269308</v>
      </c>
      <c r="G186" s="1" t="s">
        <v>1241</v>
      </c>
      <c r="H186">
        <v>25028193</v>
      </c>
      <c r="J186" t="s">
        <v>285</v>
      </c>
      <c r="K186" s="17">
        <v>7473735012198</v>
      </c>
      <c r="L186" s="17"/>
      <c r="M186" s="9">
        <v>242.69</v>
      </c>
      <c r="N186" t="s">
        <v>43</v>
      </c>
      <c r="Q186" s="2"/>
      <c r="R186" s="9"/>
      <c r="S186" t="s">
        <v>87</v>
      </c>
      <c r="U186" s="2"/>
      <c r="V186" s="9"/>
      <c r="X186" t="s">
        <v>88</v>
      </c>
      <c r="Y186" s="2" t="s">
        <v>717</v>
      </c>
      <c r="Z186" s="2" t="s">
        <v>718</v>
      </c>
      <c r="AA186" s="9" t="s">
        <v>715</v>
      </c>
      <c r="AC186" s="2"/>
      <c r="AD186" t="s">
        <v>7</v>
      </c>
    </row>
    <row r="187" spans="1:31" x14ac:dyDescent="0.3">
      <c r="A187" s="17">
        <v>90739624000118</v>
      </c>
      <c r="B187" t="s">
        <v>61</v>
      </c>
      <c r="D187" t="s">
        <v>1243</v>
      </c>
      <c r="E187" t="s">
        <v>2</v>
      </c>
      <c r="F187">
        <v>269308</v>
      </c>
      <c r="G187" s="1" t="s">
        <v>1244</v>
      </c>
      <c r="H187">
        <v>25028168</v>
      </c>
      <c r="I187">
        <v>2536</v>
      </c>
      <c r="J187" t="s">
        <v>85</v>
      </c>
      <c r="K187" s="17">
        <v>1975878000105</v>
      </c>
      <c r="L187" s="17">
        <v>9576274000106</v>
      </c>
      <c r="M187" s="9">
        <v>294.92</v>
      </c>
      <c r="N187" t="s">
        <v>43</v>
      </c>
      <c r="Q187" s="2"/>
      <c r="R187" s="9"/>
      <c r="S187" t="s">
        <v>44</v>
      </c>
      <c r="T187" t="s">
        <v>45</v>
      </c>
      <c r="U187" s="2" t="s">
        <v>583</v>
      </c>
      <c r="V187" s="9" t="s">
        <v>1246</v>
      </c>
      <c r="W187">
        <v>4.1260801975878E+43</v>
      </c>
      <c r="X187" t="s">
        <v>46</v>
      </c>
      <c r="Y187" s="2" t="s">
        <v>717</v>
      </c>
      <c r="Z187" s="2" t="s">
        <v>718</v>
      </c>
      <c r="AA187" s="9" t="s">
        <v>715</v>
      </c>
      <c r="AC187" s="2"/>
      <c r="AD187" t="s">
        <v>7</v>
      </c>
      <c r="AE187" t="s">
        <v>1247</v>
      </c>
    </row>
    <row r="188" spans="1:31" x14ac:dyDescent="0.3">
      <c r="A188" s="17">
        <v>90739624000118</v>
      </c>
      <c r="B188" t="s">
        <v>28</v>
      </c>
      <c r="D188" t="s">
        <v>91</v>
      </c>
      <c r="E188" t="s">
        <v>2</v>
      </c>
      <c r="F188">
        <v>269308</v>
      </c>
      <c r="G188" s="1" t="s">
        <v>705</v>
      </c>
      <c r="H188">
        <v>25027481</v>
      </c>
      <c r="I188">
        <v>27107</v>
      </c>
      <c r="J188" t="s">
        <v>254</v>
      </c>
      <c r="K188" s="17">
        <v>13759928000104</v>
      </c>
      <c r="L188" s="17">
        <v>90739624001947</v>
      </c>
      <c r="M188" s="9">
        <v>229.33</v>
      </c>
      <c r="N188" t="s">
        <v>43</v>
      </c>
      <c r="Q188" s="2"/>
      <c r="R188" s="9"/>
      <c r="S188" t="s">
        <v>44</v>
      </c>
      <c r="T188" t="s">
        <v>45</v>
      </c>
      <c r="U188" s="2" t="s">
        <v>580</v>
      </c>
      <c r="V188" s="9" t="s">
        <v>1248</v>
      </c>
      <c r="W188">
        <v>5.2260813759927995E+43</v>
      </c>
      <c r="X188" t="s">
        <v>46</v>
      </c>
      <c r="Y188" s="2" t="s">
        <v>717</v>
      </c>
      <c r="Z188" s="2" t="s">
        <v>718</v>
      </c>
      <c r="AA188" s="9" t="s">
        <v>715</v>
      </c>
      <c r="AC188" s="2"/>
      <c r="AD188" t="s">
        <v>7</v>
      </c>
      <c r="AE188" t="s">
        <v>1249</v>
      </c>
    </row>
    <row r="189" spans="1:31" x14ac:dyDescent="0.3">
      <c r="A189" s="17">
        <v>90739624000118</v>
      </c>
      <c r="B189" t="s">
        <v>31</v>
      </c>
      <c r="D189" t="s">
        <v>172</v>
      </c>
      <c r="E189" t="s">
        <v>2</v>
      </c>
      <c r="F189">
        <v>269308</v>
      </c>
      <c r="G189" s="1" t="s">
        <v>1250</v>
      </c>
      <c r="H189">
        <v>25027442</v>
      </c>
      <c r="I189">
        <v>54882</v>
      </c>
      <c r="J189" t="s">
        <v>56</v>
      </c>
      <c r="K189" s="17">
        <v>8603562000212</v>
      </c>
      <c r="L189" s="17">
        <v>90739624001866</v>
      </c>
      <c r="M189" s="9">
        <v>373.37</v>
      </c>
      <c r="N189" t="s">
        <v>43</v>
      </c>
      <c r="Q189" s="2"/>
      <c r="R189" s="9"/>
      <c r="S189" t="s">
        <v>44</v>
      </c>
      <c r="T189" t="s">
        <v>45</v>
      </c>
      <c r="U189" s="2" t="s">
        <v>583</v>
      </c>
      <c r="V189" s="9" t="s">
        <v>1251</v>
      </c>
      <c r="W189">
        <v>5.1260808603562005E+43</v>
      </c>
      <c r="X189" t="s">
        <v>46</v>
      </c>
      <c r="Y189" s="2" t="s">
        <v>717</v>
      </c>
      <c r="Z189" s="2" t="s">
        <v>718</v>
      </c>
      <c r="AA189" s="9" t="s">
        <v>715</v>
      </c>
      <c r="AC189" s="2"/>
      <c r="AD189" t="s">
        <v>7</v>
      </c>
      <c r="AE189" t="s">
        <v>1252</v>
      </c>
    </row>
    <row r="190" spans="1:31" x14ac:dyDescent="0.3">
      <c r="A190" s="17">
        <v>90739624000118</v>
      </c>
      <c r="B190" t="s">
        <v>0</v>
      </c>
      <c r="D190" t="s">
        <v>133</v>
      </c>
      <c r="E190" t="s">
        <v>2</v>
      </c>
      <c r="F190">
        <v>269308</v>
      </c>
      <c r="G190" s="1" t="s">
        <v>1253</v>
      </c>
      <c r="H190">
        <v>25027240</v>
      </c>
      <c r="I190">
        <v>101346</v>
      </c>
      <c r="J190" t="s">
        <v>134</v>
      </c>
      <c r="K190" s="17">
        <v>81326258000770</v>
      </c>
      <c r="L190" s="17">
        <v>90739624001432</v>
      </c>
      <c r="M190" s="9">
        <v>153.59</v>
      </c>
      <c r="N190" t="s">
        <v>43</v>
      </c>
      <c r="Q190" s="2"/>
      <c r="R190" s="9"/>
      <c r="S190" t="s">
        <v>44</v>
      </c>
      <c r="T190" t="s">
        <v>45</v>
      </c>
      <c r="U190" s="2" t="s">
        <v>583</v>
      </c>
      <c r="V190" s="9" t="s">
        <v>1254</v>
      </c>
      <c r="W190">
        <v>4.2260881326258001E+43</v>
      </c>
      <c r="X190" t="s">
        <v>46</v>
      </c>
      <c r="Y190" s="2" t="s">
        <v>717</v>
      </c>
      <c r="Z190" s="2" t="s">
        <v>718</v>
      </c>
      <c r="AA190" s="9" t="s">
        <v>715</v>
      </c>
      <c r="AC190" s="2"/>
      <c r="AD190" t="s">
        <v>7</v>
      </c>
      <c r="AE190" t="s">
        <v>1255</v>
      </c>
    </row>
    <row r="191" spans="1:31" x14ac:dyDescent="0.3">
      <c r="A191" s="17">
        <v>90739624000118</v>
      </c>
      <c r="B191" t="s">
        <v>61</v>
      </c>
      <c r="D191" t="s">
        <v>557</v>
      </c>
      <c r="E191" t="s">
        <v>2</v>
      </c>
      <c r="F191">
        <v>269308</v>
      </c>
      <c r="G191" s="1" t="s">
        <v>1256</v>
      </c>
      <c r="H191">
        <v>25027185</v>
      </c>
      <c r="I191">
        <v>2535</v>
      </c>
      <c r="J191" t="s">
        <v>85</v>
      </c>
      <c r="K191" s="17">
        <v>1975878000105</v>
      </c>
      <c r="L191" s="17">
        <v>9576274000106</v>
      </c>
      <c r="M191" s="9">
        <v>175.24</v>
      </c>
      <c r="N191" t="s">
        <v>43</v>
      </c>
      <c r="Q191" s="2"/>
      <c r="R191" s="9"/>
      <c r="S191" t="s">
        <v>44</v>
      </c>
      <c r="T191" t="s">
        <v>45</v>
      </c>
      <c r="U191" s="2" t="s">
        <v>583</v>
      </c>
      <c r="V191" s="9" t="s">
        <v>1257</v>
      </c>
      <c r="W191">
        <v>4.1260801975878E+43</v>
      </c>
      <c r="X191" t="s">
        <v>46</v>
      </c>
      <c r="Y191" s="2" t="s">
        <v>717</v>
      </c>
      <c r="Z191" s="2" t="s">
        <v>718</v>
      </c>
      <c r="AA191" s="9" t="s">
        <v>715</v>
      </c>
      <c r="AC191" s="2"/>
      <c r="AD191" t="s">
        <v>7</v>
      </c>
      <c r="AE191" t="s">
        <v>1258</v>
      </c>
    </row>
    <row r="192" spans="1:31" x14ac:dyDescent="0.3">
      <c r="A192" s="17">
        <v>90739624000118</v>
      </c>
      <c r="B192" t="s">
        <v>73</v>
      </c>
      <c r="C192">
        <v>25981</v>
      </c>
      <c r="D192" t="s">
        <v>311</v>
      </c>
      <c r="E192" t="s">
        <v>2</v>
      </c>
      <c r="F192">
        <v>269308</v>
      </c>
      <c r="G192" s="1" t="s">
        <v>1259</v>
      </c>
      <c r="H192">
        <v>25026927</v>
      </c>
      <c r="J192" t="s">
        <v>694</v>
      </c>
      <c r="K192" s="17">
        <v>7473735020026</v>
      </c>
      <c r="L192" s="17"/>
      <c r="M192" s="9">
        <v>112.51</v>
      </c>
      <c r="N192" t="s">
        <v>43</v>
      </c>
      <c r="Q192" s="2"/>
      <c r="R192" s="9"/>
      <c r="S192" t="s">
        <v>87</v>
      </c>
      <c r="U192" s="2"/>
      <c r="V192" s="9"/>
      <c r="X192" t="s">
        <v>88</v>
      </c>
      <c r="Y192" s="2" t="s">
        <v>717</v>
      </c>
      <c r="Z192" s="2" t="s">
        <v>718</v>
      </c>
      <c r="AA192" s="9" t="s">
        <v>715</v>
      </c>
      <c r="AC192" s="2"/>
      <c r="AD192" t="s">
        <v>7</v>
      </c>
    </row>
    <row r="193" spans="1:31" x14ac:dyDescent="0.3">
      <c r="A193" s="17">
        <v>90739624000118</v>
      </c>
      <c r="B193" t="s">
        <v>100</v>
      </c>
      <c r="C193">
        <v>23634</v>
      </c>
      <c r="D193" t="s">
        <v>509</v>
      </c>
      <c r="E193" t="s">
        <v>2</v>
      </c>
      <c r="F193">
        <v>269308</v>
      </c>
      <c r="G193" s="1" t="s">
        <v>1261</v>
      </c>
      <c r="H193">
        <v>25026636</v>
      </c>
      <c r="I193">
        <v>44638</v>
      </c>
      <c r="J193" t="s">
        <v>303</v>
      </c>
      <c r="K193" s="17">
        <v>9380191000139</v>
      </c>
      <c r="L193" s="17">
        <v>90739624001866</v>
      </c>
      <c r="M193" s="9">
        <v>376.85</v>
      </c>
      <c r="N193" t="s">
        <v>43</v>
      </c>
      <c r="Q193" s="2"/>
      <c r="R193" s="9"/>
      <c r="S193" t="s">
        <v>44</v>
      </c>
      <c r="T193" t="s">
        <v>45</v>
      </c>
      <c r="U193" s="2" t="s">
        <v>583</v>
      </c>
      <c r="V193" s="9" t="s">
        <v>1262</v>
      </c>
      <c r="W193">
        <v>5.1260809380190997E+43</v>
      </c>
      <c r="X193" t="s">
        <v>46</v>
      </c>
      <c r="Y193" s="2" t="s">
        <v>717</v>
      </c>
      <c r="Z193" s="2" t="s">
        <v>718</v>
      </c>
      <c r="AA193" s="9" t="s">
        <v>715</v>
      </c>
      <c r="AC193" s="2"/>
      <c r="AD193" t="s">
        <v>7</v>
      </c>
      <c r="AE193" t="s">
        <v>1263</v>
      </c>
    </row>
    <row r="194" spans="1:31" x14ac:dyDescent="0.3">
      <c r="A194" s="17">
        <v>90739624000118</v>
      </c>
      <c r="B194" t="s">
        <v>61</v>
      </c>
      <c r="D194" t="s">
        <v>459</v>
      </c>
      <c r="E194" t="s">
        <v>2</v>
      </c>
      <c r="F194">
        <v>269308</v>
      </c>
      <c r="G194" s="1" t="s">
        <v>1264</v>
      </c>
      <c r="H194">
        <v>25026633</v>
      </c>
      <c r="I194">
        <v>2534</v>
      </c>
      <c r="J194" t="s">
        <v>85</v>
      </c>
      <c r="K194" s="17">
        <v>1975878000105</v>
      </c>
      <c r="L194" s="17">
        <v>9576274000106</v>
      </c>
      <c r="M194" s="9">
        <v>288.74</v>
      </c>
      <c r="N194" t="s">
        <v>43</v>
      </c>
      <c r="Q194" s="2"/>
      <c r="R194" s="9"/>
      <c r="S194" t="s">
        <v>44</v>
      </c>
      <c r="T194" t="s">
        <v>45</v>
      </c>
      <c r="U194" s="2" t="s">
        <v>583</v>
      </c>
      <c r="V194" s="9" t="s">
        <v>1265</v>
      </c>
      <c r="W194">
        <v>4.1260801975878E+43</v>
      </c>
      <c r="X194" t="s">
        <v>46</v>
      </c>
      <c r="Y194" s="2" t="s">
        <v>717</v>
      </c>
      <c r="Z194" s="2" t="s">
        <v>718</v>
      </c>
      <c r="AA194" s="9" t="s">
        <v>715</v>
      </c>
      <c r="AC194" s="2"/>
      <c r="AD194" t="s">
        <v>7</v>
      </c>
      <c r="AE194" t="s">
        <v>1266</v>
      </c>
    </row>
    <row r="195" spans="1:31" x14ac:dyDescent="0.3">
      <c r="A195" s="17">
        <v>90739624000118</v>
      </c>
      <c r="B195" t="s">
        <v>61</v>
      </c>
      <c r="D195" t="s">
        <v>610</v>
      </c>
      <c r="E195" t="s">
        <v>2</v>
      </c>
      <c r="F195">
        <v>269308</v>
      </c>
      <c r="G195" s="1" t="s">
        <v>1267</v>
      </c>
      <c r="H195">
        <v>25026574</v>
      </c>
      <c r="I195">
        <v>2533</v>
      </c>
      <c r="J195" t="s">
        <v>85</v>
      </c>
      <c r="K195" s="17">
        <v>1975878000105</v>
      </c>
      <c r="L195" s="17">
        <v>9576274000106</v>
      </c>
      <c r="M195" s="9">
        <v>473.8</v>
      </c>
      <c r="N195" t="s">
        <v>43</v>
      </c>
      <c r="Q195" s="2"/>
      <c r="R195" s="9"/>
      <c r="S195" t="s">
        <v>44</v>
      </c>
      <c r="T195" t="s">
        <v>45</v>
      </c>
      <c r="U195" s="2" t="s">
        <v>583</v>
      </c>
      <c r="V195" s="9" t="s">
        <v>1268</v>
      </c>
      <c r="W195">
        <v>4.1260801975878E+43</v>
      </c>
      <c r="X195" t="s">
        <v>46</v>
      </c>
      <c r="Y195" s="2" t="s">
        <v>717</v>
      </c>
      <c r="Z195" s="2" t="s">
        <v>718</v>
      </c>
      <c r="AA195" s="9" t="s">
        <v>715</v>
      </c>
      <c r="AC195" s="2"/>
      <c r="AD195" t="s">
        <v>7</v>
      </c>
      <c r="AE195" t="s">
        <v>1269</v>
      </c>
    </row>
    <row r="196" spans="1:31" x14ac:dyDescent="0.3">
      <c r="A196" s="17">
        <v>90739624000118</v>
      </c>
      <c r="B196" t="s">
        <v>28</v>
      </c>
      <c r="C196">
        <v>22480</v>
      </c>
      <c r="D196" t="s">
        <v>322</v>
      </c>
      <c r="E196" t="s">
        <v>2</v>
      </c>
      <c r="F196">
        <v>269308</v>
      </c>
      <c r="G196" s="1" t="s">
        <v>1270</v>
      </c>
      <c r="H196">
        <v>25026505</v>
      </c>
      <c r="I196">
        <v>121246</v>
      </c>
      <c r="J196" t="s">
        <v>487</v>
      </c>
      <c r="K196" s="17">
        <v>148072000180</v>
      </c>
      <c r="L196" s="17">
        <v>90739624001947</v>
      </c>
      <c r="M196" s="9">
        <v>192.43</v>
      </c>
      <c r="N196" t="s">
        <v>43</v>
      </c>
      <c r="Q196" s="2"/>
      <c r="R196" s="9"/>
      <c r="S196" t="s">
        <v>44</v>
      </c>
      <c r="T196" t="s">
        <v>45</v>
      </c>
      <c r="U196" s="2" t="s">
        <v>583</v>
      </c>
      <c r="V196" s="9" t="s">
        <v>1271</v>
      </c>
      <c r="W196">
        <v>5.2260800148072004E+43</v>
      </c>
      <c r="X196" t="s">
        <v>46</v>
      </c>
      <c r="Y196" s="2" t="s">
        <v>717</v>
      </c>
      <c r="Z196" s="2" t="s">
        <v>718</v>
      </c>
      <c r="AA196" s="9" t="s">
        <v>715</v>
      </c>
      <c r="AC196" s="2"/>
      <c r="AD196" t="s">
        <v>7</v>
      </c>
      <c r="AE196" t="s">
        <v>1272</v>
      </c>
    </row>
    <row r="197" spans="1:31" x14ac:dyDescent="0.3">
      <c r="A197" s="17">
        <v>90739624000118</v>
      </c>
      <c r="B197" t="s">
        <v>61</v>
      </c>
      <c r="D197" t="s">
        <v>294</v>
      </c>
      <c r="E197" t="s">
        <v>2</v>
      </c>
      <c r="F197">
        <v>269308</v>
      </c>
      <c r="G197" s="1" t="s">
        <v>1273</v>
      </c>
      <c r="H197">
        <v>25026493</v>
      </c>
      <c r="I197">
        <v>820718</v>
      </c>
      <c r="J197" t="s">
        <v>62</v>
      </c>
      <c r="K197" s="17">
        <v>79964177000591</v>
      </c>
      <c r="L197" s="17">
        <v>9576274000106</v>
      </c>
      <c r="M197" s="9">
        <v>2029.09</v>
      </c>
      <c r="N197" t="s">
        <v>43</v>
      </c>
      <c r="Q197" s="2"/>
      <c r="R197" s="9"/>
      <c r="S197" t="s">
        <v>44</v>
      </c>
      <c r="T197" t="s">
        <v>45</v>
      </c>
      <c r="U197" s="2" t="s">
        <v>583</v>
      </c>
      <c r="V197" s="9" t="s">
        <v>1274</v>
      </c>
      <c r="W197">
        <v>4.1260879964176998E+43</v>
      </c>
      <c r="X197" t="s">
        <v>46</v>
      </c>
      <c r="Y197" s="2" t="s">
        <v>717</v>
      </c>
      <c r="Z197" s="2" t="s">
        <v>718</v>
      </c>
      <c r="AA197" s="9" t="s">
        <v>715</v>
      </c>
      <c r="AC197" s="2"/>
      <c r="AD197" t="s">
        <v>7</v>
      </c>
      <c r="AE197" t="s">
        <v>1275</v>
      </c>
    </row>
    <row r="198" spans="1:31" x14ac:dyDescent="0.3">
      <c r="A198" s="17">
        <v>90739624000118</v>
      </c>
      <c r="B198" t="s">
        <v>170</v>
      </c>
      <c r="C198">
        <v>24207</v>
      </c>
      <c r="D198" t="s">
        <v>588</v>
      </c>
      <c r="E198" t="s">
        <v>2</v>
      </c>
      <c r="F198">
        <v>269308</v>
      </c>
      <c r="G198" s="1" t="s">
        <v>1276</v>
      </c>
      <c r="H198">
        <v>25026253</v>
      </c>
      <c r="I198">
        <v>129997</v>
      </c>
      <c r="J198" t="s">
        <v>178</v>
      </c>
      <c r="K198" s="17">
        <v>83392050000199</v>
      </c>
      <c r="L198" s="17">
        <v>90739624001432</v>
      </c>
      <c r="M198" s="9">
        <v>170.13</v>
      </c>
      <c r="N198" t="s">
        <v>43</v>
      </c>
      <c r="Q198" s="2"/>
      <c r="R198" s="9"/>
      <c r="S198" t="s">
        <v>44</v>
      </c>
      <c r="T198" t="s">
        <v>45</v>
      </c>
      <c r="U198" s="2" t="s">
        <v>583</v>
      </c>
      <c r="V198" s="9" t="s">
        <v>1277</v>
      </c>
      <c r="W198">
        <v>4.2260883392050001E+43</v>
      </c>
      <c r="X198" t="s">
        <v>46</v>
      </c>
      <c r="Y198" s="2" t="s">
        <v>717</v>
      </c>
      <c r="Z198" s="2" t="s">
        <v>718</v>
      </c>
      <c r="AA198" s="9" t="s">
        <v>715</v>
      </c>
      <c r="AC198" s="2"/>
      <c r="AD198" t="s">
        <v>7</v>
      </c>
      <c r="AE198" t="s">
        <v>1278</v>
      </c>
    </row>
    <row r="199" spans="1:31" x14ac:dyDescent="0.3">
      <c r="A199" s="17">
        <v>90739624000118</v>
      </c>
      <c r="B199" t="s">
        <v>0</v>
      </c>
      <c r="D199" t="s">
        <v>1279</v>
      </c>
      <c r="E199" t="s">
        <v>2</v>
      </c>
      <c r="F199">
        <v>269308</v>
      </c>
      <c r="G199" s="1" t="s">
        <v>1280</v>
      </c>
      <c r="H199">
        <v>25026026</v>
      </c>
      <c r="I199">
        <v>101343</v>
      </c>
      <c r="J199" t="s">
        <v>134</v>
      </c>
      <c r="K199" s="17">
        <v>81326258000770</v>
      </c>
      <c r="L199" s="17">
        <v>90739624001432</v>
      </c>
      <c r="M199" s="9">
        <v>150.84</v>
      </c>
      <c r="N199" t="s">
        <v>43</v>
      </c>
      <c r="Q199" s="2"/>
      <c r="R199" s="9"/>
      <c r="S199" t="s">
        <v>44</v>
      </c>
      <c r="T199" t="s">
        <v>45</v>
      </c>
      <c r="U199" s="2" t="s">
        <v>583</v>
      </c>
      <c r="V199" s="9" t="s">
        <v>1281</v>
      </c>
      <c r="W199">
        <v>4.2260881326258001E+43</v>
      </c>
      <c r="X199" t="s">
        <v>46</v>
      </c>
      <c r="Y199" s="2" t="s">
        <v>717</v>
      </c>
      <c r="Z199" s="2" t="s">
        <v>718</v>
      </c>
      <c r="AA199" s="9" t="s">
        <v>715</v>
      </c>
      <c r="AC199" s="2"/>
      <c r="AD199" t="s">
        <v>7</v>
      </c>
      <c r="AE199" t="s">
        <v>1282</v>
      </c>
    </row>
    <row r="200" spans="1:31" x14ac:dyDescent="0.3">
      <c r="A200" s="17">
        <v>90739624000118</v>
      </c>
      <c r="B200" t="s">
        <v>63</v>
      </c>
      <c r="D200" t="s">
        <v>373</v>
      </c>
      <c r="E200" t="s">
        <v>2</v>
      </c>
      <c r="F200">
        <v>269308</v>
      </c>
      <c r="G200" s="1" t="s">
        <v>1283</v>
      </c>
      <c r="H200">
        <v>25025849</v>
      </c>
      <c r="I200">
        <v>59345</v>
      </c>
      <c r="J200" t="s">
        <v>919</v>
      </c>
      <c r="K200" s="17">
        <v>20630766000167</v>
      </c>
      <c r="L200" s="17">
        <v>90739624001432</v>
      </c>
      <c r="M200" s="9">
        <v>448.28</v>
      </c>
      <c r="N200" t="s">
        <v>43</v>
      </c>
      <c r="Q200" s="2"/>
      <c r="R200" s="9"/>
      <c r="S200" t="s">
        <v>44</v>
      </c>
      <c r="T200" t="s">
        <v>45</v>
      </c>
      <c r="U200" s="2" t="s">
        <v>583</v>
      </c>
      <c r="V200" s="9" t="s">
        <v>1284</v>
      </c>
      <c r="W200">
        <v>4.2260820630766001E+43</v>
      </c>
      <c r="X200" t="s">
        <v>46</v>
      </c>
      <c r="Y200" s="2" t="s">
        <v>717</v>
      </c>
      <c r="Z200" s="2" t="s">
        <v>718</v>
      </c>
      <c r="AA200" s="9" t="s">
        <v>715</v>
      </c>
      <c r="AC200" s="2"/>
      <c r="AD200" t="s">
        <v>7</v>
      </c>
      <c r="AE200" t="s">
        <v>1285</v>
      </c>
    </row>
    <row r="201" spans="1:31" x14ac:dyDescent="0.3">
      <c r="A201" s="17">
        <v>90739624000118</v>
      </c>
      <c r="B201" t="s">
        <v>36</v>
      </c>
      <c r="D201" t="s">
        <v>649</v>
      </c>
      <c r="E201" t="s">
        <v>2</v>
      </c>
      <c r="F201">
        <v>269308</v>
      </c>
      <c r="G201" s="1" t="s">
        <v>1286</v>
      </c>
      <c r="H201">
        <v>25025575</v>
      </c>
      <c r="I201">
        <v>4240</v>
      </c>
      <c r="J201" t="s">
        <v>186</v>
      </c>
      <c r="K201" s="17">
        <v>7822636000168</v>
      </c>
      <c r="L201" s="17">
        <v>90739624004458</v>
      </c>
      <c r="M201" s="9">
        <v>242.63</v>
      </c>
      <c r="N201" t="s">
        <v>43</v>
      </c>
      <c r="Q201" s="2"/>
      <c r="R201" s="9"/>
      <c r="S201" t="s">
        <v>44</v>
      </c>
      <c r="T201" t="s">
        <v>45</v>
      </c>
      <c r="U201" s="2" t="s">
        <v>583</v>
      </c>
      <c r="V201" s="9" t="s">
        <v>1287</v>
      </c>
      <c r="W201">
        <v>5.3260807822636003E+43</v>
      </c>
      <c r="X201" t="s">
        <v>46</v>
      </c>
      <c r="Y201" s="2" t="s">
        <v>717</v>
      </c>
      <c r="Z201" s="2" t="s">
        <v>718</v>
      </c>
      <c r="AA201" s="9" t="s">
        <v>715</v>
      </c>
      <c r="AC201" s="2"/>
      <c r="AD201" t="s">
        <v>7</v>
      </c>
      <c r="AE201" t="s">
        <v>1288</v>
      </c>
    </row>
    <row r="202" spans="1:31" x14ac:dyDescent="0.3">
      <c r="A202" s="17">
        <v>90739624000118</v>
      </c>
      <c r="B202" t="s">
        <v>28</v>
      </c>
      <c r="D202" t="s">
        <v>282</v>
      </c>
      <c r="E202" t="s">
        <v>2</v>
      </c>
      <c r="F202">
        <v>269308</v>
      </c>
      <c r="G202" s="1" t="s">
        <v>1289</v>
      </c>
      <c r="H202">
        <v>25025511</v>
      </c>
      <c r="I202">
        <v>81391</v>
      </c>
      <c r="J202" t="s">
        <v>48</v>
      </c>
      <c r="K202" s="17">
        <v>1272434001002</v>
      </c>
      <c r="L202" s="17">
        <v>90739624001947</v>
      </c>
      <c r="M202" s="9">
        <v>209.25</v>
      </c>
      <c r="N202" t="s">
        <v>43</v>
      </c>
      <c r="Q202" s="2"/>
      <c r="R202" s="9"/>
      <c r="S202" t="s">
        <v>44</v>
      </c>
      <c r="T202" t="s">
        <v>45</v>
      </c>
      <c r="U202" s="2" t="s">
        <v>583</v>
      </c>
      <c r="V202" s="9" t="s">
        <v>1290</v>
      </c>
      <c r="W202">
        <v>5.2260801272433996E+43</v>
      </c>
      <c r="X202" t="s">
        <v>46</v>
      </c>
      <c r="Y202" s="2" t="s">
        <v>717</v>
      </c>
      <c r="Z202" s="2" t="s">
        <v>718</v>
      </c>
      <c r="AA202" s="9" t="s">
        <v>715</v>
      </c>
      <c r="AC202" s="2"/>
      <c r="AD202" t="s">
        <v>7</v>
      </c>
      <c r="AE202" t="s">
        <v>1291</v>
      </c>
    </row>
    <row r="203" spans="1:31" x14ac:dyDescent="0.3">
      <c r="A203" s="17">
        <v>90739624000118</v>
      </c>
      <c r="B203" t="s">
        <v>28</v>
      </c>
      <c r="D203" t="s">
        <v>525</v>
      </c>
      <c r="E203" t="s">
        <v>2</v>
      </c>
      <c r="F203">
        <v>269308</v>
      </c>
      <c r="G203" s="1" t="s">
        <v>1292</v>
      </c>
      <c r="H203">
        <v>25025355</v>
      </c>
      <c r="I203">
        <v>81390</v>
      </c>
      <c r="J203" t="s">
        <v>48</v>
      </c>
      <c r="K203" s="17">
        <v>1272434001002</v>
      </c>
      <c r="L203" s="17">
        <v>90739624001947</v>
      </c>
      <c r="M203" s="9">
        <v>219.64</v>
      </c>
      <c r="N203" t="s">
        <v>43</v>
      </c>
      <c r="Q203" s="2"/>
      <c r="R203" s="9"/>
      <c r="S203" t="s">
        <v>44</v>
      </c>
      <c r="T203" t="s">
        <v>45</v>
      </c>
      <c r="U203" s="2" t="s">
        <v>583</v>
      </c>
      <c r="V203" s="9" t="s">
        <v>1293</v>
      </c>
      <c r="W203">
        <v>5.2260801272433996E+43</v>
      </c>
      <c r="X203" t="s">
        <v>46</v>
      </c>
      <c r="Y203" s="2" t="s">
        <v>717</v>
      </c>
      <c r="Z203" s="2" t="s">
        <v>718</v>
      </c>
      <c r="AA203" s="9" t="s">
        <v>715</v>
      </c>
      <c r="AC203" s="2"/>
      <c r="AD203" t="s">
        <v>7</v>
      </c>
      <c r="AE203" t="s">
        <v>1294</v>
      </c>
    </row>
    <row r="204" spans="1:31" x14ac:dyDescent="0.3">
      <c r="A204" s="17">
        <v>90739624000118</v>
      </c>
      <c r="B204" t="s">
        <v>100</v>
      </c>
      <c r="C204">
        <v>23619</v>
      </c>
      <c r="D204" t="s">
        <v>856</v>
      </c>
      <c r="E204" t="s">
        <v>2</v>
      </c>
      <c r="F204">
        <v>269308</v>
      </c>
      <c r="G204" s="1" t="s">
        <v>1295</v>
      </c>
      <c r="H204">
        <v>25025353</v>
      </c>
      <c r="I204">
        <v>323755</v>
      </c>
      <c r="J204" t="s">
        <v>634</v>
      </c>
      <c r="K204" s="17">
        <v>22611652000286</v>
      </c>
      <c r="L204" s="17">
        <v>90739624001866</v>
      </c>
      <c r="M204" s="9">
        <v>626.4</v>
      </c>
      <c r="N204" t="s">
        <v>43</v>
      </c>
      <c r="Q204" s="2"/>
      <c r="R204" s="9"/>
      <c r="S204" t="s">
        <v>44</v>
      </c>
      <c r="T204" t="s">
        <v>45</v>
      </c>
      <c r="U204" s="2" t="s">
        <v>583</v>
      </c>
      <c r="V204" s="9" t="s">
        <v>1296</v>
      </c>
      <c r="W204">
        <v>5.1260822611652001E+43</v>
      </c>
      <c r="X204" t="s">
        <v>46</v>
      </c>
      <c r="Y204" s="2" t="s">
        <v>717</v>
      </c>
      <c r="Z204" s="2" t="s">
        <v>718</v>
      </c>
      <c r="AA204" s="9" t="s">
        <v>715</v>
      </c>
      <c r="AC204" s="2"/>
      <c r="AD204" t="s">
        <v>7</v>
      </c>
      <c r="AE204" t="s">
        <v>1297</v>
      </c>
    </row>
    <row r="205" spans="1:31" x14ac:dyDescent="0.3">
      <c r="A205" s="17">
        <v>90739624000118</v>
      </c>
      <c r="B205" t="s">
        <v>18</v>
      </c>
      <c r="D205" t="s">
        <v>502</v>
      </c>
      <c r="E205" t="s">
        <v>2</v>
      </c>
      <c r="F205">
        <v>269308</v>
      </c>
      <c r="G205" s="1" t="s">
        <v>1298</v>
      </c>
      <c r="H205">
        <v>25025341</v>
      </c>
      <c r="I205">
        <v>87465</v>
      </c>
      <c r="J205" t="s">
        <v>165</v>
      </c>
      <c r="K205" s="17">
        <v>25449917000107</v>
      </c>
      <c r="L205" s="17">
        <v>90739624000380</v>
      </c>
      <c r="M205" s="9">
        <v>460.3</v>
      </c>
      <c r="N205" t="s">
        <v>43</v>
      </c>
      <c r="Q205" s="2"/>
      <c r="R205" s="9"/>
      <c r="S205" t="s">
        <v>44</v>
      </c>
      <c r="T205" t="s">
        <v>45</v>
      </c>
      <c r="U205" s="2" t="s">
        <v>583</v>
      </c>
      <c r="V205" s="9" t="s">
        <v>1299</v>
      </c>
      <c r="W205">
        <v>3.5260825449917002E+43</v>
      </c>
      <c r="X205" t="s">
        <v>46</v>
      </c>
      <c r="Y205" s="2" t="s">
        <v>717</v>
      </c>
      <c r="Z205" s="2" t="s">
        <v>718</v>
      </c>
      <c r="AA205" s="9" t="s">
        <v>715</v>
      </c>
      <c r="AC205" s="2"/>
      <c r="AD205" t="s">
        <v>7</v>
      </c>
      <c r="AE205" t="s">
        <v>1300</v>
      </c>
    </row>
    <row r="206" spans="1:31" x14ac:dyDescent="0.3">
      <c r="A206" s="17">
        <v>90739624000118</v>
      </c>
      <c r="B206" t="s">
        <v>58</v>
      </c>
      <c r="D206" t="s">
        <v>334</v>
      </c>
      <c r="E206" t="s">
        <v>2</v>
      </c>
      <c r="F206">
        <v>269308</v>
      </c>
      <c r="G206" s="1" t="s">
        <v>1301</v>
      </c>
      <c r="H206">
        <v>25025339</v>
      </c>
      <c r="J206" t="s">
        <v>106</v>
      </c>
      <c r="K206" s="17">
        <v>7473735015103</v>
      </c>
      <c r="L206" s="17"/>
      <c r="M206" s="9">
        <v>283.22000000000003</v>
      </c>
      <c r="N206" t="s">
        <v>43</v>
      </c>
      <c r="Q206" s="2"/>
      <c r="R206" s="9"/>
      <c r="S206" t="s">
        <v>87</v>
      </c>
      <c r="U206" s="2"/>
      <c r="V206" s="9"/>
      <c r="X206" t="s">
        <v>88</v>
      </c>
      <c r="Y206" s="2" t="s">
        <v>717</v>
      </c>
      <c r="Z206" s="2" t="s">
        <v>718</v>
      </c>
      <c r="AA206" s="9" t="s">
        <v>715</v>
      </c>
      <c r="AC206" s="2"/>
      <c r="AD206" t="s">
        <v>7</v>
      </c>
    </row>
    <row r="207" spans="1:31" x14ac:dyDescent="0.3">
      <c r="A207" s="17">
        <v>90739624000118</v>
      </c>
      <c r="B207" t="s">
        <v>28</v>
      </c>
      <c r="D207" t="s">
        <v>91</v>
      </c>
      <c r="E207" t="s">
        <v>2</v>
      </c>
      <c r="F207">
        <v>269308</v>
      </c>
      <c r="G207" s="1" t="s">
        <v>1303</v>
      </c>
      <c r="H207">
        <v>25025333</v>
      </c>
      <c r="I207">
        <v>113379</v>
      </c>
      <c r="J207" t="s">
        <v>29</v>
      </c>
      <c r="K207" s="17">
        <v>47377960000139</v>
      </c>
      <c r="L207" s="17">
        <v>90739624001947</v>
      </c>
      <c r="M207" s="9">
        <v>246.06</v>
      </c>
      <c r="N207" t="s">
        <v>43</v>
      </c>
      <c r="Q207" s="2"/>
      <c r="R207" s="9"/>
      <c r="S207" t="s">
        <v>44</v>
      </c>
      <c r="T207" t="s">
        <v>45</v>
      </c>
      <c r="U207" s="2" t="s">
        <v>583</v>
      </c>
      <c r="V207" s="9" t="s">
        <v>663</v>
      </c>
      <c r="W207">
        <v>5.2260847377959996E+43</v>
      </c>
      <c r="X207" t="s">
        <v>46</v>
      </c>
      <c r="Y207" s="2" t="s">
        <v>717</v>
      </c>
      <c r="Z207" s="2" t="s">
        <v>718</v>
      </c>
      <c r="AA207" s="9" t="s">
        <v>715</v>
      </c>
      <c r="AC207" s="2"/>
      <c r="AD207" t="s">
        <v>7</v>
      </c>
      <c r="AE207" t="s">
        <v>1305</v>
      </c>
    </row>
    <row r="208" spans="1:31" x14ac:dyDescent="0.3">
      <c r="A208" s="17">
        <v>90739624000118</v>
      </c>
      <c r="B208" t="s">
        <v>8</v>
      </c>
      <c r="C208">
        <v>22482</v>
      </c>
      <c r="D208" t="s">
        <v>512</v>
      </c>
      <c r="E208" t="s">
        <v>2</v>
      </c>
      <c r="F208">
        <v>269308</v>
      </c>
      <c r="G208" s="1" t="s">
        <v>1306</v>
      </c>
      <c r="H208">
        <v>25025327</v>
      </c>
      <c r="I208">
        <v>4414</v>
      </c>
      <c r="J208" t="s">
        <v>10</v>
      </c>
      <c r="K208" s="17">
        <v>33286065000102</v>
      </c>
      <c r="L208" s="17">
        <v>9576274000106</v>
      </c>
      <c r="M208" s="9">
        <v>331.79</v>
      </c>
      <c r="N208" t="s">
        <v>43</v>
      </c>
      <c r="Q208" s="2"/>
      <c r="R208" s="9"/>
      <c r="S208" t="s">
        <v>44</v>
      </c>
      <c r="T208" t="s">
        <v>45</v>
      </c>
      <c r="U208" s="2" t="s">
        <v>583</v>
      </c>
      <c r="V208" s="9" t="s">
        <v>1307</v>
      </c>
      <c r="W208">
        <v>4.1260833286065001E+43</v>
      </c>
      <c r="X208" t="s">
        <v>46</v>
      </c>
      <c r="Y208" s="2" t="s">
        <v>717</v>
      </c>
      <c r="Z208" s="2" t="s">
        <v>718</v>
      </c>
      <c r="AA208" s="9" t="s">
        <v>715</v>
      </c>
      <c r="AC208" s="2"/>
      <c r="AD208" t="s">
        <v>7</v>
      </c>
      <c r="AE208" t="s">
        <v>1308</v>
      </c>
    </row>
    <row r="209" spans="1:31" x14ac:dyDescent="0.3">
      <c r="A209" s="17">
        <v>90739624000118</v>
      </c>
      <c r="B209" t="s">
        <v>63</v>
      </c>
      <c r="D209" t="s">
        <v>1309</v>
      </c>
      <c r="E209" t="s">
        <v>17</v>
      </c>
      <c r="F209">
        <v>269308</v>
      </c>
      <c r="G209" s="1" t="s">
        <v>1310</v>
      </c>
      <c r="H209">
        <v>25025181</v>
      </c>
      <c r="I209">
        <v>708</v>
      </c>
      <c r="J209" t="s">
        <v>961</v>
      </c>
      <c r="K209" s="17">
        <v>65580965000146</v>
      </c>
      <c r="L209" s="17">
        <v>90739624001432</v>
      </c>
      <c r="M209" s="9">
        <v>9.02</v>
      </c>
      <c r="N209" t="s">
        <v>43</v>
      </c>
      <c r="Q209" s="2"/>
      <c r="R209" s="9"/>
      <c r="S209" t="s">
        <v>44</v>
      </c>
      <c r="T209" t="s">
        <v>45</v>
      </c>
      <c r="U209" s="2" t="s">
        <v>583</v>
      </c>
      <c r="V209" s="9" t="s">
        <v>1311</v>
      </c>
      <c r="W209">
        <v>4.2260865580965E+43</v>
      </c>
      <c r="X209" t="s">
        <v>46</v>
      </c>
      <c r="Y209" s="2" t="s">
        <v>717</v>
      </c>
      <c r="Z209" s="2" t="s">
        <v>718</v>
      </c>
      <c r="AA209" s="9" t="s">
        <v>715</v>
      </c>
      <c r="AC209" s="2"/>
      <c r="AD209" t="s">
        <v>7</v>
      </c>
      <c r="AE209" t="s">
        <v>1312</v>
      </c>
    </row>
    <row r="210" spans="1:31" x14ac:dyDescent="0.3">
      <c r="A210" s="17">
        <v>90739624000118</v>
      </c>
      <c r="B210" t="s">
        <v>13</v>
      </c>
      <c r="C210">
        <v>24498</v>
      </c>
      <c r="D210" t="s">
        <v>594</v>
      </c>
      <c r="E210" t="s">
        <v>2</v>
      </c>
      <c r="F210">
        <v>269308</v>
      </c>
      <c r="G210" s="1" t="s">
        <v>1313</v>
      </c>
      <c r="H210">
        <v>25025158</v>
      </c>
      <c r="I210">
        <v>24652</v>
      </c>
      <c r="J210" t="s">
        <v>15</v>
      </c>
      <c r="K210" s="17">
        <v>30432373000100</v>
      </c>
      <c r="L210" s="17">
        <v>90739624001190</v>
      </c>
      <c r="M210" s="9">
        <v>321.97000000000003</v>
      </c>
      <c r="N210" t="s">
        <v>43</v>
      </c>
      <c r="Q210" s="2"/>
      <c r="R210" s="9"/>
      <c r="S210" t="s">
        <v>44</v>
      </c>
      <c r="T210" t="s">
        <v>45</v>
      </c>
      <c r="U210" s="2" t="s">
        <v>583</v>
      </c>
      <c r="V210" s="9" t="s">
        <v>1315</v>
      </c>
      <c r="W210">
        <v>5.0260830432372995E+43</v>
      </c>
      <c r="X210" t="s">
        <v>46</v>
      </c>
      <c r="Y210" s="2" t="s">
        <v>717</v>
      </c>
      <c r="Z210" s="2" t="s">
        <v>718</v>
      </c>
      <c r="AA210" s="9" t="s">
        <v>715</v>
      </c>
      <c r="AC210" s="2"/>
      <c r="AD210" t="s">
        <v>7</v>
      </c>
      <c r="AE210" t="s">
        <v>1316</v>
      </c>
    </row>
    <row r="211" spans="1:31" x14ac:dyDescent="0.3">
      <c r="A211" s="17">
        <v>90739624000118</v>
      </c>
      <c r="B211" t="s">
        <v>18</v>
      </c>
      <c r="D211" t="s">
        <v>616</v>
      </c>
      <c r="E211" t="s">
        <v>2</v>
      </c>
      <c r="F211">
        <v>269308</v>
      </c>
      <c r="G211" s="1" t="s">
        <v>1317</v>
      </c>
      <c r="H211">
        <v>25025154</v>
      </c>
      <c r="I211">
        <v>15544</v>
      </c>
      <c r="J211" t="s">
        <v>57</v>
      </c>
      <c r="K211" s="17">
        <v>50206655000199</v>
      </c>
      <c r="L211" s="17">
        <v>90739624000380</v>
      </c>
      <c r="M211" s="9">
        <v>729.73</v>
      </c>
      <c r="N211" t="s">
        <v>43</v>
      </c>
      <c r="Q211" s="2"/>
      <c r="R211" s="9"/>
      <c r="S211" t="s">
        <v>44</v>
      </c>
      <c r="T211" t="s">
        <v>45</v>
      </c>
      <c r="U211" s="2" t="s">
        <v>602</v>
      </c>
      <c r="V211" s="9" t="s">
        <v>1318</v>
      </c>
      <c r="W211">
        <v>3.5260850206654998E+43</v>
      </c>
      <c r="X211" t="s">
        <v>46</v>
      </c>
      <c r="Y211" s="2" t="s">
        <v>717</v>
      </c>
      <c r="Z211" s="2" t="s">
        <v>718</v>
      </c>
      <c r="AA211" s="9" t="s">
        <v>715</v>
      </c>
      <c r="AC211" s="2"/>
      <c r="AD211" t="s">
        <v>7</v>
      </c>
      <c r="AE211" t="s">
        <v>1319</v>
      </c>
    </row>
    <row r="212" spans="1:31" x14ac:dyDescent="0.3">
      <c r="A212" s="17">
        <v>90739624000118</v>
      </c>
      <c r="B212" t="s">
        <v>36</v>
      </c>
      <c r="D212" t="s">
        <v>510</v>
      </c>
      <c r="E212" t="s">
        <v>2</v>
      </c>
      <c r="F212">
        <v>269308</v>
      </c>
      <c r="G212" s="1" t="s">
        <v>1320</v>
      </c>
      <c r="H212">
        <v>25025153</v>
      </c>
      <c r="I212">
        <v>4239</v>
      </c>
      <c r="J212" t="s">
        <v>186</v>
      </c>
      <c r="K212" s="17">
        <v>7822636000168</v>
      </c>
      <c r="L212" s="17">
        <v>90739624004458</v>
      </c>
      <c r="M212" s="9">
        <v>224.12</v>
      </c>
      <c r="N212" t="s">
        <v>43</v>
      </c>
      <c r="Q212" s="2"/>
      <c r="R212" s="9"/>
      <c r="S212" t="s">
        <v>44</v>
      </c>
      <c r="T212" t="s">
        <v>45</v>
      </c>
      <c r="U212" s="2" t="s">
        <v>583</v>
      </c>
      <c r="V212" s="9" t="s">
        <v>1322</v>
      </c>
      <c r="W212">
        <v>5.3260807822636003E+43</v>
      </c>
      <c r="X212" t="s">
        <v>46</v>
      </c>
      <c r="Y212" s="2" t="s">
        <v>717</v>
      </c>
      <c r="Z212" s="2" t="s">
        <v>718</v>
      </c>
      <c r="AA212" s="9" t="s">
        <v>715</v>
      </c>
      <c r="AC212" s="2"/>
      <c r="AD212" t="s">
        <v>7</v>
      </c>
      <c r="AE212" t="s">
        <v>1323</v>
      </c>
    </row>
    <row r="213" spans="1:31" x14ac:dyDescent="0.3">
      <c r="A213" s="17">
        <v>90739624000118</v>
      </c>
      <c r="B213" t="s">
        <v>63</v>
      </c>
      <c r="D213" t="s">
        <v>1309</v>
      </c>
      <c r="E213" t="s">
        <v>2</v>
      </c>
      <c r="F213">
        <v>269308</v>
      </c>
      <c r="G213" s="1" t="s">
        <v>1324</v>
      </c>
      <c r="H213">
        <v>25025041</v>
      </c>
      <c r="I213">
        <v>707</v>
      </c>
      <c r="J213" t="s">
        <v>961</v>
      </c>
      <c r="K213" s="17">
        <v>65580965000146</v>
      </c>
      <c r="L213" s="17">
        <v>90739624001432</v>
      </c>
      <c r="M213" s="9">
        <v>199.75</v>
      </c>
      <c r="N213" t="s">
        <v>43</v>
      </c>
      <c r="Q213" s="2"/>
      <c r="R213" s="9"/>
      <c r="S213" t="s">
        <v>44</v>
      </c>
      <c r="T213" t="s">
        <v>45</v>
      </c>
      <c r="U213" s="2" t="s">
        <v>583</v>
      </c>
      <c r="V213" s="9" t="s">
        <v>1325</v>
      </c>
      <c r="W213">
        <v>4.2260865580965E+43</v>
      </c>
      <c r="X213" t="s">
        <v>46</v>
      </c>
      <c r="Y213" s="2" t="s">
        <v>717</v>
      </c>
      <c r="Z213" s="2" t="s">
        <v>718</v>
      </c>
      <c r="AA213" s="9" t="s">
        <v>715</v>
      </c>
      <c r="AC213" s="2"/>
      <c r="AD213" t="s">
        <v>7</v>
      </c>
      <c r="AE213" t="s">
        <v>1326</v>
      </c>
    </row>
    <row r="214" spans="1:31" x14ac:dyDescent="0.3">
      <c r="A214" s="17">
        <v>90739624000118</v>
      </c>
      <c r="B214" t="s">
        <v>61</v>
      </c>
      <c r="D214" t="s">
        <v>314</v>
      </c>
      <c r="E214" t="s">
        <v>2</v>
      </c>
      <c r="F214">
        <v>269308</v>
      </c>
      <c r="G214" s="1" t="s">
        <v>1327</v>
      </c>
      <c r="H214">
        <v>25024834</v>
      </c>
      <c r="I214">
        <v>820705</v>
      </c>
      <c r="J214" t="s">
        <v>62</v>
      </c>
      <c r="K214" s="17">
        <v>79964177000591</v>
      </c>
      <c r="L214" s="17">
        <v>9576274000106</v>
      </c>
      <c r="M214" s="9">
        <v>2697.2</v>
      </c>
      <c r="N214" t="s">
        <v>43</v>
      </c>
      <c r="Q214" s="2"/>
      <c r="R214" s="9"/>
      <c r="S214" t="s">
        <v>44</v>
      </c>
      <c r="T214" t="s">
        <v>45</v>
      </c>
      <c r="U214" s="2" t="s">
        <v>583</v>
      </c>
      <c r="V214" s="9" t="s">
        <v>1328</v>
      </c>
      <c r="W214">
        <v>4.1260879964176998E+43</v>
      </c>
      <c r="X214" t="s">
        <v>46</v>
      </c>
      <c r="Y214" s="2" t="s">
        <v>717</v>
      </c>
      <c r="Z214" s="2" t="s">
        <v>718</v>
      </c>
      <c r="AA214" s="9" t="s">
        <v>715</v>
      </c>
      <c r="AC214" s="2"/>
      <c r="AD214" t="s">
        <v>7</v>
      </c>
      <c r="AE214" t="s">
        <v>1329</v>
      </c>
    </row>
    <row r="215" spans="1:31" x14ac:dyDescent="0.3">
      <c r="A215" s="17">
        <v>90739624000118</v>
      </c>
      <c r="B215" t="s">
        <v>36</v>
      </c>
      <c r="C215">
        <v>22446</v>
      </c>
      <c r="D215" t="s">
        <v>196</v>
      </c>
      <c r="E215" t="s">
        <v>2</v>
      </c>
      <c r="F215">
        <v>269308</v>
      </c>
      <c r="G215" s="1" t="s">
        <v>1330</v>
      </c>
      <c r="H215">
        <v>25024777</v>
      </c>
      <c r="I215">
        <v>4238</v>
      </c>
      <c r="J215" t="s">
        <v>186</v>
      </c>
      <c r="K215" s="17">
        <v>7822636000168</v>
      </c>
      <c r="L215" s="17">
        <v>90739624004458</v>
      </c>
      <c r="M215" s="9">
        <v>270.64999999999998</v>
      </c>
      <c r="N215" t="s">
        <v>43</v>
      </c>
      <c r="Q215" s="2"/>
      <c r="R215" s="9"/>
      <c r="S215" t="s">
        <v>44</v>
      </c>
      <c r="T215" t="s">
        <v>45</v>
      </c>
      <c r="U215" s="2" t="s">
        <v>583</v>
      </c>
      <c r="V215" s="9" t="s">
        <v>1332</v>
      </c>
      <c r="W215">
        <v>5.3260807822636003E+43</v>
      </c>
      <c r="X215" t="s">
        <v>46</v>
      </c>
      <c r="Y215" s="2" t="s">
        <v>717</v>
      </c>
      <c r="Z215" s="2" t="s">
        <v>718</v>
      </c>
      <c r="AA215" s="9" t="s">
        <v>715</v>
      </c>
      <c r="AC215" s="2"/>
      <c r="AD215" t="s">
        <v>7</v>
      </c>
      <c r="AE215" t="s">
        <v>1333</v>
      </c>
    </row>
    <row r="216" spans="1:31" x14ac:dyDescent="0.3">
      <c r="A216" s="17">
        <v>90739624000118</v>
      </c>
      <c r="B216" t="s">
        <v>13</v>
      </c>
      <c r="D216" t="s">
        <v>1068</v>
      </c>
      <c r="E216" t="s">
        <v>2</v>
      </c>
      <c r="F216">
        <v>269308</v>
      </c>
      <c r="G216" s="1" t="s">
        <v>1334</v>
      </c>
      <c r="H216">
        <v>25024712</v>
      </c>
      <c r="I216">
        <v>16179</v>
      </c>
      <c r="J216" t="s">
        <v>315</v>
      </c>
      <c r="K216" s="17">
        <v>2322969000104</v>
      </c>
      <c r="L216" s="17">
        <v>90739624001190</v>
      </c>
      <c r="M216" s="9">
        <v>231.13</v>
      </c>
      <c r="N216" t="s">
        <v>43</v>
      </c>
      <c r="Q216" s="2"/>
      <c r="R216" s="9"/>
      <c r="S216" t="s">
        <v>44</v>
      </c>
      <c r="T216" t="s">
        <v>45</v>
      </c>
      <c r="U216" s="2" t="s">
        <v>583</v>
      </c>
      <c r="V216" s="9" t="s">
        <v>1335</v>
      </c>
      <c r="W216">
        <v>5.0260802322968997E+43</v>
      </c>
      <c r="X216" t="s">
        <v>46</v>
      </c>
      <c r="Y216" s="2" t="s">
        <v>717</v>
      </c>
      <c r="Z216" s="2" t="s">
        <v>718</v>
      </c>
      <c r="AA216" s="9" t="s">
        <v>715</v>
      </c>
      <c r="AC216" s="2"/>
      <c r="AD216" t="s">
        <v>7</v>
      </c>
      <c r="AE216" t="s">
        <v>1336</v>
      </c>
    </row>
    <row r="217" spans="1:31" x14ac:dyDescent="0.3">
      <c r="A217" s="17">
        <v>90739624000118</v>
      </c>
      <c r="B217" t="s">
        <v>58</v>
      </c>
      <c r="D217" t="s">
        <v>497</v>
      </c>
      <c r="E217" t="s">
        <v>2</v>
      </c>
      <c r="F217">
        <v>269308</v>
      </c>
      <c r="G217" s="1" t="s">
        <v>1337</v>
      </c>
      <c r="H217">
        <v>25024701</v>
      </c>
      <c r="J217" t="s">
        <v>60</v>
      </c>
      <c r="K217" s="17">
        <v>7473735018200</v>
      </c>
      <c r="L217" s="17"/>
      <c r="M217" s="9">
        <v>201.17</v>
      </c>
      <c r="N217" t="s">
        <v>43</v>
      </c>
      <c r="Q217" s="2"/>
      <c r="R217" s="9"/>
      <c r="S217" t="s">
        <v>87</v>
      </c>
      <c r="U217" s="2"/>
      <c r="V217" s="9"/>
      <c r="X217" t="s">
        <v>88</v>
      </c>
      <c r="Y217" s="2" t="s">
        <v>717</v>
      </c>
      <c r="Z217" s="2" t="s">
        <v>718</v>
      </c>
      <c r="AA217" s="9" t="s">
        <v>715</v>
      </c>
      <c r="AC217" s="2"/>
      <c r="AD217" t="s">
        <v>7</v>
      </c>
    </row>
    <row r="218" spans="1:31" x14ac:dyDescent="0.3">
      <c r="A218" s="17">
        <v>90739624000118</v>
      </c>
      <c r="B218" t="s">
        <v>73</v>
      </c>
      <c r="D218" t="s">
        <v>506</v>
      </c>
      <c r="E218" t="s">
        <v>2</v>
      </c>
      <c r="F218">
        <v>269308</v>
      </c>
      <c r="G218" s="1" t="s">
        <v>1339</v>
      </c>
      <c r="H218">
        <v>25024576</v>
      </c>
      <c r="J218" t="s">
        <v>1340</v>
      </c>
      <c r="K218" s="17">
        <v>7473735001153</v>
      </c>
      <c r="L218" s="17"/>
      <c r="M218" s="9">
        <v>173.13</v>
      </c>
      <c r="N218" t="s">
        <v>43</v>
      </c>
      <c r="Q218" s="2"/>
      <c r="R218" s="9"/>
      <c r="S218" t="s">
        <v>87</v>
      </c>
      <c r="U218" s="2"/>
      <c r="V218" s="9"/>
      <c r="X218" t="s">
        <v>88</v>
      </c>
      <c r="Y218" s="2" t="s">
        <v>717</v>
      </c>
      <c r="Z218" s="2" t="s">
        <v>718</v>
      </c>
      <c r="AA218" s="9" t="s">
        <v>715</v>
      </c>
      <c r="AC218" s="2"/>
      <c r="AD218" t="s">
        <v>7</v>
      </c>
    </row>
    <row r="219" spans="1:31" x14ac:dyDescent="0.3">
      <c r="A219" s="17">
        <v>90739624000118</v>
      </c>
      <c r="B219" t="s">
        <v>170</v>
      </c>
      <c r="C219">
        <v>24444</v>
      </c>
      <c r="D219" t="s">
        <v>281</v>
      </c>
      <c r="E219" t="s">
        <v>2</v>
      </c>
      <c r="F219">
        <v>269308</v>
      </c>
      <c r="G219" s="1" t="s">
        <v>1342</v>
      </c>
      <c r="H219">
        <v>25024575</v>
      </c>
      <c r="I219">
        <v>47751</v>
      </c>
      <c r="J219" t="s">
        <v>171</v>
      </c>
      <c r="K219" s="17">
        <v>14631967000186</v>
      </c>
      <c r="L219" s="17">
        <v>90739624001432</v>
      </c>
      <c r="M219" s="9">
        <v>166.14</v>
      </c>
      <c r="N219" t="s">
        <v>43</v>
      </c>
      <c r="Q219" s="2"/>
      <c r="R219" s="9"/>
      <c r="S219" t="s">
        <v>44</v>
      </c>
      <c r="T219" t="s">
        <v>45</v>
      </c>
      <c r="U219" s="2" t="s">
        <v>583</v>
      </c>
      <c r="V219" s="9" t="s">
        <v>1343</v>
      </c>
      <c r="W219">
        <v>4.2260814631966998E+43</v>
      </c>
      <c r="X219" t="s">
        <v>46</v>
      </c>
      <c r="Y219" s="2" t="s">
        <v>717</v>
      </c>
      <c r="Z219" s="2" t="s">
        <v>718</v>
      </c>
      <c r="AA219" s="9" t="s">
        <v>715</v>
      </c>
      <c r="AC219" s="2"/>
      <c r="AD219" t="s">
        <v>7</v>
      </c>
      <c r="AE219" t="s">
        <v>1344</v>
      </c>
    </row>
    <row r="220" spans="1:31" x14ac:dyDescent="0.3">
      <c r="A220" s="17">
        <v>90739624000118</v>
      </c>
      <c r="B220" t="s">
        <v>0</v>
      </c>
      <c r="C220">
        <v>25072</v>
      </c>
      <c r="D220" t="s">
        <v>199</v>
      </c>
      <c r="E220" t="s">
        <v>2</v>
      </c>
      <c r="F220">
        <v>269308</v>
      </c>
      <c r="G220" s="1" t="s">
        <v>1345</v>
      </c>
      <c r="H220">
        <v>25024526</v>
      </c>
      <c r="I220">
        <v>101337</v>
      </c>
      <c r="J220" t="s">
        <v>134</v>
      </c>
      <c r="K220" s="17">
        <v>81326258000770</v>
      </c>
      <c r="L220" s="17">
        <v>90739624001432</v>
      </c>
      <c r="M220" s="9">
        <v>408.96</v>
      </c>
      <c r="N220" t="s">
        <v>43</v>
      </c>
      <c r="Q220" s="2"/>
      <c r="R220" s="9"/>
      <c r="S220" t="s">
        <v>44</v>
      </c>
      <c r="T220" t="s">
        <v>45</v>
      </c>
      <c r="U220" s="2" t="s">
        <v>583</v>
      </c>
      <c r="V220" s="9" t="s">
        <v>1346</v>
      </c>
      <c r="W220">
        <v>4.2260881326258001E+43</v>
      </c>
      <c r="X220" t="s">
        <v>46</v>
      </c>
      <c r="Y220" s="2" t="s">
        <v>717</v>
      </c>
      <c r="Z220" s="2" t="s">
        <v>718</v>
      </c>
      <c r="AA220" s="9" t="s">
        <v>715</v>
      </c>
      <c r="AC220" s="2"/>
      <c r="AD220" t="s">
        <v>7</v>
      </c>
      <c r="AE220" t="s">
        <v>1347</v>
      </c>
    </row>
    <row r="221" spans="1:31" x14ac:dyDescent="0.3">
      <c r="A221" s="17">
        <v>90739624000118</v>
      </c>
      <c r="B221" t="s">
        <v>58</v>
      </c>
      <c r="D221" t="s">
        <v>391</v>
      </c>
      <c r="E221" t="s">
        <v>2</v>
      </c>
      <c r="F221">
        <v>269308</v>
      </c>
      <c r="G221" s="1" t="s">
        <v>1348</v>
      </c>
      <c r="H221">
        <v>25024524</v>
      </c>
      <c r="J221" t="s">
        <v>106</v>
      </c>
      <c r="K221" s="17">
        <v>7473735015103</v>
      </c>
      <c r="L221" s="17"/>
      <c r="M221" s="9">
        <v>196.35</v>
      </c>
      <c r="N221" t="s">
        <v>43</v>
      </c>
      <c r="Q221" s="2"/>
      <c r="R221" s="9"/>
      <c r="S221" t="s">
        <v>87</v>
      </c>
      <c r="U221" s="2"/>
      <c r="V221" s="9"/>
      <c r="X221" t="s">
        <v>88</v>
      </c>
      <c r="Y221" s="2" t="s">
        <v>717</v>
      </c>
      <c r="Z221" s="2" t="s">
        <v>718</v>
      </c>
      <c r="AA221" s="9" t="s">
        <v>715</v>
      </c>
      <c r="AC221" s="2"/>
      <c r="AD221" t="s">
        <v>7</v>
      </c>
    </row>
    <row r="222" spans="1:31" x14ac:dyDescent="0.3">
      <c r="A222" s="17">
        <v>90739624000118</v>
      </c>
      <c r="B222" t="s">
        <v>28</v>
      </c>
      <c r="D222" t="s">
        <v>205</v>
      </c>
      <c r="E222" t="s">
        <v>2</v>
      </c>
      <c r="F222">
        <v>269308</v>
      </c>
      <c r="G222" s="1" t="s">
        <v>1350</v>
      </c>
      <c r="H222">
        <v>25024403</v>
      </c>
      <c r="I222">
        <v>81380</v>
      </c>
      <c r="J222" t="s">
        <v>48</v>
      </c>
      <c r="K222" s="17">
        <v>1272434001002</v>
      </c>
      <c r="L222" s="17">
        <v>90739624001947</v>
      </c>
      <c r="M222" s="9">
        <v>658.56</v>
      </c>
      <c r="N222" t="s">
        <v>43</v>
      </c>
      <c r="Q222" s="2"/>
      <c r="R222" s="9"/>
      <c r="S222" t="s">
        <v>44</v>
      </c>
      <c r="T222" t="s">
        <v>45</v>
      </c>
      <c r="U222" s="2" t="s">
        <v>583</v>
      </c>
      <c r="V222" s="9" t="s">
        <v>1351</v>
      </c>
      <c r="W222">
        <v>5.2260801272433996E+43</v>
      </c>
      <c r="X222" t="s">
        <v>46</v>
      </c>
      <c r="Y222" s="2" t="s">
        <v>717</v>
      </c>
      <c r="Z222" s="2" t="s">
        <v>718</v>
      </c>
      <c r="AA222" s="9" t="s">
        <v>715</v>
      </c>
      <c r="AC222" s="2"/>
      <c r="AD222" t="s">
        <v>7</v>
      </c>
      <c r="AE222" t="s">
        <v>1352</v>
      </c>
    </row>
    <row r="223" spans="1:31" x14ac:dyDescent="0.3">
      <c r="A223" s="17">
        <v>90739624000118</v>
      </c>
      <c r="B223" t="s">
        <v>63</v>
      </c>
      <c r="D223" t="s">
        <v>561</v>
      </c>
      <c r="E223" t="s">
        <v>2</v>
      </c>
      <c r="F223">
        <v>269308</v>
      </c>
      <c r="G223" s="1" t="s">
        <v>1353</v>
      </c>
      <c r="H223">
        <v>25024357</v>
      </c>
      <c r="I223">
        <v>179485</v>
      </c>
      <c r="J223" t="s">
        <v>64</v>
      </c>
      <c r="K223" s="17">
        <v>23448964001921</v>
      </c>
      <c r="L223" s="17">
        <v>90739624001432</v>
      </c>
      <c r="M223" s="9">
        <v>247.05</v>
      </c>
      <c r="N223" t="s">
        <v>43</v>
      </c>
      <c r="Q223" s="2"/>
      <c r="R223" s="9"/>
      <c r="S223" t="s">
        <v>44</v>
      </c>
      <c r="T223" t="s">
        <v>45</v>
      </c>
      <c r="U223" s="2" t="s">
        <v>583</v>
      </c>
      <c r="V223" s="9" t="s">
        <v>1354</v>
      </c>
      <c r="W223">
        <v>4.2260823448963998E+43</v>
      </c>
      <c r="X223" t="s">
        <v>46</v>
      </c>
      <c r="Y223" s="2" t="s">
        <v>717</v>
      </c>
      <c r="Z223" s="2" t="s">
        <v>718</v>
      </c>
      <c r="AA223" s="9" t="s">
        <v>715</v>
      </c>
      <c r="AC223" s="2"/>
      <c r="AD223" t="s">
        <v>7</v>
      </c>
      <c r="AE223" t="s">
        <v>1355</v>
      </c>
    </row>
    <row r="224" spans="1:31" x14ac:dyDescent="0.3">
      <c r="A224" s="17">
        <v>90739624000118</v>
      </c>
      <c r="B224" t="s">
        <v>100</v>
      </c>
      <c r="D224" t="s">
        <v>598</v>
      </c>
      <c r="E224" t="s">
        <v>2</v>
      </c>
      <c r="F224">
        <v>269308</v>
      </c>
      <c r="G224" s="1" t="s">
        <v>1356</v>
      </c>
      <c r="H224">
        <v>25024332</v>
      </c>
      <c r="I224">
        <v>44630</v>
      </c>
      <c r="J224" t="s">
        <v>303</v>
      </c>
      <c r="K224" s="17">
        <v>9380191000139</v>
      </c>
      <c r="L224" s="17">
        <v>90739624001866</v>
      </c>
      <c r="M224" s="9">
        <v>402</v>
      </c>
      <c r="N224" t="s">
        <v>43</v>
      </c>
      <c r="Q224" s="2"/>
      <c r="R224" s="9"/>
      <c r="S224" t="s">
        <v>44</v>
      </c>
      <c r="T224" t="s">
        <v>45</v>
      </c>
      <c r="U224" s="2" t="s">
        <v>583</v>
      </c>
      <c r="V224" s="9" t="s">
        <v>1357</v>
      </c>
      <c r="W224">
        <v>5.1260809380190997E+43</v>
      </c>
      <c r="X224" t="s">
        <v>46</v>
      </c>
      <c r="Y224" s="2" t="s">
        <v>717</v>
      </c>
      <c r="Z224" s="2" t="s">
        <v>718</v>
      </c>
      <c r="AA224" s="9" t="s">
        <v>715</v>
      </c>
      <c r="AC224" s="2"/>
      <c r="AD224" t="s">
        <v>7</v>
      </c>
      <c r="AE224" t="s">
        <v>1358</v>
      </c>
    </row>
    <row r="225" spans="1:31" x14ac:dyDescent="0.3">
      <c r="A225" s="17">
        <v>90739624000118</v>
      </c>
      <c r="B225" t="s">
        <v>63</v>
      </c>
      <c r="D225" t="s">
        <v>466</v>
      </c>
      <c r="E225" t="s">
        <v>2</v>
      </c>
      <c r="F225">
        <v>269308</v>
      </c>
      <c r="G225" s="1" t="s">
        <v>1359</v>
      </c>
      <c r="H225">
        <v>25024052</v>
      </c>
      <c r="I225">
        <v>179479</v>
      </c>
      <c r="J225" t="s">
        <v>64</v>
      </c>
      <c r="K225" s="17">
        <v>23448964001921</v>
      </c>
      <c r="L225" s="17">
        <v>90739624001432</v>
      </c>
      <c r="M225" s="9">
        <v>116.01</v>
      </c>
      <c r="N225" t="s">
        <v>43</v>
      </c>
      <c r="Q225" s="2"/>
      <c r="R225" s="9"/>
      <c r="S225" t="s">
        <v>44</v>
      </c>
      <c r="T225" t="s">
        <v>45</v>
      </c>
      <c r="U225" s="2" t="s">
        <v>583</v>
      </c>
      <c r="V225" s="9" t="s">
        <v>1360</v>
      </c>
      <c r="W225">
        <v>4.2260823448963998E+43</v>
      </c>
      <c r="X225" t="s">
        <v>46</v>
      </c>
      <c r="Y225" s="2" t="s">
        <v>717</v>
      </c>
      <c r="Z225" s="2" t="s">
        <v>718</v>
      </c>
      <c r="AA225" s="9" t="s">
        <v>715</v>
      </c>
      <c r="AC225" s="2"/>
      <c r="AD225" t="s">
        <v>7</v>
      </c>
      <c r="AE225" t="s">
        <v>1361</v>
      </c>
    </row>
    <row r="226" spans="1:31" x14ac:dyDescent="0.3">
      <c r="A226" s="17">
        <v>90739624000118</v>
      </c>
      <c r="B226" t="s">
        <v>13</v>
      </c>
      <c r="D226" t="s">
        <v>207</v>
      </c>
      <c r="E226" t="s">
        <v>2</v>
      </c>
      <c r="F226">
        <v>269308</v>
      </c>
      <c r="G226" s="1" t="s">
        <v>1362</v>
      </c>
      <c r="H226">
        <v>25024035</v>
      </c>
      <c r="I226">
        <v>48812</v>
      </c>
      <c r="J226" t="s">
        <v>348</v>
      </c>
      <c r="K226" s="17">
        <v>26416003000102</v>
      </c>
      <c r="L226" s="17">
        <v>90739624001190</v>
      </c>
      <c r="M226" s="9">
        <v>346.49</v>
      </c>
      <c r="N226" t="s">
        <v>43</v>
      </c>
      <c r="Q226" s="2"/>
      <c r="R226" s="9"/>
      <c r="S226" t="s">
        <v>44</v>
      </c>
      <c r="T226" t="s">
        <v>45</v>
      </c>
      <c r="U226" s="2" t="s">
        <v>792</v>
      </c>
      <c r="V226" s="9" t="s">
        <v>1363</v>
      </c>
      <c r="W226">
        <v>5.0260826416002996E+43</v>
      </c>
      <c r="X226" t="s">
        <v>46</v>
      </c>
      <c r="Y226" s="2" t="s">
        <v>717</v>
      </c>
      <c r="Z226" s="2" t="s">
        <v>718</v>
      </c>
      <c r="AA226" s="9" t="s">
        <v>715</v>
      </c>
      <c r="AC226" s="2"/>
      <c r="AD226" t="s">
        <v>7</v>
      </c>
      <c r="AE226" t="s">
        <v>1364</v>
      </c>
    </row>
    <row r="227" spans="1:31" x14ac:dyDescent="0.3">
      <c r="A227" s="17">
        <v>90739624000118</v>
      </c>
      <c r="B227" t="s">
        <v>58</v>
      </c>
      <c r="D227" t="s">
        <v>386</v>
      </c>
      <c r="E227" t="s">
        <v>2</v>
      </c>
      <c r="F227">
        <v>269308</v>
      </c>
      <c r="G227" s="1" t="s">
        <v>1365</v>
      </c>
      <c r="H227">
        <v>25024018</v>
      </c>
      <c r="J227" t="s">
        <v>532</v>
      </c>
      <c r="K227" s="17">
        <v>7473735018552</v>
      </c>
      <c r="L227" s="17"/>
      <c r="M227" s="9">
        <v>294.45999999999998</v>
      </c>
      <c r="N227" t="s">
        <v>43</v>
      </c>
      <c r="Q227" s="2"/>
      <c r="R227" s="9"/>
      <c r="S227" t="s">
        <v>87</v>
      </c>
      <c r="U227" s="2"/>
      <c r="V227" s="9"/>
      <c r="X227" t="s">
        <v>88</v>
      </c>
      <c r="Y227" s="2" t="s">
        <v>717</v>
      </c>
      <c r="Z227" s="2" t="s">
        <v>718</v>
      </c>
      <c r="AA227" s="9" t="s">
        <v>715</v>
      </c>
      <c r="AC227" s="2"/>
      <c r="AD227" t="s">
        <v>7</v>
      </c>
    </row>
    <row r="228" spans="1:31" x14ac:dyDescent="0.3">
      <c r="A228" s="17">
        <v>90739624000118</v>
      </c>
      <c r="B228" t="s">
        <v>100</v>
      </c>
      <c r="D228" t="s">
        <v>135</v>
      </c>
      <c r="E228" t="s">
        <v>2</v>
      </c>
      <c r="F228">
        <v>269308</v>
      </c>
      <c r="G228" s="1" t="s">
        <v>1367</v>
      </c>
      <c r="H228">
        <v>25023720</v>
      </c>
      <c r="I228">
        <v>154947</v>
      </c>
      <c r="J228" t="s">
        <v>241</v>
      </c>
      <c r="K228" s="17">
        <v>14948822000103</v>
      </c>
      <c r="L228" s="17">
        <v>90739624001866</v>
      </c>
      <c r="M228" s="9">
        <v>186.6</v>
      </c>
      <c r="N228" t="s">
        <v>43</v>
      </c>
      <c r="Q228" s="2"/>
      <c r="R228" s="9"/>
      <c r="S228" t="s">
        <v>44</v>
      </c>
      <c r="T228" t="s">
        <v>45</v>
      </c>
      <c r="U228" s="2" t="s">
        <v>583</v>
      </c>
      <c r="V228" s="9" t="s">
        <v>1368</v>
      </c>
      <c r="W228">
        <v>5.1260814948822004E+43</v>
      </c>
      <c r="X228" t="s">
        <v>46</v>
      </c>
      <c r="Y228" s="2" t="s">
        <v>717</v>
      </c>
      <c r="Z228" s="2" t="s">
        <v>718</v>
      </c>
      <c r="AA228" s="9" t="s">
        <v>715</v>
      </c>
      <c r="AC228" s="2"/>
      <c r="AD228" t="s">
        <v>7</v>
      </c>
      <c r="AE228" t="s">
        <v>1369</v>
      </c>
    </row>
    <row r="229" spans="1:31" x14ac:dyDescent="0.3">
      <c r="A229" s="17">
        <v>90739624000118</v>
      </c>
      <c r="B229" t="s">
        <v>58</v>
      </c>
      <c r="D229" t="s">
        <v>153</v>
      </c>
      <c r="E229" t="s">
        <v>2</v>
      </c>
      <c r="F229">
        <v>269308</v>
      </c>
      <c r="G229" s="1" t="s">
        <v>1370</v>
      </c>
      <c r="H229">
        <v>25023689</v>
      </c>
      <c r="J229" t="s">
        <v>106</v>
      </c>
      <c r="K229" s="17">
        <v>7473735015103</v>
      </c>
      <c r="L229" s="17"/>
      <c r="M229" s="9">
        <v>135.65</v>
      </c>
      <c r="N229" t="s">
        <v>43</v>
      </c>
      <c r="Q229" s="2"/>
      <c r="R229" s="9"/>
      <c r="S229" t="s">
        <v>87</v>
      </c>
      <c r="U229" s="2"/>
      <c r="V229" s="9"/>
      <c r="X229" t="s">
        <v>88</v>
      </c>
      <c r="Y229" s="2" t="s">
        <v>717</v>
      </c>
      <c r="Z229" s="2" t="s">
        <v>718</v>
      </c>
      <c r="AA229" s="9" t="s">
        <v>715</v>
      </c>
      <c r="AC229" s="2"/>
      <c r="AD229" t="s">
        <v>7</v>
      </c>
    </row>
    <row r="230" spans="1:31" x14ac:dyDescent="0.3">
      <c r="A230" s="17">
        <v>90739624000118</v>
      </c>
      <c r="B230" t="s">
        <v>61</v>
      </c>
      <c r="D230" t="s">
        <v>243</v>
      </c>
      <c r="E230" t="s">
        <v>2</v>
      </c>
      <c r="F230">
        <v>269308</v>
      </c>
      <c r="G230" s="1" t="s">
        <v>1372</v>
      </c>
      <c r="H230">
        <v>25023653</v>
      </c>
      <c r="I230">
        <v>2532</v>
      </c>
      <c r="J230" t="s">
        <v>85</v>
      </c>
      <c r="K230" s="17">
        <v>1975878000105</v>
      </c>
      <c r="L230" s="17">
        <v>9576274000106</v>
      </c>
      <c r="M230" s="9">
        <v>179.65</v>
      </c>
      <c r="N230" t="s">
        <v>43</v>
      </c>
      <c r="Q230" s="2"/>
      <c r="R230" s="9"/>
      <c r="S230" t="s">
        <v>44</v>
      </c>
      <c r="T230" t="s">
        <v>45</v>
      </c>
      <c r="U230" s="2" t="s">
        <v>583</v>
      </c>
      <c r="V230" s="9" t="s">
        <v>1373</v>
      </c>
      <c r="W230">
        <v>4.1260801975878E+43</v>
      </c>
      <c r="X230" t="s">
        <v>46</v>
      </c>
      <c r="Y230" s="2" t="s">
        <v>717</v>
      </c>
      <c r="Z230" s="2" t="s">
        <v>718</v>
      </c>
      <c r="AA230" s="9" t="s">
        <v>715</v>
      </c>
      <c r="AC230" s="2"/>
      <c r="AD230" t="s">
        <v>7</v>
      </c>
      <c r="AE230" t="s">
        <v>1374</v>
      </c>
    </row>
    <row r="231" spans="1:31" x14ac:dyDescent="0.3">
      <c r="A231" s="17">
        <v>90739624000118</v>
      </c>
      <c r="B231" t="s">
        <v>61</v>
      </c>
      <c r="D231" t="s">
        <v>191</v>
      </c>
      <c r="E231" t="s">
        <v>2</v>
      </c>
      <c r="F231">
        <v>269308</v>
      </c>
      <c r="G231" s="1" t="s">
        <v>1375</v>
      </c>
      <c r="H231">
        <v>25023407</v>
      </c>
      <c r="I231">
        <v>820692</v>
      </c>
      <c r="J231" t="s">
        <v>62</v>
      </c>
      <c r="K231" s="17">
        <v>79964177000591</v>
      </c>
      <c r="L231" s="17">
        <v>9576274000106</v>
      </c>
      <c r="M231" s="9">
        <v>1471.2</v>
      </c>
      <c r="N231" t="s">
        <v>43</v>
      </c>
      <c r="Q231" s="2"/>
      <c r="R231" s="9"/>
      <c r="S231" t="s">
        <v>44</v>
      </c>
      <c r="T231" t="s">
        <v>45</v>
      </c>
      <c r="U231" s="2" t="s">
        <v>583</v>
      </c>
      <c r="V231" s="9" t="s">
        <v>1376</v>
      </c>
      <c r="W231">
        <v>4.1260879964176998E+43</v>
      </c>
      <c r="X231" t="s">
        <v>46</v>
      </c>
      <c r="Y231" s="2" t="s">
        <v>717</v>
      </c>
      <c r="Z231" s="2" t="s">
        <v>718</v>
      </c>
      <c r="AA231" s="9" t="s">
        <v>715</v>
      </c>
      <c r="AC231" s="2"/>
      <c r="AD231" t="s">
        <v>7</v>
      </c>
      <c r="AE231" t="s">
        <v>1377</v>
      </c>
    </row>
    <row r="232" spans="1:31" x14ac:dyDescent="0.3">
      <c r="A232" s="17">
        <v>90739624000118</v>
      </c>
      <c r="B232" t="s">
        <v>61</v>
      </c>
      <c r="D232" t="s">
        <v>198</v>
      </c>
      <c r="E232" t="s">
        <v>2</v>
      </c>
      <c r="F232">
        <v>269308</v>
      </c>
      <c r="G232" s="1" t="s">
        <v>1378</v>
      </c>
      <c r="H232">
        <v>25023230</v>
      </c>
      <c r="I232">
        <v>29010</v>
      </c>
      <c r="J232" t="s">
        <v>127</v>
      </c>
      <c r="K232" s="17">
        <v>76493295000147</v>
      </c>
      <c r="L232" s="17">
        <v>9576274000106</v>
      </c>
      <c r="M232" s="9">
        <v>424.99</v>
      </c>
      <c r="N232" t="s">
        <v>43</v>
      </c>
      <c r="Q232" s="2"/>
      <c r="R232" s="9"/>
      <c r="S232" t="s">
        <v>44</v>
      </c>
      <c r="T232" t="s">
        <v>45</v>
      </c>
      <c r="U232" s="2" t="s">
        <v>583</v>
      </c>
      <c r="V232" s="9" t="s">
        <v>1379</v>
      </c>
      <c r="W232">
        <v>4.1260876493295002E+43</v>
      </c>
      <c r="X232" t="s">
        <v>46</v>
      </c>
      <c r="Y232" s="2" t="s">
        <v>717</v>
      </c>
      <c r="Z232" s="2" t="s">
        <v>718</v>
      </c>
      <c r="AA232" s="9" t="s">
        <v>715</v>
      </c>
      <c r="AC232" s="2"/>
      <c r="AD232" t="s">
        <v>7</v>
      </c>
      <c r="AE232" t="s">
        <v>1380</v>
      </c>
    </row>
    <row r="233" spans="1:31" x14ac:dyDescent="0.3">
      <c r="A233" s="17">
        <v>90739624000118</v>
      </c>
      <c r="B233" t="s">
        <v>36</v>
      </c>
      <c r="D233" t="s">
        <v>197</v>
      </c>
      <c r="E233" t="s">
        <v>2</v>
      </c>
      <c r="F233">
        <v>269308</v>
      </c>
      <c r="G233" s="1" t="s">
        <v>1381</v>
      </c>
      <c r="H233">
        <v>25023226</v>
      </c>
      <c r="I233">
        <v>4235</v>
      </c>
      <c r="J233" t="s">
        <v>186</v>
      </c>
      <c r="K233" s="17">
        <v>7822636000168</v>
      </c>
      <c r="L233" s="17">
        <v>90739624004458</v>
      </c>
      <c r="M233" s="9">
        <v>210.61</v>
      </c>
      <c r="N233" t="s">
        <v>43</v>
      </c>
      <c r="Q233" s="2"/>
      <c r="R233" s="9"/>
      <c r="S233" t="s">
        <v>44</v>
      </c>
      <c r="T233" t="s">
        <v>45</v>
      </c>
      <c r="U233" s="2" t="s">
        <v>583</v>
      </c>
      <c r="V233" s="9" t="s">
        <v>1383</v>
      </c>
      <c r="W233">
        <v>5.3260807822636003E+43</v>
      </c>
      <c r="X233" t="s">
        <v>46</v>
      </c>
      <c r="Y233" s="2" t="s">
        <v>717</v>
      </c>
      <c r="Z233" s="2" t="s">
        <v>718</v>
      </c>
      <c r="AA233" s="9" t="s">
        <v>715</v>
      </c>
      <c r="AC233" s="2"/>
      <c r="AD233" t="s">
        <v>7</v>
      </c>
      <c r="AE233" t="s">
        <v>1384</v>
      </c>
    </row>
    <row r="234" spans="1:31" x14ac:dyDescent="0.3">
      <c r="A234" s="17">
        <v>90739624000118</v>
      </c>
      <c r="B234" t="s">
        <v>58</v>
      </c>
      <c r="C234">
        <v>22006</v>
      </c>
      <c r="D234" t="s">
        <v>162</v>
      </c>
      <c r="E234" t="s">
        <v>2</v>
      </c>
      <c r="F234">
        <v>269308</v>
      </c>
      <c r="G234" s="1" t="s">
        <v>1385</v>
      </c>
      <c r="H234">
        <v>25023102</v>
      </c>
      <c r="J234" t="s">
        <v>192</v>
      </c>
      <c r="K234" s="17">
        <v>7473735022312</v>
      </c>
      <c r="L234" s="17"/>
      <c r="M234" s="9">
        <v>248.74</v>
      </c>
      <c r="N234" t="s">
        <v>43</v>
      </c>
      <c r="Q234" s="2"/>
      <c r="R234" s="9"/>
      <c r="S234" t="s">
        <v>87</v>
      </c>
      <c r="U234" s="2"/>
      <c r="V234" s="9"/>
      <c r="X234" t="s">
        <v>88</v>
      </c>
      <c r="Y234" s="2" t="s">
        <v>717</v>
      </c>
      <c r="Z234" s="2" t="s">
        <v>718</v>
      </c>
      <c r="AA234" s="9" t="s">
        <v>715</v>
      </c>
      <c r="AC234" s="2"/>
      <c r="AD234" t="s">
        <v>7</v>
      </c>
    </row>
    <row r="235" spans="1:31" x14ac:dyDescent="0.3">
      <c r="A235" s="17">
        <v>90739624000118</v>
      </c>
      <c r="B235" t="s">
        <v>18</v>
      </c>
      <c r="C235">
        <v>26123</v>
      </c>
      <c r="D235" t="s">
        <v>39</v>
      </c>
      <c r="E235" t="s">
        <v>2</v>
      </c>
      <c r="F235">
        <v>269308</v>
      </c>
      <c r="G235" s="1" t="s">
        <v>1387</v>
      </c>
      <c r="H235">
        <v>25022565</v>
      </c>
      <c r="I235">
        <v>374038</v>
      </c>
      <c r="J235" t="s">
        <v>202</v>
      </c>
      <c r="K235" s="17">
        <v>5065447000162</v>
      </c>
      <c r="L235" s="17">
        <v>90739624000380</v>
      </c>
      <c r="M235" s="9">
        <v>217.86</v>
      </c>
      <c r="N235" t="s">
        <v>43</v>
      </c>
      <c r="Q235" s="2"/>
      <c r="R235" s="9"/>
      <c r="S235" t="s">
        <v>44</v>
      </c>
      <c r="T235" t="s">
        <v>45</v>
      </c>
      <c r="U235" s="2" t="s">
        <v>583</v>
      </c>
      <c r="V235" s="9" t="s">
        <v>1388</v>
      </c>
      <c r="W235">
        <v>3.5260805065447002E+43</v>
      </c>
      <c r="X235" t="s">
        <v>46</v>
      </c>
      <c r="Y235" s="2" t="s">
        <v>717</v>
      </c>
      <c r="Z235" s="2" t="s">
        <v>718</v>
      </c>
      <c r="AA235" s="9" t="s">
        <v>715</v>
      </c>
      <c r="AC235" s="2"/>
      <c r="AD235" t="s">
        <v>7</v>
      </c>
      <c r="AE235" t="s">
        <v>1389</v>
      </c>
    </row>
    <row r="236" spans="1:31" x14ac:dyDescent="0.3">
      <c r="A236" s="17">
        <v>90739624000118</v>
      </c>
      <c r="B236" t="s">
        <v>11</v>
      </c>
      <c r="D236" t="s">
        <v>138</v>
      </c>
      <c r="E236" t="s">
        <v>2</v>
      </c>
      <c r="F236">
        <v>269308</v>
      </c>
      <c r="G236" s="1" t="s">
        <v>1390</v>
      </c>
      <c r="H236">
        <v>25021662</v>
      </c>
      <c r="I236">
        <v>311831</v>
      </c>
      <c r="J236" t="s">
        <v>204</v>
      </c>
      <c r="K236" s="17">
        <v>24187119000183</v>
      </c>
      <c r="L236" s="17">
        <v>90739624000118</v>
      </c>
      <c r="M236" s="9">
        <v>305.44</v>
      </c>
      <c r="N236" t="s">
        <v>43</v>
      </c>
      <c r="Q236" s="2"/>
      <c r="R236" s="9"/>
      <c r="S236" t="s">
        <v>44</v>
      </c>
      <c r="T236" t="s">
        <v>45</v>
      </c>
      <c r="U236" s="2" t="s">
        <v>583</v>
      </c>
      <c r="V236" s="9" t="s">
        <v>1391</v>
      </c>
      <c r="W236">
        <v>3.1260824187118999E+43</v>
      </c>
      <c r="X236" t="s">
        <v>46</v>
      </c>
      <c r="Y236" s="2" t="s">
        <v>717</v>
      </c>
      <c r="Z236" s="2" t="s">
        <v>718</v>
      </c>
      <c r="AA236" s="9" t="s">
        <v>715</v>
      </c>
      <c r="AC236" s="2"/>
      <c r="AD236" t="s">
        <v>7</v>
      </c>
      <c r="AE236" t="s">
        <v>1392</v>
      </c>
    </row>
    <row r="237" spans="1:31" x14ac:dyDescent="0.3">
      <c r="A237" s="17">
        <v>90739624000118</v>
      </c>
      <c r="B237" t="s">
        <v>61</v>
      </c>
      <c r="C237">
        <v>26247</v>
      </c>
      <c r="D237" t="s">
        <v>343</v>
      </c>
      <c r="E237" t="s">
        <v>2</v>
      </c>
      <c r="F237">
        <v>269308</v>
      </c>
      <c r="G237" s="1" t="s">
        <v>1393</v>
      </c>
      <c r="H237">
        <v>25021266</v>
      </c>
      <c r="I237">
        <v>2967</v>
      </c>
      <c r="J237" t="s">
        <v>1394</v>
      </c>
      <c r="K237" s="17">
        <v>30858891000182</v>
      </c>
      <c r="L237" s="17">
        <v>9576274000106</v>
      </c>
      <c r="M237" s="9">
        <v>960.3</v>
      </c>
      <c r="N237" t="s">
        <v>43</v>
      </c>
      <c r="Q237" s="2"/>
      <c r="R237" s="9"/>
      <c r="S237" t="s">
        <v>44</v>
      </c>
      <c r="T237" t="s">
        <v>45</v>
      </c>
      <c r="U237" s="2" t="s">
        <v>583</v>
      </c>
      <c r="V237" s="9" t="s">
        <v>1395</v>
      </c>
      <c r="W237">
        <v>4.1260830858891E+43</v>
      </c>
      <c r="X237" t="s">
        <v>46</v>
      </c>
      <c r="Y237" s="2" t="s">
        <v>717</v>
      </c>
      <c r="Z237" s="2" t="s">
        <v>718</v>
      </c>
      <c r="AA237" s="9" t="s">
        <v>715</v>
      </c>
      <c r="AC237" s="2"/>
      <c r="AD237" t="s">
        <v>7</v>
      </c>
      <c r="AE237" t="s">
        <v>1396</v>
      </c>
    </row>
    <row r="238" spans="1:31" x14ac:dyDescent="0.3">
      <c r="A238" s="17">
        <v>90739624000118</v>
      </c>
      <c r="B238" t="s">
        <v>61</v>
      </c>
      <c r="D238" t="s">
        <v>522</v>
      </c>
      <c r="E238" t="s">
        <v>2</v>
      </c>
      <c r="F238">
        <v>269308</v>
      </c>
      <c r="G238" s="1" t="s">
        <v>1397</v>
      </c>
      <c r="H238">
        <v>25020850</v>
      </c>
      <c r="I238">
        <v>23223</v>
      </c>
      <c r="J238" t="s">
        <v>24</v>
      </c>
      <c r="K238" s="17">
        <v>46472822000176</v>
      </c>
      <c r="L238" s="17">
        <v>90739624000380</v>
      </c>
      <c r="M238" s="9">
        <v>667.5</v>
      </c>
      <c r="N238" t="s">
        <v>43</v>
      </c>
      <c r="Q238" s="2"/>
      <c r="R238" s="9"/>
      <c r="S238" t="s">
        <v>44</v>
      </c>
      <c r="T238" t="s">
        <v>45</v>
      </c>
      <c r="U238" s="2" t="s">
        <v>583</v>
      </c>
      <c r="V238" s="9" t="s">
        <v>1398</v>
      </c>
      <c r="W238">
        <v>3.5260846472822E+43</v>
      </c>
      <c r="X238" t="s">
        <v>46</v>
      </c>
      <c r="Y238" s="2" t="s">
        <v>717</v>
      </c>
      <c r="Z238" s="2" t="s">
        <v>718</v>
      </c>
      <c r="AA238" s="9" t="s">
        <v>715</v>
      </c>
      <c r="AC238" s="2"/>
      <c r="AD238" t="s">
        <v>7</v>
      </c>
      <c r="AE238" t="s">
        <v>1399</v>
      </c>
    </row>
    <row r="239" spans="1:31" x14ac:dyDescent="0.3">
      <c r="A239" s="17">
        <v>90739624000118</v>
      </c>
      <c r="B239" t="s">
        <v>18</v>
      </c>
      <c r="C239">
        <v>17670</v>
      </c>
      <c r="D239" t="s">
        <v>394</v>
      </c>
      <c r="E239" t="s">
        <v>17</v>
      </c>
      <c r="F239">
        <v>269308</v>
      </c>
      <c r="G239" s="1" t="s">
        <v>1400</v>
      </c>
      <c r="H239">
        <v>25020465</v>
      </c>
      <c r="I239">
        <v>37186</v>
      </c>
      <c r="J239" t="s">
        <v>395</v>
      </c>
      <c r="K239" s="17">
        <v>5911517000156</v>
      </c>
      <c r="L239" s="17">
        <v>90739624000380</v>
      </c>
      <c r="M239" s="9">
        <v>43.96</v>
      </c>
      <c r="N239" t="s">
        <v>43</v>
      </c>
      <c r="Q239" s="2"/>
      <c r="R239" s="9"/>
      <c r="S239" t="s">
        <v>44</v>
      </c>
      <c r="T239" t="s">
        <v>45</v>
      </c>
      <c r="U239" s="2" t="s">
        <v>602</v>
      </c>
      <c r="V239" s="9" t="s">
        <v>1401</v>
      </c>
      <c r="W239">
        <v>3.5260805911516998E+43</v>
      </c>
      <c r="X239" t="s">
        <v>46</v>
      </c>
      <c r="Y239" s="2" t="s">
        <v>717</v>
      </c>
      <c r="Z239" s="2" t="s">
        <v>718</v>
      </c>
      <c r="AA239" s="9" t="s">
        <v>715</v>
      </c>
      <c r="AC239" s="2"/>
      <c r="AD239" t="s">
        <v>7</v>
      </c>
      <c r="AE239" t="s">
        <v>1402</v>
      </c>
    </row>
    <row r="240" spans="1:31" x14ac:dyDescent="0.3">
      <c r="A240" s="17">
        <v>90739624000118</v>
      </c>
      <c r="B240" t="s">
        <v>18</v>
      </c>
      <c r="D240" t="s">
        <v>19</v>
      </c>
      <c r="E240" t="s">
        <v>2</v>
      </c>
      <c r="F240">
        <v>269308</v>
      </c>
      <c r="G240" s="1" t="s">
        <v>1403</v>
      </c>
      <c r="H240">
        <v>25020463</v>
      </c>
      <c r="I240">
        <v>1287</v>
      </c>
      <c r="J240" t="s">
        <v>20</v>
      </c>
      <c r="K240" s="17">
        <v>27751075017640</v>
      </c>
      <c r="L240" s="17">
        <v>90739624000380</v>
      </c>
      <c r="M240" s="9">
        <v>266.86</v>
      </c>
      <c r="N240" t="s">
        <v>43</v>
      </c>
      <c r="Q240" s="2"/>
      <c r="R240" s="9"/>
      <c r="S240" t="s">
        <v>44</v>
      </c>
      <c r="T240" t="s">
        <v>45</v>
      </c>
      <c r="U240" s="2" t="s">
        <v>583</v>
      </c>
      <c r="V240" s="9" t="s">
        <v>1404</v>
      </c>
      <c r="W240">
        <v>3.5260827751075001E+43</v>
      </c>
      <c r="X240" t="s">
        <v>46</v>
      </c>
      <c r="Y240" s="2" t="s">
        <v>717</v>
      </c>
      <c r="Z240" s="2" t="s">
        <v>718</v>
      </c>
      <c r="AA240" s="9" t="s">
        <v>715</v>
      </c>
      <c r="AC240" s="2"/>
      <c r="AD240" t="s">
        <v>7</v>
      </c>
      <c r="AE240" t="s">
        <v>1405</v>
      </c>
    </row>
    <row r="241" spans="1:31" x14ac:dyDescent="0.3">
      <c r="A241" s="17">
        <v>90739624000118</v>
      </c>
      <c r="B241" t="s">
        <v>61</v>
      </c>
      <c r="D241" t="s">
        <v>533</v>
      </c>
      <c r="E241" t="s">
        <v>2</v>
      </c>
      <c r="F241">
        <v>269308</v>
      </c>
      <c r="G241" s="1" t="s">
        <v>1406</v>
      </c>
      <c r="H241">
        <v>25019563</v>
      </c>
      <c r="I241">
        <v>144098</v>
      </c>
      <c r="J241" t="s">
        <v>1407</v>
      </c>
      <c r="K241" s="17">
        <v>30166354000171</v>
      </c>
      <c r="L241" s="17">
        <v>9576274000106</v>
      </c>
      <c r="M241" s="9">
        <v>1369.61</v>
      </c>
      <c r="N241" t="s">
        <v>43</v>
      </c>
      <c r="Q241" s="2"/>
      <c r="R241" s="9"/>
      <c r="S241" t="s">
        <v>44</v>
      </c>
      <c r="T241" t="s">
        <v>45</v>
      </c>
      <c r="U241" s="2" t="s">
        <v>583</v>
      </c>
      <c r="V241" s="9" t="s">
        <v>1408</v>
      </c>
      <c r="W241">
        <v>4.1260830166354002E+43</v>
      </c>
      <c r="X241" t="s">
        <v>46</v>
      </c>
      <c r="Y241" s="2" t="s">
        <v>717</v>
      </c>
      <c r="Z241" s="2" t="s">
        <v>718</v>
      </c>
      <c r="AA241" s="9" t="s">
        <v>715</v>
      </c>
      <c r="AC241" s="2"/>
      <c r="AD241" t="s">
        <v>7</v>
      </c>
      <c r="AE241" t="s">
        <v>1409</v>
      </c>
    </row>
    <row r="242" spans="1:31" x14ac:dyDescent="0.3">
      <c r="A242" s="17">
        <v>90739624000118</v>
      </c>
      <c r="B242" t="s">
        <v>174</v>
      </c>
      <c r="D242" t="s">
        <v>222</v>
      </c>
      <c r="E242" t="s">
        <v>2</v>
      </c>
      <c r="F242">
        <v>269308</v>
      </c>
      <c r="G242" s="1" t="s">
        <v>1410</v>
      </c>
      <c r="H242">
        <v>25019067</v>
      </c>
      <c r="I242">
        <v>23709</v>
      </c>
      <c r="J242" t="s">
        <v>595</v>
      </c>
      <c r="K242" s="17">
        <v>2772168000140</v>
      </c>
      <c r="L242" s="17">
        <v>90739624000118</v>
      </c>
      <c r="M242" s="9">
        <v>270.79000000000002</v>
      </c>
      <c r="N242" t="s">
        <v>43</v>
      </c>
      <c r="Q242" s="2"/>
      <c r="R242" s="9"/>
      <c r="S242" t="s">
        <v>44</v>
      </c>
      <c r="T242" t="s">
        <v>45</v>
      </c>
      <c r="U242" s="2" t="s">
        <v>583</v>
      </c>
      <c r="V242" s="9" t="s">
        <v>1411</v>
      </c>
      <c r="W242">
        <v>1.7260802772168E+43</v>
      </c>
      <c r="X242" t="s">
        <v>46</v>
      </c>
      <c r="Y242" s="2" t="s">
        <v>717</v>
      </c>
      <c r="Z242" s="2" t="s">
        <v>718</v>
      </c>
      <c r="AA242" s="9" t="s">
        <v>715</v>
      </c>
      <c r="AC242" s="2"/>
      <c r="AD242" t="s">
        <v>7</v>
      </c>
      <c r="AE242" t="s">
        <v>1412</v>
      </c>
    </row>
    <row r="243" spans="1:31" x14ac:dyDescent="0.3">
      <c r="A243" s="17">
        <v>90739624000118</v>
      </c>
      <c r="B243" t="s">
        <v>18</v>
      </c>
      <c r="D243" t="s">
        <v>374</v>
      </c>
      <c r="E243" t="s">
        <v>17</v>
      </c>
      <c r="F243">
        <v>269308</v>
      </c>
      <c r="G243" s="1" t="s">
        <v>1413</v>
      </c>
      <c r="H243">
        <v>25018727</v>
      </c>
      <c r="I243">
        <v>6252</v>
      </c>
      <c r="J243" t="s">
        <v>375</v>
      </c>
      <c r="K243" s="17">
        <v>28583917000347</v>
      </c>
      <c r="L243" s="17">
        <v>90739624002323</v>
      </c>
      <c r="M243" s="9">
        <v>93.53</v>
      </c>
      <c r="N243" t="s">
        <v>43</v>
      </c>
      <c r="Q243" s="2"/>
      <c r="R243" s="9"/>
      <c r="S243" t="s">
        <v>44</v>
      </c>
      <c r="T243" t="s">
        <v>45</v>
      </c>
      <c r="U243" s="2" t="s">
        <v>796</v>
      </c>
      <c r="V243" s="9" t="s">
        <v>1414</v>
      </c>
      <c r="W243">
        <v>4.3260828583916998E+43</v>
      </c>
      <c r="X243" t="s">
        <v>46</v>
      </c>
      <c r="Y243" s="2" t="s">
        <v>717</v>
      </c>
      <c r="Z243" s="2" t="s">
        <v>718</v>
      </c>
      <c r="AA243" s="9" t="s">
        <v>715</v>
      </c>
      <c r="AC243" s="2"/>
      <c r="AD243" t="s">
        <v>7</v>
      </c>
      <c r="AE243" t="s">
        <v>1415</v>
      </c>
    </row>
    <row r="244" spans="1:31" x14ac:dyDescent="0.3">
      <c r="A244" s="17">
        <v>90739624000118</v>
      </c>
      <c r="B244" t="s">
        <v>18</v>
      </c>
      <c r="D244" t="s">
        <v>374</v>
      </c>
      <c r="E244" t="s">
        <v>2</v>
      </c>
      <c r="F244">
        <v>269308</v>
      </c>
      <c r="G244" s="1" t="s">
        <v>1416</v>
      </c>
      <c r="H244">
        <v>25018723</v>
      </c>
      <c r="I244">
        <v>6251</v>
      </c>
      <c r="J244" t="s">
        <v>375</v>
      </c>
      <c r="K244" s="17">
        <v>28583917000347</v>
      </c>
      <c r="L244" s="17">
        <v>90739624002323</v>
      </c>
      <c r="M244" s="9">
        <v>1799.16</v>
      </c>
      <c r="N244" t="s">
        <v>43</v>
      </c>
      <c r="Q244" s="2"/>
      <c r="R244" s="9"/>
      <c r="S244" t="s">
        <v>44</v>
      </c>
      <c r="T244" t="s">
        <v>45</v>
      </c>
      <c r="U244" s="2" t="s">
        <v>796</v>
      </c>
      <c r="V244" s="9" t="s">
        <v>1417</v>
      </c>
      <c r="W244">
        <v>4.3260828583916998E+43</v>
      </c>
      <c r="X244" t="s">
        <v>46</v>
      </c>
      <c r="Y244" s="2" t="s">
        <v>717</v>
      </c>
      <c r="Z244" s="2" t="s">
        <v>718</v>
      </c>
      <c r="AA244" s="9" t="s">
        <v>715</v>
      </c>
      <c r="AC244" s="2"/>
      <c r="AD244" t="s">
        <v>7</v>
      </c>
      <c r="AE244" t="s">
        <v>1418</v>
      </c>
    </row>
    <row r="245" spans="1:31" x14ac:dyDescent="0.3">
      <c r="A245" s="17">
        <v>90739624000118</v>
      </c>
      <c r="B245" t="s">
        <v>58</v>
      </c>
      <c r="D245" t="s">
        <v>1419</v>
      </c>
      <c r="E245" t="s">
        <v>2</v>
      </c>
      <c r="F245">
        <v>269308</v>
      </c>
      <c r="G245" s="1" t="s">
        <v>1420</v>
      </c>
      <c r="H245">
        <v>25018510</v>
      </c>
      <c r="I245">
        <v>89032</v>
      </c>
      <c r="J245" t="s">
        <v>309</v>
      </c>
      <c r="K245" s="17">
        <v>7473735017661</v>
      </c>
      <c r="L245" s="17">
        <v>90739624002323</v>
      </c>
      <c r="M245" s="9">
        <v>632.37</v>
      </c>
      <c r="N245" t="s">
        <v>43</v>
      </c>
      <c r="Q245" s="2"/>
      <c r="R245" s="9"/>
      <c r="S245" t="s">
        <v>44</v>
      </c>
      <c r="T245" t="s">
        <v>45</v>
      </c>
      <c r="U245" s="2" t="s">
        <v>581</v>
      </c>
      <c r="V245" s="9" t="s">
        <v>1421</v>
      </c>
      <c r="W245">
        <v>4.3260807473734999E+43</v>
      </c>
      <c r="X245" t="s">
        <v>46</v>
      </c>
      <c r="Y245" s="2" t="s">
        <v>717</v>
      </c>
      <c r="Z245" s="2" t="s">
        <v>718</v>
      </c>
      <c r="AA245" s="9" t="s">
        <v>715</v>
      </c>
      <c r="AC245" s="2"/>
      <c r="AD245" t="s">
        <v>7</v>
      </c>
      <c r="AE245" t="s">
        <v>1422</v>
      </c>
    </row>
    <row r="246" spans="1:31" x14ac:dyDescent="0.3">
      <c r="A246" s="17">
        <v>90739624000118</v>
      </c>
      <c r="B246" t="s">
        <v>28</v>
      </c>
      <c r="D246" t="s">
        <v>208</v>
      </c>
      <c r="E246" t="s">
        <v>2</v>
      </c>
      <c r="F246">
        <v>269308</v>
      </c>
      <c r="G246" s="1" t="s">
        <v>1423</v>
      </c>
      <c r="H246">
        <v>25018509</v>
      </c>
      <c r="I246">
        <v>38311</v>
      </c>
      <c r="J246" t="s">
        <v>209</v>
      </c>
      <c r="K246" s="17">
        <v>33360405000190</v>
      </c>
      <c r="L246" s="17">
        <v>90739624001947</v>
      </c>
      <c r="M246" s="9">
        <v>301.05</v>
      </c>
      <c r="N246" t="s">
        <v>43</v>
      </c>
      <c r="Q246" s="2"/>
      <c r="R246" s="9"/>
      <c r="S246" t="s">
        <v>44</v>
      </c>
      <c r="T246" t="s">
        <v>45</v>
      </c>
      <c r="U246" s="2" t="s">
        <v>581</v>
      </c>
      <c r="V246" s="9" t="s">
        <v>1424</v>
      </c>
      <c r="W246">
        <v>5.2260833360404998E+43</v>
      </c>
      <c r="X246" t="s">
        <v>46</v>
      </c>
      <c r="Y246" s="2" t="s">
        <v>717</v>
      </c>
      <c r="Z246" s="2" t="s">
        <v>718</v>
      </c>
      <c r="AA246" s="9" t="s">
        <v>715</v>
      </c>
      <c r="AC246" s="2"/>
      <c r="AD246" t="s">
        <v>7</v>
      </c>
      <c r="AE246" t="s">
        <v>1425</v>
      </c>
    </row>
    <row r="247" spans="1:31" x14ac:dyDescent="0.3">
      <c r="A247" s="17">
        <v>90739624000118</v>
      </c>
      <c r="B247" t="s">
        <v>18</v>
      </c>
      <c r="C247">
        <v>26123</v>
      </c>
      <c r="D247" t="s">
        <v>39</v>
      </c>
      <c r="E247" t="s">
        <v>2</v>
      </c>
      <c r="F247">
        <v>269308</v>
      </c>
      <c r="G247" s="1" t="s">
        <v>1426</v>
      </c>
      <c r="H247">
        <v>25018393</v>
      </c>
      <c r="I247">
        <v>1283</v>
      </c>
      <c r="J247" t="s">
        <v>20</v>
      </c>
      <c r="K247" s="17">
        <v>27751075017640</v>
      </c>
      <c r="L247" s="17">
        <v>90739624000380</v>
      </c>
      <c r="M247" s="9">
        <v>347.08</v>
      </c>
      <c r="N247" t="s">
        <v>43</v>
      </c>
      <c r="Q247" s="2"/>
      <c r="R247" s="9"/>
      <c r="S247" t="s">
        <v>44</v>
      </c>
      <c r="T247" t="s">
        <v>45</v>
      </c>
      <c r="U247" s="2" t="s">
        <v>581</v>
      </c>
      <c r="V247" s="9" t="s">
        <v>1427</v>
      </c>
      <c r="W247">
        <v>3.5260827751075001E+43</v>
      </c>
      <c r="X247" t="s">
        <v>46</v>
      </c>
      <c r="Y247" s="2" t="s">
        <v>717</v>
      </c>
      <c r="Z247" s="2" t="s">
        <v>718</v>
      </c>
      <c r="AA247" s="9" t="s">
        <v>715</v>
      </c>
      <c r="AC247" s="2"/>
      <c r="AD247" t="s">
        <v>7</v>
      </c>
      <c r="AE247" t="s">
        <v>1428</v>
      </c>
    </row>
    <row r="248" spans="1:31" x14ac:dyDescent="0.3">
      <c r="A248" s="17">
        <v>90739624000118</v>
      </c>
      <c r="B248" t="s">
        <v>174</v>
      </c>
      <c r="D248" t="s">
        <v>543</v>
      </c>
      <c r="E248" t="s">
        <v>2</v>
      </c>
      <c r="F248">
        <v>269308</v>
      </c>
      <c r="G248" s="1" t="s">
        <v>1429</v>
      </c>
      <c r="H248">
        <v>25018166</v>
      </c>
      <c r="I248">
        <v>38310</v>
      </c>
      <c r="J248" t="s">
        <v>209</v>
      </c>
      <c r="K248" s="17">
        <v>33360405000190</v>
      </c>
      <c r="L248" s="17">
        <v>90739624001947</v>
      </c>
      <c r="M248" s="9">
        <v>247.53</v>
      </c>
      <c r="N248" t="s">
        <v>43</v>
      </c>
      <c r="Q248" s="2"/>
      <c r="R248" s="9"/>
      <c r="S248" t="s">
        <v>44</v>
      </c>
      <c r="T248" t="s">
        <v>45</v>
      </c>
      <c r="U248" s="2" t="s">
        <v>581</v>
      </c>
      <c r="V248" s="9" t="s">
        <v>1430</v>
      </c>
      <c r="W248">
        <v>5.2260833360404998E+43</v>
      </c>
      <c r="X248" t="s">
        <v>46</v>
      </c>
      <c r="Y248" s="2" t="s">
        <v>717</v>
      </c>
      <c r="Z248" s="2" t="s">
        <v>718</v>
      </c>
      <c r="AA248" s="9" t="s">
        <v>715</v>
      </c>
      <c r="AC248" s="2"/>
      <c r="AD248" t="s">
        <v>7</v>
      </c>
      <c r="AE248" t="s">
        <v>1431</v>
      </c>
    </row>
    <row r="249" spans="1:31" x14ac:dyDescent="0.3">
      <c r="A249" s="17">
        <v>90739624000118</v>
      </c>
      <c r="B249" t="s">
        <v>11</v>
      </c>
      <c r="D249" t="s">
        <v>138</v>
      </c>
      <c r="E249" t="s">
        <v>2</v>
      </c>
      <c r="F249">
        <v>269308</v>
      </c>
      <c r="G249" s="1" t="s">
        <v>1432</v>
      </c>
      <c r="H249">
        <v>25017802</v>
      </c>
      <c r="I249">
        <v>1052270</v>
      </c>
      <c r="J249" t="s">
        <v>210</v>
      </c>
      <c r="K249" s="17">
        <v>55973291000196</v>
      </c>
      <c r="L249" s="17">
        <v>90739624000380</v>
      </c>
      <c r="M249" s="9">
        <v>154.63</v>
      </c>
      <c r="N249" t="s">
        <v>43</v>
      </c>
      <c r="Q249" s="2"/>
      <c r="R249" s="9"/>
      <c r="S249" t="s">
        <v>44</v>
      </c>
      <c r="T249" t="s">
        <v>45</v>
      </c>
      <c r="U249" s="2" t="s">
        <v>581</v>
      </c>
      <c r="V249" s="9" t="s">
        <v>1433</v>
      </c>
      <c r="W249">
        <v>3.5260855973290999E+43</v>
      </c>
      <c r="X249" t="s">
        <v>46</v>
      </c>
      <c r="Y249" s="2" t="s">
        <v>717</v>
      </c>
      <c r="Z249" s="2" t="s">
        <v>718</v>
      </c>
      <c r="AA249" s="9" t="s">
        <v>715</v>
      </c>
      <c r="AC249" s="2"/>
      <c r="AD249" t="s">
        <v>7</v>
      </c>
      <c r="AE249" t="s">
        <v>1434</v>
      </c>
    </row>
    <row r="250" spans="1:31" x14ac:dyDescent="0.3">
      <c r="A250" s="17">
        <v>90739624000118</v>
      </c>
      <c r="B250" t="s">
        <v>8</v>
      </c>
      <c r="D250" t="s">
        <v>297</v>
      </c>
      <c r="E250" t="s">
        <v>2</v>
      </c>
      <c r="F250">
        <v>269308</v>
      </c>
      <c r="G250" s="1" t="s">
        <v>1435</v>
      </c>
      <c r="H250">
        <v>25017678</v>
      </c>
      <c r="I250">
        <v>163138</v>
      </c>
      <c r="J250" t="s">
        <v>51</v>
      </c>
      <c r="K250" s="17">
        <v>2763612000161</v>
      </c>
      <c r="L250" s="17">
        <v>90739624003133</v>
      </c>
      <c r="M250" s="9">
        <v>846.77</v>
      </c>
      <c r="N250" t="s">
        <v>43</v>
      </c>
      <c r="Q250" s="2"/>
      <c r="R250" s="9"/>
      <c r="S250" t="s">
        <v>44</v>
      </c>
      <c r="T250" t="s">
        <v>45</v>
      </c>
      <c r="U250" s="2" t="s">
        <v>581</v>
      </c>
      <c r="V250" s="9" t="s">
        <v>1436</v>
      </c>
      <c r="W250">
        <v>4.1260802763612002E+43</v>
      </c>
      <c r="X250" t="s">
        <v>46</v>
      </c>
      <c r="Y250" s="2" t="s">
        <v>717</v>
      </c>
      <c r="Z250" s="2" t="s">
        <v>718</v>
      </c>
      <c r="AA250" s="9" t="s">
        <v>715</v>
      </c>
      <c r="AC250" s="2"/>
      <c r="AD250" t="s">
        <v>7</v>
      </c>
      <c r="AE250" t="s">
        <v>1437</v>
      </c>
    </row>
    <row r="251" spans="1:31" x14ac:dyDescent="0.3">
      <c r="A251" s="17">
        <v>90739624000118</v>
      </c>
      <c r="B251" t="s">
        <v>11</v>
      </c>
      <c r="C251">
        <v>26124</v>
      </c>
      <c r="D251" t="s">
        <v>453</v>
      </c>
      <c r="E251" t="s">
        <v>2</v>
      </c>
      <c r="F251">
        <v>269308</v>
      </c>
      <c r="G251" s="1" t="s">
        <v>1438</v>
      </c>
      <c r="H251">
        <v>25017527</v>
      </c>
      <c r="I251">
        <v>5317</v>
      </c>
      <c r="J251" t="s">
        <v>310</v>
      </c>
      <c r="K251" s="17">
        <v>42733072000198</v>
      </c>
      <c r="L251" s="17">
        <v>90739624000380</v>
      </c>
      <c r="M251" s="9">
        <v>272.68</v>
      </c>
      <c r="N251" t="s">
        <v>43</v>
      </c>
      <c r="Q251" s="2"/>
      <c r="R251" s="9"/>
      <c r="S251" t="s">
        <v>44</v>
      </c>
      <c r="T251" t="s">
        <v>45</v>
      </c>
      <c r="U251" s="2" t="s">
        <v>583</v>
      </c>
      <c r="V251" s="9" t="s">
        <v>1439</v>
      </c>
      <c r="W251">
        <v>3.5260842733072E+43</v>
      </c>
      <c r="X251" t="s">
        <v>46</v>
      </c>
      <c r="Y251" s="2" t="s">
        <v>717</v>
      </c>
      <c r="Z251" s="2" t="s">
        <v>718</v>
      </c>
      <c r="AA251" s="9" t="s">
        <v>715</v>
      </c>
      <c r="AC251" s="2"/>
      <c r="AD251" t="s">
        <v>7</v>
      </c>
      <c r="AE251" t="s">
        <v>1440</v>
      </c>
    </row>
    <row r="252" spans="1:31" x14ac:dyDescent="0.3">
      <c r="A252" s="17">
        <v>90739624000118</v>
      </c>
      <c r="B252" t="s">
        <v>0</v>
      </c>
      <c r="C252">
        <v>20490</v>
      </c>
      <c r="D252" t="s">
        <v>529</v>
      </c>
      <c r="E252" t="s">
        <v>2</v>
      </c>
      <c r="F252">
        <v>269308</v>
      </c>
      <c r="G252" s="1" t="s">
        <v>1441</v>
      </c>
      <c r="H252">
        <v>25017231</v>
      </c>
      <c r="I252">
        <v>138071</v>
      </c>
      <c r="J252" t="s">
        <v>272</v>
      </c>
      <c r="K252" s="17">
        <v>15636643000101</v>
      </c>
      <c r="L252" s="17">
        <v>90739624001432</v>
      </c>
      <c r="M252" s="9">
        <v>2485.8000000000002</v>
      </c>
      <c r="N252" t="s">
        <v>43</v>
      </c>
      <c r="Q252" s="2"/>
      <c r="R252" s="9"/>
      <c r="S252" t="s">
        <v>44</v>
      </c>
      <c r="T252" t="s">
        <v>45</v>
      </c>
      <c r="U252" s="2" t="s">
        <v>581</v>
      </c>
      <c r="V252" s="9" t="s">
        <v>1442</v>
      </c>
      <c r="W252">
        <v>4.2260815636643001E+43</v>
      </c>
      <c r="X252" t="s">
        <v>46</v>
      </c>
      <c r="Y252" s="2" t="s">
        <v>717</v>
      </c>
      <c r="Z252" s="2" t="s">
        <v>718</v>
      </c>
      <c r="AA252" s="9" t="s">
        <v>715</v>
      </c>
      <c r="AC252" s="2"/>
      <c r="AD252" t="s">
        <v>7</v>
      </c>
      <c r="AE252" t="s">
        <v>1443</v>
      </c>
    </row>
    <row r="253" spans="1:31" x14ac:dyDescent="0.3">
      <c r="A253" s="17">
        <v>90739624000118</v>
      </c>
      <c r="B253" t="s">
        <v>18</v>
      </c>
      <c r="D253" t="s">
        <v>19</v>
      </c>
      <c r="E253" t="s">
        <v>2</v>
      </c>
      <c r="F253">
        <v>269308</v>
      </c>
      <c r="G253" s="1" t="s">
        <v>1444</v>
      </c>
      <c r="H253">
        <v>25016472</v>
      </c>
      <c r="I253">
        <v>374085</v>
      </c>
      <c r="J253" t="s">
        <v>202</v>
      </c>
      <c r="K253" s="17">
        <v>5065447000162</v>
      </c>
      <c r="L253" s="17">
        <v>90739624000380</v>
      </c>
      <c r="M253" s="9">
        <v>225.46</v>
      </c>
      <c r="N253" t="s">
        <v>43</v>
      </c>
      <c r="Q253" s="2"/>
      <c r="R253" s="9"/>
      <c r="S253" t="s">
        <v>44</v>
      </c>
      <c r="T253" t="s">
        <v>45</v>
      </c>
      <c r="U253" s="2" t="s">
        <v>583</v>
      </c>
      <c r="V253" s="9" t="s">
        <v>1445</v>
      </c>
      <c r="W253">
        <v>3.5260805065447002E+43</v>
      </c>
      <c r="X253" t="s">
        <v>46</v>
      </c>
      <c r="Y253" s="2" t="s">
        <v>717</v>
      </c>
      <c r="Z253" s="2" t="s">
        <v>718</v>
      </c>
      <c r="AA253" s="9" t="s">
        <v>715</v>
      </c>
      <c r="AC253" s="2"/>
      <c r="AD253" t="s">
        <v>7</v>
      </c>
      <c r="AE253" t="s">
        <v>1446</v>
      </c>
    </row>
    <row r="254" spans="1:31" x14ac:dyDescent="0.3">
      <c r="A254" s="17">
        <v>90739624000118</v>
      </c>
      <c r="B254" t="s">
        <v>40</v>
      </c>
      <c r="D254" t="s">
        <v>217</v>
      </c>
      <c r="E254" t="s">
        <v>2</v>
      </c>
      <c r="F254">
        <v>269308</v>
      </c>
      <c r="G254" s="1" t="s">
        <v>1447</v>
      </c>
      <c r="H254">
        <v>25016468</v>
      </c>
      <c r="I254">
        <v>4435</v>
      </c>
      <c r="J254" t="s">
        <v>482</v>
      </c>
      <c r="K254" s="17">
        <v>93489243007471</v>
      </c>
      <c r="L254" s="17">
        <v>90739624002323</v>
      </c>
      <c r="M254" s="9">
        <v>645.12</v>
      </c>
      <c r="N254" t="s">
        <v>43</v>
      </c>
      <c r="Q254" s="2"/>
      <c r="R254" s="9"/>
      <c r="S254" t="s">
        <v>44</v>
      </c>
      <c r="T254" t="s">
        <v>45</v>
      </c>
      <c r="U254" s="2" t="s">
        <v>581</v>
      </c>
      <c r="V254" s="9" t="s">
        <v>1448</v>
      </c>
      <c r="W254">
        <v>4.3260893489242999E+43</v>
      </c>
      <c r="X254" t="s">
        <v>46</v>
      </c>
      <c r="Y254" s="2" t="s">
        <v>717</v>
      </c>
      <c r="Z254" s="2" t="s">
        <v>718</v>
      </c>
      <c r="AA254" s="9" t="s">
        <v>715</v>
      </c>
      <c r="AC254" s="2"/>
      <c r="AD254" t="s">
        <v>7</v>
      </c>
      <c r="AE254" t="s">
        <v>1449</v>
      </c>
    </row>
    <row r="255" spans="1:31" x14ac:dyDescent="0.3">
      <c r="A255" s="17">
        <v>90739624000118</v>
      </c>
      <c r="B255" t="s">
        <v>170</v>
      </c>
      <c r="D255" t="s">
        <v>519</v>
      </c>
      <c r="E255" t="s">
        <v>2</v>
      </c>
      <c r="F255">
        <v>269308</v>
      </c>
      <c r="G255" s="1" t="s">
        <v>1450</v>
      </c>
      <c r="H255">
        <v>25016154</v>
      </c>
      <c r="I255">
        <v>129899</v>
      </c>
      <c r="J255" t="s">
        <v>178</v>
      </c>
      <c r="K255" s="17">
        <v>83392050000199</v>
      </c>
      <c r="L255" s="17">
        <v>90739624001432</v>
      </c>
      <c r="M255" s="9">
        <v>217.46</v>
      </c>
      <c r="N255" t="s">
        <v>43</v>
      </c>
      <c r="Q255" s="2"/>
      <c r="R255" s="9"/>
      <c r="S255" t="s">
        <v>44</v>
      </c>
      <c r="T255" t="s">
        <v>45</v>
      </c>
      <c r="U255" s="2" t="s">
        <v>581</v>
      </c>
      <c r="V255" s="9" t="s">
        <v>1451</v>
      </c>
      <c r="W255">
        <v>4.2260883392050001E+43</v>
      </c>
      <c r="X255" t="s">
        <v>46</v>
      </c>
      <c r="Y255" s="2" t="s">
        <v>717</v>
      </c>
      <c r="Z255" s="2" t="s">
        <v>718</v>
      </c>
      <c r="AA255" s="9" t="s">
        <v>715</v>
      </c>
      <c r="AC255" s="2"/>
      <c r="AD255" t="s">
        <v>7</v>
      </c>
      <c r="AE255" t="s">
        <v>1452</v>
      </c>
    </row>
    <row r="256" spans="1:31" x14ac:dyDescent="0.3">
      <c r="A256" s="17">
        <v>90739624000118</v>
      </c>
      <c r="B256" t="s">
        <v>33</v>
      </c>
      <c r="C256">
        <v>24874</v>
      </c>
      <c r="D256" t="s">
        <v>531</v>
      </c>
      <c r="E256" t="s">
        <v>2</v>
      </c>
      <c r="F256">
        <v>269308</v>
      </c>
      <c r="G256" s="1" t="s">
        <v>1453</v>
      </c>
      <c r="H256">
        <v>25015038</v>
      </c>
      <c r="I256">
        <v>1142</v>
      </c>
      <c r="J256" t="s">
        <v>35</v>
      </c>
      <c r="K256" s="17">
        <v>27933025000102</v>
      </c>
      <c r="L256" s="17">
        <v>9576274000106</v>
      </c>
      <c r="M256" s="9">
        <v>248.68</v>
      </c>
      <c r="N256" t="s">
        <v>43</v>
      </c>
      <c r="Q256" s="2"/>
      <c r="R256" s="9"/>
      <c r="S256" t="s">
        <v>44</v>
      </c>
      <c r="T256" t="s">
        <v>45</v>
      </c>
      <c r="U256" s="2" t="s">
        <v>792</v>
      </c>
      <c r="V256" s="9" t="s">
        <v>1454</v>
      </c>
      <c r="W256">
        <v>4.1260827933025001E+43</v>
      </c>
      <c r="X256" t="s">
        <v>46</v>
      </c>
      <c r="Y256" s="2" t="s">
        <v>717</v>
      </c>
      <c r="Z256" s="2" t="s">
        <v>718</v>
      </c>
      <c r="AA256" s="9" t="s">
        <v>715</v>
      </c>
      <c r="AC256" s="2"/>
      <c r="AD256" t="s">
        <v>7</v>
      </c>
      <c r="AE256" t="s">
        <v>1455</v>
      </c>
    </row>
    <row r="257" spans="1:31" x14ac:dyDescent="0.3">
      <c r="A257" s="17">
        <v>90739624000118</v>
      </c>
      <c r="B257" t="s">
        <v>120</v>
      </c>
      <c r="C257">
        <v>26017</v>
      </c>
      <c r="D257" t="s">
        <v>215</v>
      </c>
      <c r="E257" t="s">
        <v>2</v>
      </c>
      <c r="F257">
        <v>269308</v>
      </c>
      <c r="G257" s="1" t="s">
        <v>1456</v>
      </c>
      <c r="H257">
        <v>25014976</v>
      </c>
      <c r="I257">
        <v>38270</v>
      </c>
      <c r="J257" t="s">
        <v>157</v>
      </c>
      <c r="K257" s="17">
        <v>78253424000155</v>
      </c>
      <c r="L257" s="17">
        <v>90739624001432</v>
      </c>
      <c r="M257" s="9">
        <v>667.47</v>
      </c>
      <c r="N257" t="s">
        <v>43</v>
      </c>
      <c r="Q257" s="2"/>
      <c r="R257" s="9"/>
      <c r="S257" t="s">
        <v>44</v>
      </c>
      <c r="T257" t="s">
        <v>45</v>
      </c>
      <c r="U257" s="2" t="s">
        <v>581</v>
      </c>
      <c r="V257" s="9" t="s">
        <v>1457</v>
      </c>
      <c r="W257">
        <v>4.2260878253423998E+43</v>
      </c>
      <c r="X257" t="s">
        <v>46</v>
      </c>
      <c r="Y257" s="2" t="s">
        <v>717</v>
      </c>
      <c r="Z257" s="2" t="s">
        <v>718</v>
      </c>
      <c r="AA257" s="9" t="s">
        <v>715</v>
      </c>
      <c r="AC257" s="2"/>
      <c r="AD257" t="s">
        <v>7</v>
      </c>
      <c r="AE257" t="s">
        <v>1458</v>
      </c>
    </row>
    <row r="258" spans="1:31" x14ac:dyDescent="0.3">
      <c r="A258" s="17">
        <v>90739624000118</v>
      </c>
      <c r="B258" t="s">
        <v>11</v>
      </c>
      <c r="D258" t="s">
        <v>138</v>
      </c>
      <c r="E258" t="s">
        <v>2</v>
      </c>
      <c r="F258">
        <v>269308</v>
      </c>
      <c r="G258" s="1" t="s">
        <v>1459</v>
      </c>
      <c r="H258">
        <v>25014943</v>
      </c>
      <c r="I258">
        <v>23222</v>
      </c>
      <c r="J258" t="s">
        <v>24</v>
      </c>
      <c r="K258" s="17">
        <v>46472822000176</v>
      </c>
      <c r="L258" s="17">
        <v>90739624000380</v>
      </c>
      <c r="M258" s="9">
        <v>297.92</v>
      </c>
      <c r="N258" t="s">
        <v>43</v>
      </c>
      <c r="Q258" s="2"/>
      <c r="R258" s="9"/>
      <c r="S258" t="s">
        <v>44</v>
      </c>
      <c r="T258" t="s">
        <v>45</v>
      </c>
      <c r="U258" s="2" t="s">
        <v>583</v>
      </c>
      <c r="V258" s="9" t="s">
        <v>1460</v>
      </c>
      <c r="W258">
        <v>3.5260846472822E+43</v>
      </c>
      <c r="X258" t="s">
        <v>46</v>
      </c>
      <c r="Y258" s="2" t="s">
        <v>717</v>
      </c>
      <c r="Z258" s="2" t="s">
        <v>718</v>
      </c>
      <c r="AA258" s="9" t="s">
        <v>715</v>
      </c>
      <c r="AC258" s="2"/>
      <c r="AD258" t="s">
        <v>7</v>
      </c>
      <c r="AE258" t="s">
        <v>1461</v>
      </c>
    </row>
    <row r="259" spans="1:31" x14ac:dyDescent="0.3">
      <c r="A259" s="17">
        <v>90739624000118</v>
      </c>
      <c r="B259" t="s">
        <v>40</v>
      </c>
      <c r="C259">
        <v>26121</v>
      </c>
      <c r="D259" t="s">
        <v>41</v>
      </c>
      <c r="E259" t="s">
        <v>2</v>
      </c>
      <c r="F259">
        <v>269308</v>
      </c>
      <c r="G259" s="1" t="s">
        <v>1462</v>
      </c>
      <c r="H259">
        <v>25014914</v>
      </c>
      <c r="I259">
        <v>168613</v>
      </c>
      <c r="J259" t="s">
        <v>42</v>
      </c>
      <c r="K259" s="17">
        <v>82156977000248</v>
      </c>
      <c r="L259" s="17">
        <v>90739624001432</v>
      </c>
      <c r="M259" s="9">
        <v>239.77</v>
      </c>
      <c r="N259" t="s">
        <v>43</v>
      </c>
      <c r="Q259" s="2"/>
      <c r="R259" s="9"/>
      <c r="S259" t="s">
        <v>44</v>
      </c>
      <c r="T259" t="s">
        <v>45</v>
      </c>
      <c r="U259" s="2" t="s">
        <v>581</v>
      </c>
      <c r="V259" s="9" t="s">
        <v>1463</v>
      </c>
      <c r="W259">
        <v>4.2260882156977001E+43</v>
      </c>
      <c r="X259" t="s">
        <v>46</v>
      </c>
      <c r="Y259" s="2" t="s">
        <v>717</v>
      </c>
      <c r="Z259" s="2" t="s">
        <v>718</v>
      </c>
      <c r="AA259" s="9" t="s">
        <v>715</v>
      </c>
      <c r="AC259" s="2"/>
      <c r="AD259" t="s">
        <v>7</v>
      </c>
      <c r="AE259" t="s">
        <v>1464</v>
      </c>
    </row>
    <row r="260" spans="1:31" x14ac:dyDescent="0.3">
      <c r="A260" s="17">
        <v>90739624000118</v>
      </c>
      <c r="B260" t="s">
        <v>170</v>
      </c>
      <c r="D260" t="s">
        <v>177</v>
      </c>
      <c r="E260" t="s">
        <v>2</v>
      </c>
      <c r="F260">
        <v>269308</v>
      </c>
      <c r="G260" s="1" t="s">
        <v>1465</v>
      </c>
      <c r="H260">
        <v>25014762</v>
      </c>
      <c r="I260">
        <v>47724</v>
      </c>
      <c r="J260" t="s">
        <v>171</v>
      </c>
      <c r="K260" s="17">
        <v>14631967000186</v>
      </c>
      <c r="L260" s="17">
        <v>90739624001432</v>
      </c>
      <c r="M260" s="9">
        <v>352.32</v>
      </c>
      <c r="N260" t="s">
        <v>43</v>
      </c>
      <c r="Q260" s="2"/>
      <c r="R260" s="9"/>
      <c r="S260" t="s">
        <v>44</v>
      </c>
      <c r="T260" t="s">
        <v>45</v>
      </c>
      <c r="U260" s="2" t="s">
        <v>581</v>
      </c>
      <c r="V260" s="9" t="s">
        <v>692</v>
      </c>
      <c r="W260">
        <v>4.2260814631966998E+43</v>
      </c>
      <c r="X260" t="s">
        <v>46</v>
      </c>
      <c r="Y260" s="2" t="s">
        <v>717</v>
      </c>
      <c r="Z260" s="2" t="s">
        <v>718</v>
      </c>
      <c r="AA260" s="9" t="s">
        <v>715</v>
      </c>
      <c r="AC260" s="2"/>
      <c r="AD260" t="s">
        <v>7</v>
      </c>
      <c r="AE260" t="s">
        <v>1466</v>
      </c>
    </row>
    <row r="261" spans="1:31" x14ac:dyDescent="0.3">
      <c r="A261" s="17">
        <v>90739624000118</v>
      </c>
      <c r="B261" t="s">
        <v>13</v>
      </c>
      <c r="D261" t="s">
        <v>207</v>
      </c>
      <c r="E261" t="s">
        <v>2</v>
      </c>
      <c r="F261">
        <v>269308</v>
      </c>
      <c r="G261" s="1" t="s">
        <v>1467</v>
      </c>
      <c r="H261">
        <v>25014589</v>
      </c>
      <c r="I261">
        <v>16694</v>
      </c>
      <c r="J261" t="s">
        <v>513</v>
      </c>
      <c r="K261" s="17">
        <v>1550726000160</v>
      </c>
      <c r="L261" s="17">
        <v>90739624001190</v>
      </c>
      <c r="M261" s="9">
        <v>397.95</v>
      </c>
      <c r="N261" t="s">
        <v>43</v>
      </c>
      <c r="Q261" s="2"/>
      <c r="R261" s="9"/>
      <c r="S261" t="s">
        <v>44</v>
      </c>
      <c r="T261" t="s">
        <v>45</v>
      </c>
      <c r="U261" s="2" t="s">
        <v>583</v>
      </c>
      <c r="V261" s="9" t="s">
        <v>1468</v>
      </c>
      <c r="W261">
        <v>5.0260801550725997E+43</v>
      </c>
      <c r="X261" t="s">
        <v>46</v>
      </c>
      <c r="Y261" s="2" t="s">
        <v>717</v>
      </c>
      <c r="Z261" s="2" t="s">
        <v>718</v>
      </c>
      <c r="AA261" s="9" t="s">
        <v>715</v>
      </c>
      <c r="AC261" s="2"/>
      <c r="AD261" t="s">
        <v>7</v>
      </c>
      <c r="AE261" t="s">
        <v>1469</v>
      </c>
    </row>
    <row r="262" spans="1:31" x14ac:dyDescent="0.3">
      <c r="A262" s="17">
        <v>90739624000118</v>
      </c>
      <c r="B262" t="s">
        <v>58</v>
      </c>
      <c r="D262" t="s">
        <v>481</v>
      </c>
      <c r="E262" t="s">
        <v>2</v>
      </c>
      <c r="F262">
        <v>269308</v>
      </c>
      <c r="G262" s="1" t="s">
        <v>1470</v>
      </c>
      <c r="H262">
        <v>25014389</v>
      </c>
      <c r="I262">
        <v>57911</v>
      </c>
      <c r="J262" t="s">
        <v>480</v>
      </c>
      <c r="K262" s="17">
        <v>7473735019877</v>
      </c>
      <c r="L262" s="17">
        <v>90739624002323</v>
      </c>
      <c r="M262" s="9">
        <v>213.71</v>
      </c>
      <c r="N262" t="s">
        <v>43</v>
      </c>
      <c r="Q262" s="2"/>
      <c r="R262" s="9"/>
      <c r="S262" t="s">
        <v>44</v>
      </c>
      <c r="T262" t="s">
        <v>45</v>
      </c>
      <c r="U262" s="2" t="s">
        <v>581</v>
      </c>
      <c r="V262" s="9" t="s">
        <v>1471</v>
      </c>
      <c r="W262">
        <v>4.3260807473734999E+43</v>
      </c>
      <c r="X262" t="s">
        <v>46</v>
      </c>
      <c r="Y262" s="2" t="s">
        <v>717</v>
      </c>
      <c r="Z262" s="2" t="s">
        <v>718</v>
      </c>
      <c r="AA262" s="9" t="s">
        <v>715</v>
      </c>
      <c r="AC262" s="2"/>
      <c r="AD262" t="s">
        <v>7</v>
      </c>
      <c r="AE262" t="s">
        <v>1472</v>
      </c>
    </row>
    <row r="263" spans="1:31" x14ac:dyDescent="0.3">
      <c r="A263" s="17">
        <v>90739624000118</v>
      </c>
      <c r="B263" t="s">
        <v>49</v>
      </c>
      <c r="C263">
        <v>25076</v>
      </c>
      <c r="D263" t="s">
        <v>316</v>
      </c>
      <c r="E263" t="s">
        <v>2</v>
      </c>
      <c r="F263">
        <v>269308</v>
      </c>
      <c r="G263" s="1" t="s">
        <v>1473</v>
      </c>
      <c r="H263">
        <v>25014272</v>
      </c>
      <c r="I263">
        <v>163126</v>
      </c>
      <c r="J263" t="s">
        <v>51</v>
      </c>
      <c r="K263" s="17">
        <v>2763612000161</v>
      </c>
      <c r="L263" s="17">
        <v>90739624003133</v>
      </c>
      <c r="M263" s="9">
        <v>238.4</v>
      </c>
      <c r="N263" t="s">
        <v>43</v>
      </c>
      <c r="Q263" s="2"/>
      <c r="R263" s="9"/>
      <c r="S263" t="s">
        <v>44</v>
      </c>
      <c r="T263" t="s">
        <v>45</v>
      </c>
      <c r="U263" s="2" t="s">
        <v>581</v>
      </c>
      <c r="V263" s="9" t="s">
        <v>1474</v>
      </c>
      <c r="W263">
        <v>4.1260802763612002E+43</v>
      </c>
      <c r="X263" t="s">
        <v>46</v>
      </c>
      <c r="Y263" s="2" t="s">
        <v>717</v>
      </c>
      <c r="Z263" s="2" t="s">
        <v>718</v>
      </c>
      <c r="AA263" s="9" t="s">
        <v>715</v>
      </c>
      <c r="AC263" s="2"/>
      <c r="AD263" t="s">
        <v>7</v>
      </c>
      <c r="AE263" t="s">
        <v>1475</v>
      </c>
    </row>
    <row r="264" spans="1:31" x14ac:dyDescent="0.3">
      <c r="A264" s="17">
        <v>90739624000118</v>
      </c>
      <c r="B264" t="s">
        <v>31</v>
      </c>
      <c r="C264">
        <v>21845</v>
      </c>
      <c r="D264" t="s">
        <v>688</v>
      </c>
      <c r="E264" t="s">
        <v>2</v>
      </c>
      <c r="F264">
        <v>269308</v>
      </c>
      <c r="G264" s="1" t="s">
        <v>1476</v>
      </c>
      <c r="H264">
        <v>25014188</v>
      </c>
      <c r="I264">
        <v>54862</v>
      </c>
      <c r="J264" t="s">
        <v>56</v>
      </c>
      <c r="K264" s="17">
        <v>8603562000212</v>
      </c>
      <c r="L264" s="17">
        <v>90739624001866</v>
      </c>
      <c r="M264" s="9">
        <v>176.54</v>
      </c>
      <c r="N264" t="s">
        <v>43</v>
      </c>
      <c r="Q264" s="2"/>
      <c r="R264" s="9"/>
      <c r="S264" t="s">
        <v>44</v>
      </c>
      <c r="T264" t="s">
        <v>45</v>
      </c>
      <c r="U264" s="2" t="s">
        <v>581</v>
      </c>
      <c r="V264" s="9" t="s">
        <v>1477</v>
      </c>
      <c r="W264">
        <v>5.1260808603562005E+43</v>
      </c>
      <c r="X264" t="s">
        <v>46</v>
      </c>
      <c r="Y264" s="2" t="s">
        <v>717</v>
      </c>
      <c r="Z264" s="2" t="s">
        <v>718</v>
      </c>
      <c r="AA264" s="9" t="s">
        <v>715</v>
      </c>
      <c r="AC264" s="2"/>
      <c r="AD264" t="s">
        <v>7</v>
      </c>
      <c r="AE264" t="s">
        <v>1478</v>
      </c>
    </row>
    <row r="265" spans="1:31" x14ac:dyDescent="0.3">
      <c r="A265" s="17">
        <v>90739624000118</v>
      </c>
      <c r="B265" t="s">
        <v>28</v>
      </c>
      <c r="D265" t="s">
        <v>511</v>
      </c>
      <c r="E265" t="s">
        <v>2</v>
      </c>
      <c r="F265">
        <v>269308</v>
      </c>
      <c r="G265" s="1" t="s">
        <v>1479</v>
      </c>
      <c r="H265">
        <v>25014184</v>
      </c>
      <c r="I265">
        <v>81374</v>
      </c>
      <c r="J265" t="s">
        <v>48</v>
      </c>
      <c r="K265" s="17">
        <v>1272434001002</v>
      </c>
      <c r="L265" s="17">
        <v>90739624001947</v>
      </c>
      <c r="M265" s="9">
        <v>167.94</v>
      </c>
      <c r="N265" t="s">
        <v>43</v>
      </c>
      <c r="Q265" s="2"/>
      <c r="R265" s="9"/>
      <c r="S265" t="s">
        <v>44</v>
      </c>
      <c r="T265" t="s">
        <v>45</v>
      </c>
      <c r="U265" s="2" t="s">
        <v>581</v>
      </c>
      <c r="V265" s="9" t="s">
        <v>1480</v>
      </c>
      <c r="W265">
        <v>5.2260801272433996E+43</v>
      </c>
      <c r="X265" t="s">
        <v>46</v>
      </c>
      <c r="Y265" s="2" t="s">
        <v>717</v>
      </c>
      <c r="Z265" s="2" t="s">
        <v>718</v>
      </c>
      <c r="AA265" s="9" t="s">
        <v>715</v>
      </c>
      <c r="AC265" s="2"/>
      <c r="AD265" t="s">
        <v>7</v>
      </c>
      <c r="AE265" t="s">
        <v>1481</v>
      </c>
    </row>
    <row r="266" spans="1:31" x14ac:dyDescent="0.3">
      <c r="A266" s="17">
        <v>90739624000118</v>
      </c>
      <c r="B266" t="s">
        <v>58</v>
      </c>
      <c r="D266" t="s">
        <v>166</v>
      </c>
      <c r="E266" t="s">
        <v>2</v>
      </c>
      <c r="F266">
        <v>269308</v>
      </c>
      <c r="G266" s="1" t="s">
        <v>1482</v>
      </c>
      <c r="H266">
        <v>25014030</v>
      </c>
      <c r="J266" t="s">
        <v>379</v>
      </c>
      <c r="K266" s="17">
        <v>7473735024609</v>
      </c>
      <c r="L266" s="17"/>
      <c r="M266" s="9">
        <v>260.04000000000002</v>
      </c>
      <c r="N266" t="s">
        <v>43</v>
      </c>
      <c r="Q266" s="2"/>
      <c r="R266" s="9"/>
      <c r="S266" t="s">
        <v>87</v>
      </c>
      <c r="U266" s="2"/>
      <c r="V266" s="9"/>
      <c r="X266" t="s">
        <v>88</v>
      </c>
      <c r="Y266" s="2" t="s">
        <v>717</v>
      </c>
      <c r="Z266" s="2" t="s">
        <v>718</v>
      </c>
      <c r="AA266" s="9" t="s">
        <v>715</v>
      </c>
      <c r="AC266" s="2"/>
      <c r="AD266" t="s">
        <v>7</v>
      </c>
    </row>
    <row r="267" spans="1:31" x14ac:dyDescent="0.3">
      <c r="A267" s="17">
        <v>90739624000118</v>
      </c>
      <c r="B267" t="s">
        <v>28</v>
      </c>
      <c r="D267" t="s">
        <v>224</v>
      </c>
      <c r="E267" t="s">
        <v>2</v>
      </c>
      <c r="F267">
        <v>269308</v>
      </c>
      <c r="G267" s="1" t="s">
        <v>1484</v>
      </c>
      <c r="H267">
        <v>25014017</v>
      </c>
      <c r="I267">
        <v>81373</v>
      </c>
      <c r="J267" t="s">
        <v>48</v>
      </c>
      <c r="K267" s="17">
        <v>1272434001002</v>
      </c>
      <c r="L267" s="17">
        <v>90739624001947</v>
      </c>
      <c r="M267" s="9">
        <v>322.22000000000003</v>
      </c>
      <c r="N267" t="s">
        <v>43</v>
      </c>
      <c r="Q267" s="2"/>
      <c r="R267" s="9"/>
      <c r="S267" t="s">
        <v>44</v>
      </c>
      <c r="T267" t="s">
        <v>45</v>
      </c>
      <c r="U267" s="2" t="s">
        <v>581</v>
      </c>
      <c r="V267" s="9" t="s">
        <v>1485</v>
      </c>
      <c r="W267">
        <v>5.2260801272433996E+43</v>
      </c>
      <c r="X267" t="s">
        <v>46</v>
      </c>
      <c r="Y267" s="2" t="s">
        <v>717</v>
      </c>
      <c r="Z267" s="2" t="s">
        <v>718</v>
      </c>
      <c r="AA267" s="9" t="s">
        <v>715</v>
      </c>
      <c r="AC267" s="2"/>
      <c r="AD267" t="s">
        <v>7</v>
      </c>
      <c r="AE267" t="s">
        <v>1486</v>
      </c>
    </row>
    <row r="268" spans="1:31" x14ac:dyDescent="0.3">
      <c r="A268" s="17">
        <v>90739624000118</v>
      </c>
      <c r="B268" t="s">
        <v>33</v>
      </c>
      <c r="C268">
        <v>22486</v>
      </c>
      <c r="D268" t="s">
        <v>38</v>
      </c>
      <c r="E268" t="s">
        <v>2</v>
      </c>
      <c r="F268">
        <v>269308</v>
      </c>
      <c r="G268" s="1" t="s">
        <v>1487</v>
      </c>
      <c r="H268">
        <v>25014010</v>
      </c>
      <c r="I268">
        <v>1141</v>
      </c>
      <c r="J268" t="s">
        <v>35</v>
      </c>
      <c r="K268" s="17">
        <v>27933025000102</v>
      </c>
      <c r="L268" s="17">
        <v>9576274000106</v>
      </c>
      <c r="M268" s="9">
        <v>265.64</v>
      </c>
      <c r="N268" t="s">
        <v>43</v>
      </c>
      <c r="Q268" s="2"/>
      <c r="R268" s="9"/>
      <c r="S268" t="s">
        <v>44</v>
      </c>
      <c r="T268" t="s">
        <v>45</v>
      </c>
      <c r="U268" s="2" t="s">
        <v>792</v>
      </c>
      <c r="V268" s="9" t="s">
        <v>1488</v>
      </c>
      <c r="W268">
        <v>4.1260827933025001E+43</v>
      </c>
      <c r="X268" t="s">
        <v>46</v>
      </c>
      <c r="Y268" s="2" t="s">
        <v>717</v>
      </c>
      <c r="Z268" s="2" t="s">
        <v>718</v>
      </c>
      <c r="AA268" s="9" t="s">
        <v>715</v>
      </c>
      <c r="AC268" s="2"/>
      <c r="AD268" t="s">
        <v>7</v>
      </c>
      <c r="AE268" t="s">
        <v>1489</v>
      </c>
    </row>
    <row r="269" spans="1:31" x14ac:dyDescent="0.3">
      <c r="A269" s="17">
        <v>90739624000118</v>
      </c>
      <c r="B269" t="s">
        <v>18</v>
      </c>
      <c r="C269">
        <v>20892</v>
      </c>
      <c r="D269" t="s">
        <v>570</v>
      </c>
      <c r="E269" t="s">
        <v>2</v>
      </c>
      <c r="F269">
        <v>269308</v>
      </c>
      <c r="G269" s="1" t="s">
        <v>1490</v>
      </c>
      <c r="H269">
        <v>25013998</v>
      </c>
      <c r="I269">
        <v>15532</v>
      </c>
      <c r="J269" t="s">
        <v>57</v>
      </c>
      <c r="K269" s="17">
        <v>50206655000199</v>
      </c>
      <c r="L269" s="17">
        <v>90739624000380</v>
      </c>
      <c r="M269" s="9">
        <v>311.63</v>
      </c>
      <c r="N269" t="s">
        <v>43</v>
      </c>
      <c r="Q269" s="2"/>
      <c r="R269" s="9"/>
      <c r="S269" t="s">
        <v>44</v>
      </c>
      <c r="T269" t="s">
        <v>45</v>
      </c>
      <c r="U269" s="2" t="s">
        <v>583</v>
      </c>
      <c r="V269" s="9" t="s">
        <v>1491</v>
      </c>
      <c r="W269">
        <v>3.5260850206654998E+43</v>
      </c>
      <c r="X269" t="s">
        <v>46</v>
      </c>
      <c r="Y269" s="2" t="s">
        <v>717</v>
      </c>
      <c r="Z269" s="2" t="s">
        <v>718</v>
      </c>
      <c r="AA269" s="9" t="s">
        <v>715</v>
      </c>
      <c r="AC269" s="2"/>
      <c r="AD269" t="s">
        <v>7</v>
      </c>
      <c r="AE269" t="s">
        <v>1492</v>
      </c>
    </row>
    <row r="270" spans="1:31" x14ac:dyDescent="0.3">
      <c r="A270" s="17">
        <v>90739624000118</v>
      </c>
      <c r="B270" t="s">
        <v>28</v>
      </c>
      <c r="D270" t="s">
        <v>483</v>
      </c>
      <c r="E270" t="s">
        <v>2</v>
      </c>
      <c r="F270">
        <v>269308</v>
      </c>
      <c r="G270" s="1" t="s">
        <v>1493</v>
      </c>
      <c r="H270">
        <v>25013576</v>
      </c>
      <c r="I270">
        <v>81370</v>
      </c>
      <c r="J270" t="s">
        <v>48</v>
      </c>
      <c r="K270" s="17">
        <v>1272434001002</v>
      </c>
      <c r="L270" s="17">
        <v>90739624001947</v>
      </c>
      <c r="M270" s="9">
        <v>294.23</v>
      </c>
      <c r="N270" t="s">
        <v>43</v>
      </c>
      <c r="Q270" s="2"/>
      <c r="R270" s="9"/>
      <c r="S270" t="s">
        <v>44</v>
      </c>
      <c r="T270" t="s">
        <v>45</v>
      </c>
      <c r="U270" s="2" t="s">
        <v>581</v>
      </c>
      <c r="V270" s="9" t="s">
        <v>1494</v>
      </c>
      <c r="W270">
        <v>5.2260801272433996E+43</v>
      </c>
      <c r="X270" t="s">
        <v>46</v>
      </c>
      <c r="Y270" s="2" t="s">
        <v>717</v>
      </c>
      <c r="Z270" s="2" t="s">
        <v>718</v>
      </c>
      <c r="AA270" s="9" t="s">
        <v>715</v>
      </c>
      <c r="AC270" s="2"/>
      <c r="AD270" t="s">
        <v>7</v>
      </c>
      <c r="AE270" t="s">
        <v>1495</v>
      </c>
    </row>
    <row r="271" spans="1:31" x14ac:dyDescent="0.3">
      <c r="A271" s="17">
        <v>90739624000118</v>
      </c>
      <c r="B271" t="s">
        <v>49</v>
      </c>
      <c r="D271" t="s">
        <v>216</v>
      </c>
      <c r="E271" t="s">
        <v>17</v>
      </c>
      <c r="F271">
        <v>269308</v>
      </c>
      <c r="G271" s="1" t="s">
        <v>1496</v>
      </c>
      <c r="H271">
        <v>25013389</v>
      </c>
      <c r="I271">
        <v>163122</v>
      </c>
      <c r="J271" t="s">
        <v>51</v>
      </c>
      <c r="K271" s="17">
        <v>2763612000161</v>
      </c>
      <c r="L271" s="17">
        <v>90739624003133</v>
      </c>
      <c r="M271" s="9">
        <v>63.76</v>
      </c>
      <c r="N271" t="s">
        <v>43</v>
      </c>
      <c r="Q271" s="2"/>
      <c r="R271" s="9"/>
      <c r="S271" t="s">
        <v>44</v>
      </c>
      <c r="T271" t="s">
        <v>45</v>
      </c>
      <c r="U271" s="2" t="s">
        <v>581</v>
      </c>
      <c r="V271" s="9" t="s">
        <v>1497</v>
      </c>
      <c r="W271">
        <v>4.1260802763612002E+43</v>
      </c>
      <c r="X271" t="s">
        <v>46</v>
      </c>
      <c r="Y271" s="2" t="s">
        <v>717</v>
      </c>
      <c r="Z271" s="2" t="s">
        <v>718</v>
      </c>
      <c r="AA271" s="9" t="s">
        <v>715</v>
      </c>
      <c r="AC271" s="2"/>
      <c r="AD271" t="s">
        <v>7</v>
      </c>
      <c r="AE271" t="s">
        <v>1498</v>
      </c>
    </row>
    <row r="272" spans="1:31" x14ac:dyDescent="0.3">
      <c r="A272" s="17">
        <v>90739624000118</v>
      </c>
      <c r="B272" t="s">
        <v>49</v>
      </c>
      <c r="D272" t="s">
        <v>216</v>
      </c>
      <c r="E272" t="s">
        <v>2</v>
      </c>
      <c r="F272">
        <v>269308</v>
      </c>
      <c r="G272" s="1" t="s">
        <v>1499</v>
      </c>
      <c r="H272">
        <v>25013382</v>
      </c>
      <c r="I272">
        <v>163121</v>
      </c>
      <c r="J272" t="s">
        <v>51</v>
      </c>
      <c r="K272" s="17">
        <v>2763612000161</v>
      </c>
      <c r="L272" s="17">
        <v>90739624003133</v>
      </c>
      <c r="M272" s="9">
        <v>534.19000000000005</v>
      </c>
      <c r="N272" t="s">
        <v>43</v>
      </c>
      <c r="Q272" s="2"/>
      <c r="R272" s="9"/>
      <c r="S272" t="s">
        <v>44</v>
      </c>
      <c r="T272" t="s">
        <v>45</v>
      </c>
      <c r="U272" s="2" t="s">
        <v>581</v>
      </c>
      <c r="V272" s="9" t="s">
        <v>1500</v>
      </c>
      <c r="W272">
        <v>4.1260802763612002E+43</v>
      </c>
      <c r="X272" t="s">
        <v>46</v>
      </c>
      <c r="Y272" s="2" t="s">
        <v>717</v>
      </c>
      <c r="Z272" s="2" t="s">
        <v>718</v>
      </c>
      <c r="AA272" s="9" t="s">
        <v>715</v>
      </c>
      <c r="AC272" s="2"/>
      <c r="AD272" t="s">
        <v>7</v>
      </c>
      <c r="AE272" t="s">
        <v>1501</v>
      </c>
    </row>
    <row r="273" spans="1:31" x14ac:dyDescent="0.3">
      <c r="A273" s="17">
        <v>90739624000118</v>
      </c>
      <c r="B273" t="s">
        <v>58</v>
      </c>
      <c r="D273" t="s">
        <v>388</v>
      </c>
      <c r="E273" t="s">
        <v>2</v>
      </c>
      <c r="F273">
        <v>269308</v>
      </c>
      <c r="G273" s="1" t="s">
        <v>1502</v>
      </c>
      <c r="H273">
        <v>25013261</v>
      </c>
      <c r="J273" t="s">
        <v>106</v>
      </c>
      <c r="K273" s="17">
        <v>7473735015103</v>
      </c>
      <c r="L273" s="17"/>
      <c r="M273" s="9">
        <v>299.77999999999997</v>
      </c>
      <c r="N273" t="s">
        <v>43</v>
      </c>
      <c r="Q273" s="2"/>
      <c r="R273" s="9"/>
      <c r="S273" t="s">
        <v>87</v>
      </c>
      <c r="U273" s="2"/>
      <c r="V273" s="9"/>
      <c r="X273" t="s">
        <v>88</v>
      </c>
      <c r="Y273" s="2" t="s">
        <v>717</v>
      </c>
      <c r="Z273" s="2" t="s">
        <v>718</v>
      </c>
      <c r="AA273" s="9" t="s">
        <v>715</v>
      </c>
      <c r="AC273" s="2"/>
      <c r="AD273" t="s">
        <v>7</v>
      </c>
    </row>
    <row r="274" spans="1:31" x14ac:dyDescent="0.3">
      <c r="A274" s="17">
        <v>90739624000118</v>
      </c>
      <c r="B274" t="s">
        <v>40</v>
      </c>
      <c r="C274">
        <v>22016</v>
      </c>
      <c r="D274" t="s">
        <v>491</v>
      </c>
      <c r="E274" t="s">
        <v>2</v>
      </c>
      <c r="F274">
        <v>269308</v>
      </c>
      <c r="G274" s="1" t="s">
        <v>1504</v>
      </c>
      <c r="H274">
        <v>25013174</v>
      </c>
      <c r="I274">
        <v>168601</v>
      </c>
      <c r="J274" t="s">
        <v>42</v>
      </c>
      <c r="K274" s="17">
        <v>82156977000248</v>
      </c>
      <c r="L274" s="17">
        <v>90739624001432</v>
      </c>
      <c r="M274" s="9">
        <v>337.61</v>
      </c>
      <c r="N274" t="s">
        <v>43</v>
      </c>
      <c r="Q274" s="2"/>
      <c r="R274" s="9"/>
      <c r="S274" t="s">
        <v>44</v>
      </c>
      <c r="T274" t="s">
        <v>45</v>
      </c>
      <c r="U274" s="2" t="s">
        <v>581</v>
      </c>
      <c r="V274" s="9" t="s">
        <v>1505</v>
      </c>
      <c r="W274">
        <v>4.2260882156977001E+43</v>
      </c>
      <c r="X274" t="s">
        <v>46</v>
      </c>
      <c r="Y274" s="2" t="s">
        <v>717</v>
      </c>
      <c r="Z274" s="2" t="s">
        <v>718</v>
      </c>
      <c r="AA274" s="9" t="s">
        <v>715</v>
      </c>
      <c r="AC274" s="2"/>
      <c r="AD274" t="s">
        <v>7</v>
      </c>
      <c r="AE274" t="s">
        <v>1506</v>
      </c>
    </row>
    <row r="275" spans="1:31" x14ac:dyDescent="0.3">
      <c r="A275" s="17">
        <v>90739624000118</v>
      </c>
      <c r="B275" t="s">
        <v>31</v>
      </c>
      <c r="D275" t="s">
        <v>603</v>
      </c>
      <c r="E275" t="s">
        <v>2</v>
      </c>
      <c r="F275">
        <v>269308</v>
      </c>
      <c r="G275" s="1" t="s">
        <v>1507</v>
      </c>
      <c r="H275">
        <v>25013160</v>
      </c>
      <c r="I275">
        <v>54866</v>
      </c>
      <c r="J275" t="s">
        <v>56</v>
      </c>
      <c r="K275" s="17">
        <v>8603562000212</v>
      </c>
      <c r="L275" s="17">
        <v>90739624001866</v>
      </c>
      <c r="M275" s="9">
        <v>100.91</v>
      </c>
      <c r="N275" t="s">
        <v>43</v>
      </c>
      <c r="Q275" s="2"/>
      <c r="R275" s="9"/>
      <c r="S275" t="s">
        <v>44</v>
      </c>
      <c r="T275" t="s">
        <v>45</v>
      </c>
      <c r="U275" s="2" t="s">
        <v>581</v>
      </c>
      <c r="V275" s="9" t="s">
        <v>1508</v>
      </c>
      <c r="W275">
        <v>5.1260808603562005E+43</v>
      </c>
      <c r="X275" t="s">
        <v>46</v>
      </c>
      <c r="Y275" s="2" t="s">
        <v>717</v>
      </c>
      <c r="Z275" s="2" t="s">
        <v>718</v>
      </c>
      <c r="AA275" s="9" t="s">
        <v>715</v>
      </c>
      <c r="AC275" s="2"/>
      <c r="AD275" t="s">
        <v>7</v>
      </c>
      <c r="AE275" t="s">
        <v>1509</v>
      </c>
    </row>
    <row r="276" spans="1:31" x14ac:dyDescent="0.3">
      <c r="A276" s="17">
        <v>90739624000118</v>
      </c>
      <c r="B276" t="s">
        <v>61</v>
      </c>
      <c r="D276" t="s">
        <v>218</v>
      </c>
      <c r="E276" t="s">
        <v>2</v>
      </c>
      <c r="F276">
        <v>269308</v>
      </c>
      <c r="G276" s="1" t="s">
        <v>1510</v>
      </c>
      <c r="H276">
        <v>25013158</v>
      </c>
      <c r="I276">
        <v>2531</v>
      </c>
      <c r="J276" t="s">
        <v>85</v>
      </c>
      <c r="K276" s="17">
        <v>1975878000105</v>
      </c>
      <c r="L276" s="17">
        <v>9576274000106</v>
      </c>
      <c r="M276" s="9">
        <v>356.54</v>
      </c>
      <c r="N276" t="s">
        <v>43</v>
      </c>
      <c r="Q276" s="2"/>
      <c r="R276" s="9"/>
      <c r="S276" t="s">
        <v>44</v>
      </c>
      <c r="T276" t="s">
        <v>45</v>
      </c>
      <c r="U276" s="2" t="s">
        <v>581</v>
      </c>
      <c r="V276" s="9" t="s">
        <v>1511</v>
      </c>
      <c r="W276">
        <v>4.1260801975878E+43</v>
      </c>
      <c r="X276" t="s">
        <v>46</v>
      </c>
      <c r="Y276" s="2" t="s">
        <v>717</v>
      </c>
      <c r="Z276" s="2" t="s">
        <v>718</v>
      </c>
      <c r="AA276" s="9" t="s">
        <v>715</v>
      </c>
      <c r="AC276" s="2"/>
      <c r="AD276" t="s">
        <v>7</v>
      </c>
      <c r="AE276" t="s">
        <v>1512</v>
      </c>
    </row>
    <row r="277" spans="1:31" x14ac:dyDescent="0.3">
      <c r="A277" s="17">
        <v>90739624000118</v>
      </c>
      <c r="B277" t="s">
        <v>49</v>
      </c>
      <c r="D277" t="s">
        <v>478</v>
      </c>
      <c r="E277" t="s">
        <v>2</v>
      </c>
      <c r="F277">
        <v>269308</v>
      </c>
      <c r="G277" s="1" t="s">
        <v>1513</v>
      </c>
      <c r="H277">
        <v>25013142</v>
      </c>
      <c r="I277">
        <v>163119</v>
      </c>
      <c r="J277" t="s">
        <v>51</v>
      </c>
      <c r="K277" s="17">
        <v>2763612000161</v>
      </c>
      <c r="L277" s="17">
        <v>90739624003133</v>
      </c>
      <c r="M277" s="9">
        <v>189.41</v>
      </c>
      <c r="N277" t="s">
        <v>43</v>
      </c>
      <c r="Q277" s="2"/>
      <c r="R277" s="9"/>
      <c r="S277" t="s">
        <v>44</v>
      </c>
      <c r="T277" t="s">
        <v>45</v>
      </c>
      <c r="U277" s="2" t="s">
        <v>581</v>
      </c>
      <c r="V277" s="9" t="s">
        <v>1514</v>
      </c>
      <c r="W277">
        <v>4.1260802763612002E+43</v>
      </c>
      <c r="X277" t="s">
        <v>46</v>
      </c>
      <c r="Y277" s="2" t="s">
        <v>717</v>
      </c>
      <c r="Z277" s="2" t="s">
        <v>718</v>
      </c>
      <c r="AA277" s="9" t="s">
        <v>715</v>
      </c>
      <c r="AC277" s="2"/>
      <c r="AD277" t="s">
        <v>7</v>
      </c>
      <c r="AE277" t="s">
        <v>1515</v>
      </c>
    </row>
    <row r="278" spans="1:31" x14ac:dyDescent="0.3">
      <c r="A278" s="17">
        <v>90739624000118</v>
      </c>
      <c r="B278" t="s">
        <v>58</v>
      </c>
      <c r="D278" t="s">
        <v>390</v>
      </c>
      <c r="E278" t="s">
        <v>2</v>
      </c>
      <c r="F278">
        <v>269308</v>
      </c>
      <c r="G278" s="1" t="s">
        <v>1516</v>
      </c>
      <c r="H278">
        <v>25013098</v>
      </c>
      <c r="J278" t="s">
        <v>106</v>
      </c>
      <c r="K278" s="17">
        <v>7473735015103</v>
      </c>
      <c r="L278" s="17"/>
      <c r="M278" s="9">
        <v>276.01</v>
      </c>
      <c r="N278" t="s">
        <v>43</v>
      </c>
      <c r="Q278" s="2"/>
      <c r="R278" s="9"/>
      <c r="S278" t="s">
        <v>87</v>
      </c>
      <c r="U278" s="2"/>
      <c r="V278" s="9"/>
      <c r="X278" t="s">
        <v>88</v>
      </c>
      <c r="Y278" s="2" t="s">
        <v>717</v>
      </c>
      <c r="Z278" s="2" t="s">
        <v>718</v>
      </c>
      <c r="AA278" s="9" t="s">
        <v>715</v>
      </c>
      <c r="AC278" s="2"/>
      <c r="AD278" t="s">
        <v>7</v>
      </c>
    </row>
    <row r="279" spans="1:31" x14ac:dyDescent="0.3">
      <c r="A279" s="17">
        <v>90739624000118</v>
      </c>
      <c r="B279" t="s">
        <v>28</v>
      </c>
      <c r="D279" t="s">
        <v>47</v>
      </c>
      <c r="E279" t="s">
        <v>2</v>
      </c>
      <c r="F279">
        <v>269308</v>
      </c>
      <c r="G279" s="1" t="s">
        <v>1518</v>
      </c>
      <c r="H279">
        <v>25012957</v>
      </c>
      <c r="I279">
        <v>81368</v>
      </c>
      <c r="J279" t="s">
        <v>48</v>
      </c>
      <c r="K279" s="17">
        <v>1272434001002</v>
      </c>
      <c r="L279" s="17">
        <v>90739624001947</v>
      </c>
      <c r="M279" s="9">
        <v>233.28</v>
      </c>
      <c r="N279" t="s">
        <v>43</v>
      </c>
      <c r="Q279" s="2"/>
      <c r="R279" s="9"/>
      <c r="S279" t="s">
        <v>44</v>
      </c>
      <c r="T279" t="s">
        <v>45</v>
      </c>
      <c r="U279" s="2" t="s">
        <v>581</v>
      </c>
      <c r="V279" s="9" t="s">
        <v>1519</v>
      </c>
      <c r="W279">
        <v>5.2260801272433996E+43</v>
      </c>
      <c r="X279" t="s">
        <v>46</v>
      </c>
      <c r="Y279" s="2" t="s">
        <v>717</v>
      </c>
      <c r="Z279" s="2" t="s">
        <v>718</v>
      </c>
      <c r="AA279" s="9" t="s">
        <v>715</v>
      </c>
      <c r="AC279" s="2"/>
      <c r="AD279" t="s">
        <v>7</v>
      </c>
      <c r="AE279" t="s">
        <v>1520</v>
      </c>
    </row>
    <row r="280" spans="1:31" x14ac:dyDescent="0.3">
      <c r="A280" s="17">
        <v>90739624000118</v>
      </c>
      <c r="B280" t="s">
        <v>65</v>
      </c>
      <c r="C280">
        <v>26248</v>
      </c>
      <c r="D280" t="s">
        <v>226</v>
      </c>
      <c r="E280" t="s">
        <v>2</v>
      </c>
      <c r="F280">
        <v>269308</v>
      </c>
      <c r="G280" s="1" t="s">
        <v>1521</v>
      </c>
      <c r="H280">
        <v>25012937</v>
      </c>
      <c r="J280" t="s">
        <v>67</v>
      </c>
      <c r="K280" s="17">
        <v>7473735006031</v>
      </c>
      <c r="L280" s="17"/>
      <c r="M280" s="9">
        <v>629.73</v>
      </c>
      <c r="N280" t="s">
        <v>43</v>
      </c>
      <c r="Q280" s="2"/>
      <c r="R280" s="9"/>
      <c r="S280" t="s">
        <v>87</v>
      </c>
      <c r="U280" s="2"/>
      <c r="V280" s="9"/>
      <c r="X280" t="s">
        <v>88</v>
      </c>
      <c r="Y280" s="2" t="s">
        <v>717</v>
      </c>
      <c r="Z280" s="2" t="s">
        <v>718</v>
      </c>
      <c r="AA280" s="9" t="s">
        <v>715</v>
      </c>
      <c r="AC280" s="2"/>
      <c r="AD280" t="s">
        <v>7</v>
      </c>
    </row>
    <row r="281" spans="1:31" x14ac:dyDescent="0.3">
      <c r="A281" s="17">
        <v>90739624000118</v>
      </c>
      <c r="B281" t="s">
        <v>49</v>
      </c>
      <c r="D281" t="s">
        <v>50</v>
      </c>
      <c r="E281" t="s">
        <v>2</v>
      </c>
      <c r="F281">
        <v>269308</v>
      </c>
      <c r="G281" s="1" t="s">
        <v>1523</v>
      </c>
      <c r="H281">
        <v>25012915</v>
      </c>
      <c r="I281">
        <v>163116</v>
      </c>
      <c r="J281" t="s">
        <v>51</v>
      </c>
      <c r="K281" s="17">
        <v>2763612000161</v>
      </c>
      <c r="L281" s="17">
        <v>90739624003133</v>
      </c>
      <c r="M281" s="9">
        <v>249.35</v>
      </c>
      <c r="N281" t="s">
        <v>43</v>
      </c>
      <c r="Q281" s="2"/>
      <c r="R281" s="9"/>
      <c r="S281" t="s">
        <v>44</v>
      </c>
      <c r="T281" t="s">
        <v>45</v>
      </c>
      <c r="U281" s="2" t="s">
        <v>581</v>
      </c>
      <c r="V281" s="9" t="s">
        <v>1524</v>
      </c>
      <c r="W281">
        <v>4.1260802763612002E+43</v>
      </c>
      <c r="X281" t="s">
        <v>46</v>
      </c>
      <c r="Y281" s="2" t="s">
        <v>717</v>
      </c>
      <c r="Z281" s="2" t="s">
        <v>718</v>
      </c>
      <c r="AA281" s="9" t="s">
        <v>715</v>
      </c>
      <c r="AC281" s="2"/>
      <c r="AD281" t="s">
        <v>7</v>
      </c>
      <c r="AE281" t="s">
        <v>1525</v>
      </c>
    </row>
    <row r="282" spans="1:31" x14ac:dyDescent="0.3">
      <c r="A282" s="17">
        <v>90739624000118</v>
      </c>
      <c r="B282" t="s">
        <v>63</v>
      </c>
      <c r="C282">
        <v>22489</v>
      </c>
      <c r="D282" t="s">
        <v>228</v>
      </c>
      <c r="E282" t="s">
        <v>2</v>
      </c>
      <c r="F282">
        <v>269308</v>
      </c>
      <c r="G282" s="1" t="s">
        <v>1526</v>
      </c>
      <c r="H282">
        <v>25012660</v>
      </c>
      <c r="I282">
        <v>179426</v>
      </c>
      <c r="J282" t="s">
        <v>64</v>
      </c>
      <c r="K282" s="17">
        <v>23448964001921</v>
      </c>
      <c r="L282" s="17">
        <v>90739624001432</v>
      </c>
      <c r="M282" s="9">
        <v>272.25</v>
      </c>
      <c r="N282" t="s">
        <v>43</v>
      </c>
      <c r="Q282" s="2"/>
      <c r="R282" s="9"/>
      <c r="S282" t="s">
        <v>44</v>
      </c>
      <c r="T282" t="s">
        <v>45</v>
      </c>
      <c r="U282" s="2" t="s">
        <v>581</v>
      </c>
      <c r="V282" s="9" t="s">
        <v>1527</v>
      </c>
      <c r="W282">
        <v>4.2260823448963998E+43</v>
      </c>
      <c r="X282" t="s">
        <v>46</v>
      </c>
      <c r="Y282" s="2" t="s">
        <v>717</v>
      </c>
      <c r="Z282" s="2" t="s">
        <v>718</v>
      </c>
      <c r="AA282" s="9" t="s">
        <v>715</v>
      </c>
      <c r="AC282" s="2"/>
      <c r="AD282" t="s">
        <v>7</v>
      </c>
      <c r="AE282" t="s">
        <v>1528</v>
      </c>
    </row>
    <row r="283" spans="1:31" x14ac:dyDescent="0.3">
      <c r="A283" s="17">
        <v>90739624000118</v>
      </c>
      <c r="B283" t="s">
        <v>58</v>
      </c>
      <c r="D283" t="s">
        <v>477</v>
      </c>
      <c r="E283" t="s">
        <v>17</v>
      </c>
      <c r="F283">
        <v>269308</v>
      </c>
      <c r="G283" s="1" t="s">
        <v>1529</v>
      </c>
      <c r="H283">
        <v>25012653</v>
      </c>
      <c r="J283" t="s">
        <v>1530</v>
      </c>
      <c r="K283" s="17">
        <v>7473735007941</v>
      </c>
      <c r="L283" s="17"/>
      <c r="M283" s="9">
        <v>13.87</v>
      </c>
      <c r="N283" t="s">
        <v>43</v>
      </c>
      <c r="Q283" s="2"/>
      <c r="R283" s="9"/>
      <c r="S283" t="s">
        <v>87</v>
      </c>
      <c r="U283" s="2"/>
      <c r="V283" s="9"/>
      <c r="X283" t="s">
        <v>88</v>
      </c>
      <c r="Y283" s="2" t="s">
        <v>717</v>
      </c>
      <c r="Z283" s="2" t="s">
        <v>718</v>
      </c>
      <c r="AA283" s="9" t="s">
        <v>715</v>
      </c>
      <c r="AC283" s="2"/>
      <c r="AD283" t="s">
        <v>7</v>
      </c>
    </row>
    <row r="284" spans="1:31" x14ac:dyDescent="0.3">
      <c r="A284" s="17">
        <v>90739624000118</v>
      </c>
      <c r="B284" t="s">
        <v>58</v>
      </c>
      <c r="D284" t="s">
        <v>477</v>
      </c>
      <c r="E284" t="s">
        <v>2</v>
      </c>
      <c r="F284">
        <v>269308</v>
      </c>
      <c r="G284" s="1" t="s">
        <v>1532</v>
      </c>
      <c r="H284">
        <v>25012628</v>
      </c>
      <c r="J284" t="s">
        <v>1530</v>
      </c>
      <c r="K284" s="17">
        <v>7473735007941</v>
      </c>
      <c r="L284" s="17"/>
      <c r="M284" s="9">
        <v>651.39</v>
      </c>
      <c r="N284" t="s">
        <v>43</v>
      </c>
      <c r="Q284" s="2"/>
      <c r="R284" s="9"/>
      <c r="S284" t="s">
        <v>87</v>
      </c>
      <c r="U284" s="2"/>
      <c r="V284" s="9"/>
      <c r="X284" t="s">
        <v>88</v>
      </c>
      <c r="Y284" s="2" t="s">
        <v>717</v>
      </c>
      <c r="Z284" s="2" t="s">
        <v>718</v>
      </c>
      <c r="AA284" s="9" t="s">
        <v>715</v>
      </c>
      <c r="AC284" s="2"/>
      <c r="AD284" t="s">
        <v>7</v>
      </c>
    </row>
    <row r="285" spans="1:31" x14ac:dyDescent="0.3">
      <c r="A285" s="17">
        <v>90739624000118</v>
      </c>
      <c r="B285" t="s">
        <v>28</v>
      </c>
      <c r="D285" t="s">
        <v>214</v>
      </c>
      <c r="E285" t="s">
        <v>2</v>
      </c>
      <c r="F285">
        <v>269308</v>
      </c>
      <c r="G285" s="1" t="s">
        <v>1534</v>
      </c>
      <c r="H285">
        <v>25012459</v>
      </c>
      <c r="I285">
        <v>81365</v>
      </c>
      <c r="J285" t="s">
        <v>48</v>
      </c>
      <c r="K285" s="17">
        <v>1272434001002</v>
      </c>
      <c r="L285" s="17">
        <v>90739624001947</v>
      </c>
      <c r="M285" s="9">
        <v>246.57</v>
      </c>
      <c r="N285" t="s">
        <v>43</v>
      </c>
      <c r="Q285" s="2"/>
      <c r="R285" s="9"/>
      <c r="S285" t="s">
        <v>44</v>
      </c>
      <c r="T285" t="s">
        <v>45</v>
      </c>
      <c r="U285" s="2" t="s">
        <v>581</v>
      </c>
      <c r="V285" s="9" t="s">
        <v>1535</v>
      </c>
      <c r="W285">
        <v>5.2260801272433996E+43</v>
      </c>
      <c r="X285" t="s">
        <v>46</v>
      </c>
      <c r="Y285" s="2" t="s">
        <v>717</v>
      </c>
      <c r="Z285" s="2" t="s">
        <v>718</v>
      </c>
      <c r="AA285" s="9" t="s">
        <v>715</v>
      </c>
      <c r="AC285" s="2"/>
      <c r="AD285" t="s">
        <v>7</v>
      </c>
      <c r="AE285" t="s">
        <v>1536</v>
      </c>
    </row>
    <row r="286" spans="1:31" x14ac:dyDescent="0.3">
      <c r="A286" s="17">
        <v>90739624000118</v>
      </c>
      <c r="B286" t="s">
        <v>174</v>
      </c>
      <c r="D286" t="s">
        <v>267</v>
      </c>
      <c r="E286" t="s">
        <v>2</v>
      </c>
      <c r="F286">
        <v>269308</v>
      </c>
      <c r="G286" s="1" t="s">
        <v>1537</v>
      </c>
      <c r="H286">
        <v>25012418</v>
      </c>
      <c r="I286">
        <v>6228</v>
      </c>
      <c r="J286" t="s">
        <v>287</v>
      </c>
      <c r="K286" s="17">
        <v>38132296000177</v>
      </c>
      <c r="L286" s="17">
        <v>90739624000118</v>
      </c>
      <c r="M286" s="9">
        <v>258.06</v>
      </c>
      <c r="N286" t="s">
        <v>43</v>
      </c>
      <c r="Q286" s="2"/>
      <c r="R286" s="9"/>
      <c r="S286" t="s">
        <v>44</v>
      </c>
      <c r="T286" t="s">
        <v>45</v>
      </c>
      <c r="U286" s="2" t="s">
        <v>581</v>
      </c>
      <c r="V286" s="9" t="s">
        <v>617</v>
      </c>
      <c r="W286">
        <v>1.7260838132295999E+43</v>
      </c>
      <c r="X286" t="s">
        <v>46</v>
      </c>
      <c r="Y286" s="2" t="s">
        <v>717</v>
      </c>
      <c r="Z286" s="2" t="s">
        <v>718</v>
      </c>
      <c r="AA286" s="9" t="s">
        <v>715</v>
      </c>
      <c r="AC286" s="2"/>
      <c r="AD286" t="s">
        <v>7</v>
      </c>
      <c r="AE286" t="s">
        <v>1538</v>
      </c>
    </row>
    <row r="287" spans="1:31" x14ac:dyDescent="0.3">
      <c r="A287" s="17">
        <v>90739624000118</v>
      </c>
      <c r="B287" t="s">
        <v>52</v>
      </c>
      <c r="C287">
        <v>21295</v>
      </c>
      <c r="D287" t="s">
        <v>240</v>
      </c>
      <c r="E287" t="s">
        <v>2</v>
      </c>
      <c r="F287">
        <v>269308</v>
      </c>
      <c r="G287" s="1" t="s">
        <v>1539</v>
      </c>
      <c r="H287">
        <v>25012397</v>
      </c>
      <c r="I287">
        <v>41099</v>
      </c>
      <c r="J287" t="s">
        <v>545</v>
      </c>
      <c r="K287" s="17">
        <v>30429333000282</v>
      </c>
      <c r="L287" s="17">
        <v>9576274000106</v>
      </c>
      <c r="M287" s="9">
        <v>194.37</v>
      </c>
      <c r="N287" t="s">
        <v>43</v>
      </c>
      <c r="Q287" s="2"/>
      <c r="R287" s="9"/>
      <c r="S287" t="s">
        <v>44</v>
      </c>
      <c r="T287" t="s">
        <v>45</v>
      </c>
      <c r="U287" s="2" t="s">
        <v>581</v>
      </c>
      <c r="V287" s="9" t="s">
        <v>1540</v>
      </c>
      <c r="W287">
        <v>4.1260830429333002E+43</v>
      </c>
      <c r="X287" t="s">
        <v>46</v>
      </c>
      <c r="Y287" s="2" t="s">
        <v>717</v>
      </c>
      <c r="Z287" s="2" t="s">
        <v>718</v>
      </c>
      <c r="AA287" s="9" t="s">
        <v>715</v>
      </c>
      <c r="AC287" s="2"/>
      <c r="AD287" t="s">
        <v>7</v>
      </c>
      <c r="AE287" t="s">
        <v>1541</v>
      </c>
    </row>
    <row r="288" spans="1:31" x14ac:dyDescent="0.3">
      <c r="A288" s="17">
        <v>90739624000118</v>
      </c>
      <c r="B288" t="s">
        <v>174</v>
      </c>
      <c r="D288" t="s">
        <v>543</v>
      </c>
      <c r="E288" t="s">
        <v>2</v>
      </c>
      <c r="F288">
        <v>269308</v>
      </c>
      <c r="G288" s="1" t="s">
        <v>1542</v>
      </c>
      <c r="H288">
        <v>25012046</v>
      </c>
      <c r="I288">
        <v>99221</v>
      </c>
      <c r="J288" t="s">
        <v>176</v>
      </c>
      <c r="K288" s="17">
        <v>4219621000111</v>
      </c>
      <c r="L288" s="17">
        <v>90739624000118</v>
      </c>
      <c r="M288" s="9">
        <v>311.22000000000003</v>
      </c>
      <c r="N288" t="s">
        <v>43</v>
      </c>
      <c r="Q288" s="2"/>
      <c r="R288" s="9"/>
      <c r="S288" t="s">
        <v>44</v>
      </c>
      <c r="T288" t="s">
        <v>45</v>
      </c>
      <c r="U288" s="2" t="s">
        <v>583</v>
      </c>
      <c r="V288" s="9" t="s">
        <v>1543</v>
      </c>
      <c r="W288">
        <v>1.7260804219621001E+43</v>
      </c>
      <c r="X288" t="s">
        <v>46</v>
      </c>
      <c r="Y288" s="2" t="s">
        <v>717</v>
      </c>
      <c r="Z288" s="2" t="s">
        <v>718</v>
      </c>
      <c r="AA288" s="9" t="s">
        <v>715</v>
      </c>
      <c r="AC288" s="2"/>
      <c r="AD288" t="s">
        <v>7</v>
      </c>
      <c r="AE288" t="s">
        <v>1544</v>
      </c>
    </row>
    <row r="289" spans="1:31" x14ac:dyDescent="0.3">
      <c r="A289" s="17">
        <v>90739624000118</v>
      </c>
      <c r="B289" t="s">
        <v>40</v>
      </c>
      <c r="C289">
        <v>24753</v>
      </c>
      <c r="D289" t="s">
        <v>771</v>
      </c>
      <c r="E289" t="s">
        <v>2</v>
      </c>
      <c r="F289">
        <v>269308</v>
      </c>
      <c r="G289" s="1" t="s">
        <v>1545</v>
      </c>
      <c r="H289">
        <v>25012026</v>
      </c>
      <c r="I289">
        <v>168593</v>
      </c>
      <c r="J289" t="s">
        <v>42</v>
      </c>
      <c r="K289" s="17">
        <v>82156977000248</v>
      </c>
      <c r="L289" s="17">
        <v>90739624001432</v>
      </c>
      <c r="M289" s="9">
        <v>325.52999999999997</v>
      </c>
      <c r="N289" t="s">
        <v>43</v>
      </c>
      <c r="Q289" s="2"/>
      <c r="R289" s="9"/>
      <c r="S289" t="s">
        <v>44</v>
      </c>
      <c r="T289" t="s">
        <v>45</v>
      </c>
      <c r="U289" s="2" t="s">
        <v>581</v>
      </c>
      <c r="V289" s="9" t="s">
        <v>1546</v>
      </c>
      <c r="W289">
        <v>4.2260882156977001E+43</v>
      </c>
      <c r="X289" t="s">
        <v>46</v>
      </c>
      <c r="Y289" s="2" t="s">
        <v>717</v>
      </c>
      <c r="Z289" s="2" t="s">
        <v>718</v>
      </c>
      <c r="AA289" s="9" t="s">
        <v>715</v>
      </c>
      <c r="AC289" s="2"/>
      <c r="AD289" t="s">
        <v>7</v>
      </c>
      <c r="AE289" t="s">
        <v>1547</v>
      </c>
    </row>
    <row r="290" spans="1:31" x14ac:dyDescent="0.3">
      <c r="A290" s="17">
        <v>90739624000118</v>
      </c>
      <c r="B290" t="s">
        <v>58</v>
      </c>
      <c r="D290" t="s">
        <v>391</v>
      </c>
      <c r="E290" t="s">
        <v>2</v>
      </c>
      <c r="F290">
        <v>269308</v>
      </c>
      <c r="G290" s="1" t="s">
        <v>1548</v>
      </c>
      <c r="H290">
        <v>25011974</v>
      </c>
      <c r="J290" t="s">
        <v>670</v>
      </c>
      <c r="K290" s="17">
        <v>7473735016851</v>
      </c>
      <c r="L290" s="17"/>
      <c r="M290" s="9">
        <v>249.71</v>
      </c>
      <c r="N290" t="s">
        <v>43</v>
      </c>
      <c r="Q290" s="2"/>
      <c r="R290" s="9"/>
      <c r="S290" t="s">
        <v>87</v>
      </c>
      <c r="U290" s="2"/>
      <c r="V290" s="9"/>
      <c r="X290" t="s">
        <v>88</v>
      </c>
      <c r="Y290" s="2" t="s">
        <v>717</v>
      </c>
      <c r="Z290" s="2" t="s">
        <v>718</v>
      </c>
      <c r="AA290" s="9" t="s">
        <v>715</v>
      </c>
      <c r="AC290" s="2"/>
      <c r="AD290" t="s">
        <v>7</v>
      </c>
    </row>
    <row r="291" spans="1:31" x14ac:dyDescent="0.3">
      <c r="A291" s="17">
        <v>90739624000118</v>
      </c>
      <c r="B291" t="s">
        <v>49</v>
      </c>
      <c r="D291" t="s">
        <v>225</v>
      </c>
      <c r="E291" t="s">
        <v>2</v>
      </c>
      <c r="F291">
        <v>269308</v>
      </c>
      <c r="G291" s="1" t="s">
        <v>1550</v>
      </c>
      <c r="H291">
        <v>25011847</v>
      </c>
      <c r="I291">
        <v>163114</v>
      </c>
      <c r="J291" t="s">
        <v>51</v>
      </c>
      <c r="K291" s="17">
        <v>2763612000161</v>
      </c>
      <c r="L291" s="17">
        <v>90739624003133</v>
      </c>
      <c r="M291" s="9">
        <v>225.46</v>
      </c>
      <c r="N291" t="s">
        <v>43</v>
      </c>
      <c r="Q291" s="2"/>
      <c r="R291" s="9"/>
      <c r="S291" t="s">
        <v>44</v>
      </c>
      <c r="T291" t="s">
        <v>45</v>
      </c>
      <c r="U291" s="2" t="s">
        <v>581</v>
      </c>
      <c r="V291" s="9" t="s">
        <v>1445</v>
      </c>
      <c r="W291">
        <v>4.1260802763612002E+43</v>
      </c>
      <c r="X291" t="s">
        <v>46</v>
      </c>
      <c r="Y291" s="2" t="s">
        <v>717</v>
      </c>
      <c r="Z291" s="2" t="s">
        <v>718</v>
      </c>
      <c r="AA291" s="9" t="s">
        <v>715</v>
      </c>
      <c r="AC291" s="2"/>
      <c r="AD291" t="s">
        <v>7</v>
      </c>
      <c r="AE291" t="s">
        <v>1551</v>
      </c>
    </row>
    <row r="292" spans="1:31" x14ac:dyDescent="0.3">
      <c r="A292" s="17">
        <v>90739624000118</v>
      </c>
      <c r="B292" t="s">
        <v>28</v>
      </c>
      <c r="D292" t="s">
        <v>97</v>
      </c>
      <c r="E292" t="s">
        <v>2</v>
      </c>
      <c r="F292">
        <v>269308</v>
      </c>
      <c r="G292" s="1" t="s">
        <v>1552</v>
      </c>
      <c r="H292">
        <v>25011837</v>
      </c>
      <c r="I292">
        <v>81363</v>
      </c>
      <c r="J292" t="s">
        <v>48</v>
      </c>
      <c r="K292" s="17">
        <v>1272434001002</v>
      </c>
      <c r="L292" s="17">
        <v>90739624001947</v>
      </c>
      <c r="M292" s="9">
        <v>209.66</v>
      </c>
      <c r="N292" t="s">
        <v>43</v>
      </c>
      <c r="Q292" s="2"/>
      <c r="R292" s="9"/>
      <c r="S292" t="s">
        <v>44</v>
      </c>
      <c r="T292" t="s">
        <v>45</v>
      </c>
      <c r="U292" s="2" t="s">
        <v>581</v>
      </c>
      <c r="V292" s="9" t="s">
        <v>1553</v>
      </c>
      <c r="W292">
        <v>5.2260801272433996E+43</v>
      </c>
      <c r="X292" t="s">
        <v>46</v>
      </c>
      <c r="Y292" s="2" t="s">
        <v>717</v>
      </c>
      <c r="Z292" s="2" t="s">
        <v>718</v>
      </c>
      <c r="AA292" s="9" t="s">
        <v>715</v>
      </c>
      <c r="AC292" s="2"/>
      <c r="AD292" t="s">
        <v>7</v>
      </c>
      <c r="AE292" t="s">
        <v>1554</v>
      </c>
    </row>
    <row r="293" spans="1:31" x14ac:dyDescent="0.3">
      <c r="A293" s="17">
        <v>90739624000118</v>
      </c>
      <c r="B293" t="s">
        <v>52</v>
      </c>
      <c r="C293">
        <v>23848</v>
      </c>
      <c r="D293" t="s">
        <v>245</v>
      </c>
      <c r="E293" t="s">
        <v>2</v>
      </c>
      <c r="F293">
        <v>269308</v>
      </c>
      <c r="G293" s="1" t="s">
        <v>1555</v>
      </c>
      <c r="H293">
        <v>25011736</v>
      </c>
      <c r="I293">
        <v>41095</v>
      </c>
      <c r="J293" t="s">
        <v>545</v>
      </c>
      <c r="K293" s="17">
        <v>30429333000282</v>
      </c>
      <c r="L293" s="17">
        <v>9576274000106</v>
      </c>
      <c r="M293" s="9">
        <v>184.31</v>
      </c>
      <c r="N293" t="s">
        <v>43</v>
      </c>
      <c r="Q293" s="2"/>
      <c r="R293" s="9"/>
      <c r="S293" t="s">
        <v>44</v>
      </c>
      <c r="T293" t="s">
        <v>45</v>
      </c>
      <c r="U293" s="2" t="s">
        <v>581</v>
      </c>
      <c r="V293" s="9" t="s">
        <v>1556</v>
      </c>
      <c r="W293">
        <v>4.1260830429333002E+43</v>
      </c>
      <c r="X293" t="s">
        <v>46</v>
      </c>
      <c r="Y293" s="2" t="s">
        <v>717</v>
      </c>
      <c r="Z293" s="2" t="s">
        <v>718</v>
      </c>
      <c r="AA293" s="9" t="s">
        <v>715</v>
      </c>
      <c r="AC293" s="2"/>
      <c r="AD293" t="s">
        <v>7</v>
      </c>
      <c r="AE293" t="s">
        <v>1557</v>
      </c>
    </row>
    <row r="294" spans="1:31" x14ac:dyDescent="0.3">
      <c r="A294" s="17">
        <v>90739624000118</v>
      </c>
      <c r="B294" t="s">
        <v>40</v>
      </c>
      <c r="C294">
        <v>24143</v>
      </c>
      <c r="D294" t="s">
        <v>232</v>
      </c>
      <c r="E294" t="s">
        <v>17</v>
      </c>
      <c r="F294">
        <v>269308</v>
      </c>
      <c r="G294" s="1" t="s">
        <v>1558</v>
      </c>
      <c r="H294">
        <v>25011728</v>
      </c>
      <c r="I294">
        <v>168592</v>
      </c>
      <c r="J294" t="s">
        <v>42</v>
      </c>
      <c r="K294" s="17">
        <v>82156977000248</v>
      </c>
      <c r="L294" s="17">
        <v>90739624001432</v>
      </c>
      <c r="M294" s="9">
        <v>46.06</v>
      </c>
      <c r="N294" t="s">
        <v>43</v>
      </c>
      <c r="Q294" s="2"/>
      <c r="R294" s="9"/>
      <c r="S294" t="s">
        <v>44</v>
      </c>
      <c r="T294" t="s">
        <v>45</v>
      </c>
      <c r="U294" s="2" t="s">
        <v>581</v>
      </c>
      <c r="V294" s="9" t="s">
        <v>1559</v>
      </c>
      <c r="W294">
        <v>4.2260882156977001E+43</v>
      </c>
      <c r="X294" t="s">
        <v>46</v>
      </c>
      <c r="Y294" s="2" t="s">
        <v>717</v>
      </c>
      <c r="Z294" s="2" t="s">
        <v>718</v>
      </c>
      <c r="AA294" s="9" t="s">
        <v>715</v>
      </c>
      <c r="AC294" s="2"/>
      <c r="AD294" t="s">
        <v>7</v>
      </c>
      <c r="AE294" t="s">
        <v>1560</v>
      </c>
    </row>
    <row r="295" spans="1:31" x14ac:dyDescent="0.3">
      <c r="A295" s="17">
        <v>90739624000118</v>
      </c>
      <c r="B295" t="s">
        <v>40</v>
      </c>
      <c r="C295">
        <v>24143</v>
      </c>
      <c r="D295" t="s">
        <v>232</v>
      </c>
      <c r="E295" t="s">
        <v>2</v>
      </c>
      <c r="F295">
        <v>269308</v>
      </c>
      <c r="G295" s="1" t="s">
        <v>1561</v>
      </c>
      <c r="H295">
        <v>25011714</v>
      </c>
      <c r="I295">
        <v>168591</v>
      </c>
      <c r="J295" t="s">
        <v>42</v>
      </c>
      <c r="K295" s="17">
        <v>82156977000248</v>
      </c>
      <c r="L295" s="17">
        <v>90739624001432</v>
      </c>
      <c r="M295" s="9">
        <v>275.69</v>
      </c>
      <c r="N295" t="s">
        <v>43</v>
      </c>
      <c r="Q295" s="2"/>
      <c r="R295" s="9"/>
      <c r="S295" t="s">
        <v>44</v>
      </c>
      <c r="T295" t="s">
        <v>45</v>
      </c>
      <c r="U295" s="2" t="s">
        <v>581</v>
      </c>
      <c r="V295" s="9" t="s">
        <v>1562</v>
      </c>
      <c r="W295">
        <v>4.2260882156977001E+43</v>
      </c>
      <c r="X295" t="s">
        <v>46</v>
      </c>
      <c r="Y295" s="2" t="s">
        <v>717</v>
      </c>
      <c r="Z295" s="2" t="s">
        <v>718</v>
      </c>
      <c r="AA295" s="9" t="s">
        <v>715</v>
      </c>
      <c r="AC295" s="2"/>
      <c r="AD295" t="s">
        <v>7</v>
      </c>
      <c r="AE295" t="s">
        <v>1563</v>
      </c>
    </row>
    <row r="296" spans="1:31" x14ac:dyDescent="0.3">
      <c r="A296" s="17">
        <v>90739624000118</v>
      </c>
      <c r="B296" t="s">
        <v>58</v>
      </c>
      <c r="D296" t="s">
        <v>78</v>
      </c>
      <c r="E296" t="s">
        <v>17</v>
      </c>
      <c r="F296">
        <v>269308</v>
      </c>
      <c r="G296" s="1" t="s">
        <v>1564</v>
      </c>
      <c r="H296">
        <v>25011709</v>
      </c>
      <c r="J296" t="s">
        <v>60</v>
      </c>
      <c r="K296" s="17">
        <v>7473735018200</v>
      </c>
      <c r="L296" s="17"/>
      <c r="M296" s="9">
        <v>83.42</v>
      </c>
      <c r="N296" t="s">
        <v>43</v>
      </c>
      <c r="Q296" s="2"/>
      <c r="R296" s="9"/>
      <c r="S296" t="s">
        <v>87</v>
      </c>
      <c r="U296" s="2"/>
      <c r="V296" s="9"/>
      <c r="X296" t="s">
        <v>88</v>
      </c>
      <c r="Y296" s="2" t="s">
        <v>717</v>
      </c>
      <c r="Z296" s="2" t="s">
        <v>718</v>
      </c>
      <c r="AA296" s="9" t="s">
        <v>715</v>
      </c>
      <c r="AC296" s="2"/>
      <c r="AD296" t="s">
        <v>7</v>
      </c>
    </row>
    <row r="297" spans="1:31" x14ac:dyDescent="0.3">
      <c r="A297" s="17">
        <v>90739624000118</v>
      </c>
      <c r="B297" t="s">
        <v>31</v>
      </c>
      <c r="D297" t="s">
        <v>172</v>
      </c>
      <c r="E297" t="s">
        <v>2</v>
      </c>
      <c r="F297">
        <v>269308</v>
      </c>
      <c r="G297" s="1" t="s">
        <v>1566</v>
      </c>
      <c r="H297">
        <v>25011707</v>
      </c>
      <c r="I297">
        <v>54858</v>
      </c>
      <c r="J297" t="s">
        <v>56</v>
      </c>
      <c r="K297" s="17">
        <v>8603562000212</v>
      </c>
      <c r="L297" s="17">
        <v>90739624001866</v>
      </c>
      <c r="M297" s="9">
        <v>324.42</v>
      </c>
      <c r="N297" t="s">
        <v>43</v>
      </c>
      <c r="Q297" s="2"/>
      <c r="R297" s="9"/>
      <c r="S297" t="s">
        <v>44</v>
      </c>
      <c r="T297" t="s">
        <v>45</v>
      </c>
      <c r="U297" s="2" t="s">
        <v>581</v>
      </c>
      <c r="V297" s="9" t="s">
        <v>1567</v>
      </c>
      <c r="W297">
        <v>5.1260808603562005E+43</v>
      </c>
      <c r="X297" t="s">
        <v>46</v>
      </c>
      <c r="Y297" s="2" t="s">
        <v>717</v>
      </c>
      <c r="Z297" s="2" t="s">
        <v>718</v>
      </c>
      <c r="AA297" s="9" t="s">
        <v>715</v>
      </c>
      <c r="AC297" s="2"/>
      <c r="AD297" t="s">
        <v>7</v>
      </c>
      <c r="AE297" t="s">
        <v>1568</v>
      </c>
    </row>
    <row r="298" spans="1:31" x14ac:dyDescent="0.3">
      <c r="A298" s="17">
        <v>90739624000118</v>
      </c>
      <c r="B298" t="s">
        <v>100</v>
      </c>
      <c r="D298" t="s">
        <v>101</v>
      </c>
      <c r="E298" t="s">
        <v>2</v>
      </c>
      <c r="F298">
        <v>269308</v>
      </c>
      <c r="G298" s="1" t="s">
        <v>1569</v>
      </c>
      <c r="H298">
        <v>25011693</v>
      </c>
      <c r="I298">
        <v>11675</v>
      </c>
      <c r="J298" t="s">
        <v>143</v>
      </c>
      <c r="K298" s="17">
        <v>4505289000151</v>
      </c>
      <c r="L298" s="17">
        <v>90739624001866</v>
      </c>
      <c r="M298" s="9">
        <v>258.20999999999998</v>
      </c>
      <c r="N298" t="s">
        <v>43</v>
      </c>
      <c r="Q298" s="2"/>
      <c r="R298" s="9"/>
      <c r="S298" t="s">
        <v>44</v>
      </c>
      <c r="T298" t="s">
        <v>45</v>
      </c>
      <c r="U298" s="2" t="s">
        <v>581</v>
      </c>
      <c r="V298" s="9" t="s">
        <v>1570</v>
      </c>
      <c r="W298">
        <v>5.1260804505289001E+43</v>
      </c>
      <c r="X298" t="s">
        <v>46</v>
      </c>
      <c r="Y298" s="2" t="s">
        <v>717</v>
      </c>
      <c r="Z298" s="2" t="s">
        <v>718</v>
      </c>
      <c r="AA298" s="9" t="s">
        <v>715</v>
      </c>
      <c r="AC298" s="2"/>
      <c r="AD298" t="s">
        <v>7</v>
      </c>
      <c r="AE298" t="s">
        <v>1571</v>
      </c>
    </row>
    <row r="299" spans="1:31" x14ac:dyDescent="0.3">
      <c r="A299" s="17">
        <v>90739624000118</v>
      </c>
      <c r="B299" t="s">
        <v>58</v>
      </c>
      <c r="D299" t="s">
        <v>78</v>
      </c>
      <c r="E299" t="s">
        <v>2</v>
      </c>
      <c r="F299">
        <v>269308</v>
      </c>
      <c r="G299" s="1" t="s">
        <v>1572</v>
      </c>
      <c r="H299">
        <v>25011679</v>
      </c>
      <c r="J299" t="s">
        <v>60</v>
      </c>
      <c r="K299" s="17">
        <v>7473735018200</v>
      </c>
      <c r="L299" s="17"/>
      <c r="M299" s="9">
        <v>1587.81</v>
      </c>
      <c r="N299" t="s">
        <v>43</v>
      </c>
      <c r="Q299" s="2"/>
      <c r="R299" s="9"/>
      <c r="S299" t="s">
        <v>87</v>
      </c>
      <c r="U299" s="2"/>
      <c r="V299" s="9"/>
      <c r="X299" t="s">
        <v>88</v>
      </c>
      <c r="Y299" s="2" t="s">
        <v>717</v>
      </c>
      <c r="Z299" s="2" t="s">
        <v>718</v>
      </c>
      <c r="AA299" s="9" t="s">
        <v>715</v>
      </c>
      <c r="AC299" s="2"/>
      <c r="AD299" t="s">
        <v>7</v>
      </c>
    </row>
    <row r="300" spans="1:31" x14ac:dyDescent="0.3">
      <c r="A300" s="17">
        <v>90739624000118</v>
      </c>
      <c r="B300" t="s">
        <v>63</v>
      </c>
      <c r="D300" t="s">
        <v>270</v>
      </c>
      <c r="E300" t="s">
        <v>2</v>
      </c>
      <c r="F300">
        <v>269308</v>
      </c>
      <c r="G300" s="1" t="s">
        <v>1574</v>
      </c>
      <c r="H300">
        <v>25011632</v>
      </c>
      <c r="I300">
        <v>59326</v>
      </c>
      <c r="J300" t="s">
        <v>919</v>
      </c>
      <c r="K300" s="17">
        <v>20630766000167</v>
      </c>
      <c r="L300" s="17">
        <v>90739624001432</v>
      </c>
      <c r="M300" s="9">
        <v>238.74</v>
      </c>
      <c r="N300" t="s">
        <v>43</v>
      </c>
      <c r="Q300" s="2"/>
      <c r="R300" s="9"/>
      <c r="S300" t="s">
        <v>44</v>
      </c>
      <c r="T300" t="s">
        <v>45</v>
      </c>
      <c r="U300" s="2" t="s">
        <v>581</v>
      </c>
      <c r="V300" s="9" t="s">
        <v>1575</v>
      </c>
      <c r="W300">
        <v>4.2260820630766001E+43</v>
      </c>
      <c r="X300" t="s">
        <v>46</v>
      </c>
      <c r="Y300" s="2" t="s">
        <v>717</v>
      </c>
      <c r="Z300" s="2" t="s">
        <v>718</v>
      </c>
      <c r="AA300" s="9" t="s">
        <v>715</v>
      </c>
      <c r="AC300" s="2"/>
      <c r="AD300" t="s">
        <v>7</v>
      </c>
      <c r="AE300" t="s">
        <v>1576</v>
      </c>
    </row>
    <row r="301" spans="1:31" x14ac:dyDescent="0.3">
      <c r="A301" s="17">
        <v>90739624000118</v>
      </c>
      <c r="B301" t="s">
        <v>170</v>
      </c>
      <c r="D301" t="s">
        <v>567</v>
      </c>
      <c r="E301" t="s">
        <v>17</v>
      </c>
      <c r="F301">
        <v>269308</v>
      </c>
      <c r="G301" s="1" t="s">
        <v>1577</v>
      </c>
      <c r="H301">
        <v>25010998</v>
      </c>
      <c r="I301">
        <v>129855</v>
      </c>
      <c r="J301" t="s">
        <v>178</v>
      </c>
      <c r="K301" s="17">
        <v>83392050000199</v>
      </c>
      <c r="L301" s="17">
        <v>90739624001432</v>
      </c>
      <c r="M301" s="9">
        <v>17.95</v>
      </c>
      <c r="N301" t="s">
        <v>43</v>
      </c>
      <c r="Q301" s="2"/>
      <c r="R301" s="9"/>
      <c r="S301" t="s">
        <v>44</v>
      </c>
      <c r="T301" t="s">
        <v>45</v>
      </c>
      <c r="U301" s="2" t="s">
        <v>581</v>
      </c>
      <c r="V301" s="9" t="s">
        <v>1578</v>
      </c>
      <c r="W301">
        <v>4.2260883392050001E+43</v>
      </c>
      <c r="X301" t="s">
        <v>46</v>
      </c>
      <c r="Y301" s="2" t="s">
        <v>717</v>
      </c>
      <c r="Z301" s="2" t="s">
        <v>718</v>
      </c>
      <c r="AA301" s="9" t="s">
        <v>715</v>
      </c>
      <c r="AC301" s="2"/>
      <c r="AD301" t="s">
        <v>7</v>
      </c>
      <c r="AE301" t="s">
        <v>1579</v>
      </c>
    </row>
    <row r="302" spans="1:31" x14ac:dyDescent="0.3">
      <c r="A302" s="17">
        <v>90739624000118</v>
      </c>
      <c r="B302" t="s">
        <v>170</v>
      </c>
      <c r="D302" t="s">
        <v>567</v>
      </c>
      <c r="E302" t="s">
        <v>2</v>
      </c>
      <c r="F302">
        <v>269308</v>
      </c>
      <c r="G302" s="1" t="s">
        <v>1580</v>
      </c>
      <c r="H302">
        <v>25010982</v>
      </c>
      <c r="I302">
        <v>129854</v>
      </c>
      <c r="J302" t="s">
        <v>178</v>
      </c>
      <c r="K302" s="17">
        <v>83392050000199</v>
      </c>
      <c r="L302" s="17">
        <v>90739624001432</v>
      </c>
      <c r="M302" s="9">
        <v>1368.97</v>
      </c>
      <c r="N302" t="s">
        <v>43</v>
      </c>
      <c r="Q302" s="2"/>
      <c r="R302" s="9"/>
      <c r="S302" t="s">
        <v>44</v>
      </c>
      <c r="T302" t="s">
        <v>45</v>
      </c>
      <c r="U302" s="2" t="s">
        <v>581</v>
      </c>
      <c r="V302" s="9" t="s">
        <v>1581</v>
      </c>
      <c r="W302">
        <v>4.2260883392050001E+43</v>
      </c>
      <c r="X302" t="s">
        <v>46</v>
      </c>
      <c r="Y302" s="2" t="s">
        <v>717</v>
      </c>
      <c r="Z302" s="2" t="s">
        <v>718</v>
      </c>
      <c r="AA302" s="9" t="s">
        <v>715</v>
      </c>
      <c r="AC302" s="2"/>
      <c r="AD302" t="s">
        <v>7</v>
      </c>
      <c r="AE302" t="s">
        <v>1582</v>
      </c>
    </row>
    <row r="303" spans="1:31" x14ac:dyDescent="0.3">
      <c r="A303" s="17">
        <v>90739624000118</v>
      </c>
      <c r="B303" t="s">
        <v>8</v>
      </c>
      <c r="C303">
        <v>26249</v>
      </c>
      <c r="D303" t="s">
        <v>76</v>
      </c>
      <c r="E303" t="s">
        <v>2</v>
      </c>
      <c r="F303">
        <v>269308</v>
      </c>
      <c r="G303" s="1" t="s">
        <v>1583</v>
      </c>
      <c r="H303">
        <v>25010967</v>
      </c>
      <c r="I303">
        <v>4388</v>
      </c>
      <c r="J303" t="s">
        <v>10</v>
      </c>
      <c r="K303" s="17">
        <v>33286065000102</v>
      </c>
      <c r="L303" s="17">
        <v>9576274000106</v>
      </c>
      <c r="M303" s="9">
        <v>858.69</v>
      </c>
      <c r="N303" t="s">
        <v>43</v>
      </c>
      <c r="Q303" s="2"/>
      <c r="R303" s="9"/>
      <c r="S303" t="s">
        <v>44</v>
      </c>
      <c r="T303" t="s">
        <v>45</v>
      </c>
      <c r="U303" s="2" t="s">
        <v>581</v>
      </c>
      <c r="V303" s="9" t="s">
        <v>1584</v>
      </c>
      <c r="W303">
        <v>4.1260833286065001E+43</v>
      </c>
      <c r="X303" t="s">
        <v>46</v>
      </c>
      <c r="Y303" s="2" t="s">
        <v>717</v>
      </c>
      <c r="Z303" s="2" t="s">
        <v>718</v>
      </c>
      <c r="AA303" s="9" t="s">
        <v>715</v>
      </c>
      <c r="AC303" s="2"/>
      <c r="AD303" t="s">
        <v>7</v>
      </c>
      <c r="AE303" t="s">
        <v>1585</v>
      </c>
    </row>
    <row r="304" spans="1:31" x14ac:dyDescent="0.3">
      <c r="A304" s="17">
        <v>90739624000118</v>
      </c>
      <c r="B304" t="s">
        <v>11</v>
      </c>
      <c r="D304" t="s">
        <v>247</v>
      </c>
      <c r="E304" t="s">
        <v>2</v>
      </c>
      <c r="F304">
        <v>269308</v>
      </c>
      <c r="G304" s="1" t="s">
        <v>1586</v>
      </c>
      <c r="H304">
        <v>25010819</v>
      </c>
      <c r="I304">
        <v>138024</v>
      </c>
      <c r="J304" t="s">
        <v>27</v>
      </c>
      <c r="K304" s="17">
        <v>2031363000110</v>
      </c>
      <c r="L304" s="17">
        <v>90739624001947</v>
      </c>
      <c r="M304" s="9">
        <v>249.98</v>
      </c>
      <c r="N304" t="s">
        <v>43</v>
      </c>
      <c r="Q304" s="2"/>
      <c r="R304" s="9"/>
      <c r="S304" t="s">
        <v>44</v>
      </c>
      <c r="T304" t="s">
        <v>45</v>
      </c>
      <c r="U304" s="2" t="s">
        <v>581</v>
      </c>
      <c r="V304" s="9" t="s">
        <v>1587</v>
      </c>
      <c r="W304">
        <v>5.2260802031363001E+43</v>
      </c>
      <c r="X304" t="s">
        <v>46</v>
      </c>
      <c r="Y304" s="2" t="s">
        <v>717</v>
      </c>
      <c r="Z304" s="2" t="s">
        <v>718</v>
      </c>
      <c r="AA304" s="9" t="s">
        <v>715</v>
      </c>
      <c r="AC304" s="2"/>
      <c r="AD304" t="s">
        <v>7</v>
      </c>
      <c r="AE304" t="s">
        <v>1588</v>
      </c>
    </row>
    <row r="305" spans="1:31" x14ac:dyDescent="0.3">
      <c r="A305" s="17">
        <v>90739624000118</v>
      </c>
      <c r="B305" t="s">
        <v>28</v>
      </c>
      <c r="C305">
        <v>20087</v>
      </c>
      <c r="D305" t="s">
        <v>219</v>
      </c>
      <c r="E305" t="s">
        <v>2</v>
      </c>
      <c r="F305">
        <v>269308</v>
      </c>
      <c r="G305" s="1" t="s">
        <v>1589</v>
      </c>
      <c r="H305">
        <v>25010747</v>
      </c>
      <c r="I305">
        <v>38309</v>
      </c>
      <c r="J305" t="s">
        <v>209</v>
      </c>
      <c r="K305" s="17">
        <v>33360405000190</v>
      </c>
      <c r="L305" s="17">
        <v>90739624001947</v>
      </c>
      <c r="M305" s="9">
        <v>225.12</v>
      </c>
      <c r="N305" t="s">
        <v>43</v>
      </c>
      <c r="Q305" s="2"/>
      <c r="R305" s="9"/>
      <c r="S305" t="s">
        <v>44</v>
      </c>
      <c r="T305" t="s">
        <v>45</v>
      </c>
      <c r="U305" s="2" t="s">
        <v>581</v>
      </c>
      <c r="V305" s="9" t="s">
        <v>1590</v>
      </c>
      <c r="W305">
        <v>5.2260833360404998E+43</v>
      </c>
      <c r="X305" t="s">
        <v>46</v>
      </c>
      <c r="Y305" s="2" t="s">
        <v>717</v>
      </c>
      <c r="Z305" s="2" t="s">
        <v>718</v>
      </c>
      <c r="AA305" s="9" t="s">
        <v>715</v>
      </c>
      <c r="AC305" s="2"/>
      <c r="AD305" t="s">
        <v>7</v>
      </c>
      <c r="AE305" t="s">
        <v>1591</v>
      </c>
    </row>
    <row r="306" spans="1:31" x14ac:dyDescent="0.3">
      <c r="A306" s="17">
        <v>90739624000118</v>
      </c>
      <c r="B306" t="s">
        <v>8</v>
      </c>
      <c r="C306">
        <v>24443</v>
      </c>
      <c r="D306" t="s">
        <v>155</v>
      </c>
      <c r="E306" t="s">
        <v>2</v>
      </c>
      <c r="F306">
        <v>269308</v>
      </c>
      <c r="G306" s="1" t="s">
        <v>1592</v>
      </c>
      <c r="H306">
        <v>25010559</v>
      </c>
      <c r="I306">
        <v>4386</v>
      </c>
      <c r="J306" t="s">
        <v>10</v>
      </c>
      <c r="K306" s="17">
        <v>33286065000102</v>
      </c>
      <c r="L306" s="17">
        <v>9576274000106</v>
      </c>
      <c r="M306" s="9">
        <v>261.04000000000002</v>
      </c>
      <c r="N306" t="s">
        <v>43</v>
      </c>
      <c r="Q306" s="2"/>
      <c r="R306" s="9"/>
      <c r="S306" t="s">
        <v>44</v>
      </c>
      <c r="T306" t="s">
        <v>45</v>
      </c>
      <c r="U306" s="2" t="s">
        <v>581</v>
      </c>
      <c r="V306" s="9" t="s">
        <v>1593</v>
      </c>
      <c r="W306">
        <v>4.1260833286065001E+43</v>
      </c>
      <c r="X306" t="s">
        <v>46</v>
      </c>
      <c r="Y306" s="2" t="s">
        <v>717</v>
      </c>
      <c r="Z306" s="2" t="s">
        <v>718</v>
      </c>
      <c r="AA306" s="9" t="s">
        <v>715</v>
      </c>
      <c r="AC306" s="2"/>
      <c r="AD306" t="s">
        <v>7</v>
      </c>
      <c r="AE306" t="s">
        <v>1594</v>
      </c>
    </row>
    <row r="307" spans="1:31" x14ac:dyDescent="0.3">
      <c r="A307" s="17">
        <v>90739624000118</v>
      </c>
      <c r="B307" t="s">
        <v>28</v>
      </c>
      <c r="D307" t="s">
        <v>1595</v>
      </c>
      <c r="E307" t="s">
        <v>2</v>
      </c>
      <c r="F307">
        <v>269308</v>
      </c>
      <c r="G307" s="1" t="s">
        <v>1596</v>
      </c>
      <c r="H307">
        <v>25010500</v>
      </c>
      <c r="I307">
        <v>81359</v>
      </c>
      <c r="J307" t="s">
        <v>48</v>
      </c>
      <c r="K307" s="17">
        <v>1272434001002</v>
      </c>
      <c r="L307" s="17">
        <v>90739624001947</v>
      </c>
      <c r="M307" s="9">
        <v>262.24</v>
      </c>
      <c r="N307" t="s">
        <v>43</v>
      </c>
      <c r="Q307" s="2"/>
      <c r="R307" s="9"/>
      <c r="S307" t="s">
        <v>44</v>
      </c>
      <c r="T307" t="s">
        <v>45</v>
      </c>
      <c r="U307" s="2" t="s">
        <v>581</v>
      </c>
      <c r="V307" s="9" t="s">
        <v>1597</v>
      </c>
      <c r="W307">
        <v>5.2260801272433996E+43</v>
      </c>
      <c r="X307" t="s">
        <v>46</v>
      </c>
      <c r="Y307" s="2" t="s">
        <v>717</v>
      </c>
      <c r="Z307" s="2" t="s">
        <v>718</v>
      </c>
      <c r="AA307" s="9" t="s">
        <v>715</v>
      </c>
      <c r="AC307" s="2"/>
      <c r="AD307" t="s">
        <v>7</v>
      </c>
      <c r="AE307" t="s">
        <v>1598</v>
      </c>
    </row>
    <row r="308" spans="1:31" x14ac:dyDescent="0.3">
      <c r="A308" s="17">
        <v>90739624000118</v>
      </c>
      <c r="B308" t="s">
        <v>52</v>
      </c>
      <c r="D308" t="s">
        <v>455</v>
      </c>
      <c r="E308" t="s">
        <v>2</v>
      </c>
      <c r="F308">
        <v>269308</v>
      </c>
      <c r="G308" s="1" t="s">
        <v>1599</v>
      </c>
      <c r="H308">
        <v>25010359</v>
      </c>
      <c r="I308">
        <v>41496</v>
      </c>
      <c r="J308" t="s">
        <v>545</v>
      </c>
      <c r="K308" s="17">
        <v>30429333000282</v>
      </c>
      <c r="L308" s="17">
        <v>9576274000106</v>
      </c>
      <c r="M308" s="9">
        <v>195.07</v>
      </c>
      <c r="N308" t="s">
        <v>43</v>
      </c>
      <c r="Q308" s="2"/>
      <c r="R308" s="9"/>
      <c r="S308" t="s">
        <v>44</v>
      </c>
      <c r="T308" t="s">
        <v>45</v>
      </c>
      <c r="U308" s="2" t="s">
        <v>581</v>
      </c>
      <c r="V308" s="9" t="s">
        <v>1600</v>
      </c>
      <c r="W308">
        <v>4.1260830429333002E+43</v>
      </c>
      <c r="X308" t="s">
        <v>46</v>
      </c>
      <c r="Y308" s="2" t="s">
        <v>717</v>
      </c>
      <c r="Z308" s="2" t="s">
        <v>718</v>
      </c>
      <c r="AA308" s="9" t="s">
        <v>715</v>
      </c>
      <c r="AC308" s="2"/>
      <c r="AD308" t="s">
        <v>7</v>
      </c>
      <c r="AE308" t="s">
        <v>1601</v>
      </c>
    </row>
    <row r="309" spans="1:31" x14ac:dyDescent="0.3">
      <c r="A309" s="17">
        <v>90739624000118</v>
      </c>
      <c r="B309" t="s">
        <v>0</v>
      </c>
      <c r="C309">
        <v>23454</v>
      </c>
      <c r="D309" t="s">
        <v>362</v>
      </c>
      <c r="E309" t="s">
        <v>2</v>
      </c>
      <c r="F309">
        <v>269308</v>
      </c>
      <c r="G309" s="1" t="s">
        <v>1602</v>
      </c>
      <c r="H309">
        <v>25010335</v>
      </c>
      <c r="I309">
        <v>35521</v>
      </c>
      <c r="J309" t="s">
        <v>200</v>
      </c>
      <c r="K309" s="17">
        <v>4308884000520</v>
      </c>
      <c r="L309" s="17">
        <v>90739624001432</v>
      </c>
      <c r="M309" s="9">
        <v>593.59</v>
      </c>
      <c r="N309" t="s">
        <v>43</v>
      </c>
      <c r="Q309" s="2"/>
      <c r="R309" s="9"/>
      <c r="S309" t="s">
        <v>44</v>
      </c>
      <c r="T309" t="s">
        <v>45</v>
      </c>
      <c r="U309" s="2" t="s">
        <v>581</v>
      </c>
      <c r="V309" s="9" t="s">
        <v>1603</v>
      </c>
      <c r="W309">
        <v>4.2260804308884001E+43</v>
      </c>
      <c r="X309" t="s">
        <v>46</v>
      </c>
      <c r="Y309" s="2" t="s">
        <v>717</v>
      </c>
      <c r="Z309" s="2" t="s">
        <v>718</v>
      </c>
      <c r="AA309" s="9" t="s">
        <v>715</v>
      </c>
      <c r="AC309" s="2"/>
      <c r="AD309" t="s">
        <v>7</v>
      </c>
      <c r="AE309" t="s">
        <v>1604</v>
      </c>
    </row>
    <row r="310" spans="1:31" x14ac:dyDescent="0.3">
      <c r="A310" s="17">
        <v>90739624000118</v>
      </c>
      <c r="B310" t="s">
        <v>73</v>
      </c>
      <c r="C310">
        <v>26117</v>
      </c>
      <c r="D310" t="s">
        <v>347</v>
      </c>
      <c r="E310" t="s">
        <v>2</v>
      </c>
      <c r="F310">
        <v>269308</v>
      </c>
      <c r="G310" s="1" t="s">
        <v>1605</v>
      </c>
      <c r="H310">
        <v>25010299</v>
      </c>
      <c r="J310" t="s">
        <v>262</v>
      </c>
      <c r="K310" s="17">
        <v>7473735001587</v>
      </c>
      <c r="L310" s="17"/>
      <c r="M310" s="9">
        <v>227.59</v>
      </c>
      <c r="N310" t="s">
        <v>43</v>
      </c>
      <c r="Q310" s="2"/>
      <c r="R310" s="9"/>
      <c r="S310" t="s">
        <v>87</v>
      </c>
      <c r="U310" s="2"/>
      <c r="V310" s="9"/>
      <c r="X310" t="s">
        <v>88</v>
      </c>
      <c r="Y310" s="2" t="s">
        <v>717</v>
      </c>
      <c r="Z310" s="2" t="s">
        <v>718</v>
      </c>
      <c r="AA310" s="9" t="s">
        <v>715</v>
      </c>
      <c r="AC310" s="2"/>
      <c r="AD310" t="s">
        <v>7</v>
      </c>
    </row>
    <row r="311" spans="1:31" x14ac:dyDescent="0.3">
      <c r="A311" s="17">
        <v>90739624000118</v>
      </c>
      <c r="B311" t="s">
        <v>70</v>
      </c>
      <c r="D311" t="s">
        <v>96</v>
      </c>
      <c r="E311" t="s">
        <v>2</v>
      </c>
      <c r="F311">
        <v>269308</v>
      </c>
      <c r="G311" s="1" t="s">
        <v>1607</v>
      </c>
      <c r="H311">
        <v>25010278</v>
      </c>
      <c r="I311">
        <v>257327</v>
      </c>
      <c r="J311" t="s">
        <v>72</v>
      </c>
      <c r="K311" s="17">
        <v>79964177000168</v>
      </c>
      <c r="L311" s="17">
        <v>9576274000106</v>
      </c>
      <c r="M311" s="9">
        <v>165.86</v>
      </c>
      <c r="N311" t="s">
        <v>43</v>
      </c>
      <c r="Q311" s="2"/>
      <c r="R311" s="9"/>
      <c r="S311" t="s">
        <v>44</v>
      </c>
      <c r="T311" t="s">
        <v>45</v>
      </c>
      <c r="U311" s="2" t="s">
        <v>581</v>
      </c>
      <c r="V311" s="9" t="s">
        <v>1608</v>
      </c>
      <c r="W311">
        <v>4.1260879964176998E+43</v>
      </c>
      <c r="X311" t="s">
        <v>46</v>
      </c>
      <c r="Y311" s="2" t="s">
        <v>717</v>
      </c>
      <c r="Z311" s="2" t="s">
        <v>718</v>
      </c>
      <c r="AA311" s="9" t="s">
        <v>715</v>
      </c>
      <c r="AC311" s="2"/>
      <c r="AD311" t="s">
        <v>7</v>
      </c>
      <c r="AE311" t="s">
        <v>1609</v>
      </c>
    </row>
    <row r="312" spans="1:31" x14ac:dyDescent="0.3">
      <c r="A312" s="17">
        <v>90739624000118</v>
      </c>
      <c r="B312" t="s">
        <v>31</v>
      </c>
      <c r="D312" t="s">
        <v>110</v>
      </c>
      <c r="E312" t="s">
        <v>2</v>
      </c>
      <c r="F312">
        <v>269308</v>
      </c>
      <c r="G312" s="1" t="s">
        <v>1610</v>
      </c>
      <c r="H312">
        <v>25010207</v>
      </c>
      <c r="I312">
        <v>16037</v>
      </c>
      <c r="J312" t="s">
        <v>142</v>
      </c>
      <c r="K312" s="17">
        <v>54494203000100</v>
      </c>
      <c r="L312" s="17">
        <v>90739624001866</v>
      </c>
      <c r="M312" s="9">
        <v>214.85</v>
      </c>
      <c r="N312" t="s">
        <v>43</v>
      </c>
      <c r="Q312" s="2"/>
      <c r="R312" s="9"/>
      <c r="S312" t="s">
        <v>44</v>
      </c>
      <c r="T312" t="s">
        <v>45</v>
      </c>
      <c r="U312" s="2" t="s">
        <v>1039</v>
      </c>
      <c r="V312" s="9" t="s">
        <v>1611</v>
      </c>
      <c r="W312">
        <v>5.1260854494202996E+43</v>
      </c>
      <c r="X312" t="s">
        <v>46</v>
      </c>
      <c r="Y312" s="2" t="s">
        <v>717</v>
      </c>
      <c r="Z312" s="2" t="s">
        <v>718</v>
      </c>
      <c r="AA312" s="9" t="s">
        <v>715</v>
      </c>
      <c r="AC312" s="2"/>
      <c r="AD312" t="s">
        <v>7</v>
      </c>
      <c r="AE312" t="s">
        <v>1612</v>
      </c>
    </row>
    <row r="313" spans="1:31" x14ac:dyDescent="0.3">
      <c r="A313" s="17">
        <v>90739624000118</v>
      </c>
      <c r="B313" t="s">
        <v>58</v>
      </c>
      <c r="D313" t="s">
        <v>387</v>
      </c>
      <c r="E313" t="s">
        <v>2</v>
      </c>
      <c r="F313">
        <v>269308</v>
      </c>
      <c r="G313" s="1" t="s">
        <v>1613</v>
      </c>
      <c r="H313">
        <v>25010203</v>
      </c>
      <c r="I313">
        <v>57889</v>
      </c>
      <c r="J313" t="s">
        <v>480</v>
      </c>
      <c r="K313" s="17">
        <v>7473735019877</v>
      </c>
      <c r="L313" s="17">
        <v>90739624002323</v>
      </c>
      <c r="M313" s="9">
        <v>185.02</v>
      </c>
      <c r="N313" t="s">
        <v>43</v>
      </c>
      <c r="Q313" s="2"/>
      <c r="R313" s="9"/>
      <c r="S313" t="s">
        <v>44</v>
      </c>
      <c r="T313" t="s">
        <v>45</v>
      </c>
      <c r="U313" s="2" t="s">
        <v>581</v>
      </c>
      <c r="V313" s="9" t="s">
        <v>1614</v>
      </c>
      <c r="W313">
        <v>4.3260807473734999E+43</v>
      </c>
      <c r="X313" t="s">
        <v>46</v>
      </c>
      <c r="Y313" s="2" t="s">
        <v>717</v>
      </c>
      <c r="Z313" s="2" t="s">
        <v>718</v>
      </c>
      <c r="AA313" s="9" t="s">
        <v>715</v>
      </c>
      <c r="AC313" s="2"/>
      <c r="AD313" t="s">
        <v>7</v>
      </c>
      <c r="AE313" t="s">
        <v>1615</v>
      </c>
    </row>
    <row r="314" spans="1:31" x14ac:dyDescent="0.3">
      <c r="A314" s="17">
        <v>90739624000118</v>
      </c>
      <c r="B314" t="s">
        <v>11</v>
      </c>
      <c r="D314" t="s">
        <v>30</v>
      </c>
      <c r="E314" t="s">
        <v>2</v>
      </c>
      <c r="F314">
        <v>269308</v>
      </c>
      <c r="G314" s="1" t="s">
        <v>1616</v>
      </c>
      <c r="H314">
        <v>25010141</v>
      </c>
      <c r="I314">
        <v>138019</v>
      </c>
      <c r="J314" t="s">
        <v>27</v>
      </c>
      <c r="K314" s="17">
        <v>2031363000110</v>
      </c>
      <c r="L314" s="17">
        <v>90739624001947</v>
      </c>
      <c r="M314" s="9">
        <v>125.53</v>
      </c>
      <c r="N314" t="s">
        <v>43</v>
      </c>
      <c r="Q314" s="2"/>
      <c r="R314" s="9"/>
      <c r="S314" t="s">
        <v>44</v>
      </c>
      <c r="T314" t="s">
        <v>45</v>
      </c>
      <c r="U314" s="2" t="s">
        <v>581</v>
      </c>
      <c r="V314" s="9" t="s">
        <v>1617</v>
      </c>
      <c r="W314">
        <v>5.2260802031363001E+43</v>
      </c>
      <c r="X314" t="s">
        <v>46</v>
      </c>
      <c r="Y314" s="2" t="s">
        <v>717</v>
      </c>
      <c r="Z314" s="2" t="s">
        <v>718</v>
      </c>
      <c r="AA314" s="9" t="s">
        <v>715</v>
      </c>
      <c r="AC314" s="2"/>
      <c r="AD314" t="s">
        <v>7</v>
      </c>
      <c r="AE314" t="s">
        <v>1618</v>
      </c>
    </row>
    <row r="315" spans="1:31" x14ac:dyDescent="0.3">
      <c r="A315" s="17">
        <v>90739624000118</v>
      </c>
      <c r="B315" t="s">
        <v>52</v>
      </c>
      <c r="C315">
        <v>22492</v>
      </c>
      <c r="D315" t="s">
        <v>249</v>
      </c>
      <c r="E315" t="s">
        <v>2</v>
      </c>
      <c r="F315">
        <v>269308</v>
      </c>
      <c r="G315" s="1" t="s">
        <v>1619</v>
      </c>
      <c r="H315">
        <v>25009954</v>
      </c>
      <c r="I315">
        <v>41073</v>
      </c>
      <c r="J315" t="s">
        <v>545</v>
      </c>
      <c r="K315" s="17">
        <v>30429333000282</v>
      </c>
      <c r="L315" s="17">
        <v>9576274000106</v>
      </c>
      <c r="M315" s="9">
        <v>195</v>
      </c>
      <c r="N315" t="s">
        <v>43</v>
      </c>
      <c r="Q315" s="2"/>
      <c r="R315" s="9"/>
      <c r="S315" t="s">
        <v>44</v>
      </c>
      <c r="T315" t="s">
        <v>45</v>
      </c>
      <c r="U315" s="2" t="s">
        <v>581</v>
      </c>
      <c r="V315" s="9" t="s">
        <v>587</v>
      </c>
      <c r="W315">
        <v>4.1260830429333002E+43</v>
      </c>
      <c r="X315" t="s">
        <v>46</v>
      </c>
      <c r="Y315" s="2" t="s">
        <v>717</v>
      </c>
      <c r="Z315" s="2" t="s">
        <v>718</v>
      </c>
      <c r="AA315" s="9" t="s">
        <v>715</v>
      </c>
      <c r="AC315" s="2"/>
      <c r="AD315" t="s">
        <v>7</v>
      </c>
      <c r="AE315" t="s">
        <v>1620</v>
      </c>
    </row>
    <row r="316" spans="1:31" x14ac:dyDescent="0.3">
      <c r="A316" s="17">
        <v>90739624000118</v>
      </c>
      <c r="B316" t="s">
        <v>0</v>
      </c>
      <c r="D316" t="s">
        <v>1279</v>
      </c>
      <c r="E316" t="s">
        <v>2</v>
      </c>
      <c r="F316">
        <v>269308</v>
      </c>
      <c r="G316" s="1" t="s">
        <v>1621</v>
      </c>
      <c r="H316">
        <v>25009927</v>
      </c>
      <c r="I316">
        <v>35487</v>
      </c>
      <c r="J316" t="s">
        <v>200</v>
      </c>
      <c r="K316" s="17">
        <v>4308884000520</v>
      </c>
      <c r="L316" s="17">
        <v>90739624001432</v>
      </c>
      <c r="M316" s="9">
        <v>249.31</v>
      </c>
      <c r="N316" t="s">
        <v>43</v>
      </c>
      <c r="Q316" s="2"/>
      <c r="R316" s="9"/>
      <c r="S316" t="s">
        <v>44</v>
      </c>
      <c r="T316" t="s">
        <v>45</v>
      </c>
      <c r="U316" s="2" t="s">
        <v>581</v>
      </c>
      <c r="V316" s="9" t="s">
        <v>1623</v>
      </c>
      <c r="W316">
        <v>4.2260804308884001E+43</v>
      </c>
      <c r="X316" t="s">
        <v>46</v>
      </c>
      <c r="Y316" s="2" t="s">
        <v>717</v>
      </c>
      <c r="Z316" s="2" t="s">
        <v>718</v>
      </c>
      <c r="AA316" s="9" t="s">
        <v>715</v>
      </c>
      <c r="AC316" s="2"/>
      <c r="AD316" t="s">
        <v>7</v>
      </c>
      <c r="AE316" t="s">
        <v>1624</v>
      </c>
    </row>
    <row r="317" spans="1:31" x14ac:dyDescent="0.3">
      <c r="A317" s="17">
        <v>90739624000118</v>
      </c>
      <c r="B317" t="s">
        <v>25</v>
      </c>
      <c r="D317" t="s">
        <v>108</v>
      </c>
      <c r="E317" t="s">
        <v>2</v>
      </c>
      <c r="F317">
        <v>269308</v>
      </c>
      <c r="G317" s="1" t="s">
        <v>1625</v>
      </c>
      <c r="H317">
        <v>25009836</v>
      </c>
      <c r="I317">
        <v>49087</v>
      </c>
      <c r="J317" t="s">
        <v>1626</v>
      </c>
      <c r="K317" s="17">
        <v>22620102000142</v>
      </c>
      <c r="L317" s="17">
        <v>90739624001866</v>
      </c>
      <c r="M317" s="9">
        <v>103.6</v>
      </c>
      <c r="N317" t="s">
        <v>43</v>
      </c>
      <c r="Q317" s="2"/>
      <c r="R317" s="9"/>
      <c r="S317" t="s">
        <v>44</v>
      </c>
      <c r="T317" t="s">
        <v>45</v>
      </c>
      <c r="U317" s="2" t="s">
        <v>581</v>
      </c>
      <c r="V317" s="9" t="s">
        <v>1627</v>
      </c>
      <c r="W317">
        <v>5.1260822620102001E+43</v>
      </c>
      <c r="X317" t="s">
        <v>46</v>
      </c>
      <c r="Y317" s="2" t="s">
        <v>717</v>
      </c>
      <c r="Z317" s="2" t="s">
        <v>718</v>
      </c>
      <c r="AA317" s="9" t="s">
        <v>715</v>
      </c>
      <c r="AC317" s="2"/>
      <c r="AD317" t="s">
        <v>7</v>
      </c>
      <c r="AE317" t="s">
        <v>1628</v>
      </c>
    </row>
    <row r="318" spans="1:31" x14ac:dyDescent="0.3">
      <c r="A318" s="17">
        <v>90739624000118</v>
      </c>
      <c r="B318" t="s">
        <v>11</v>
      </c>
      <c r="D318" t="s">
        <v>89</v>
      </c>
      <c r="E318" t="s">
        <v>2</v>
      </c>
      <c r="F318">
        <v>269308</v>
      </c>
      <c r="G318" s="1" t="s">
        <v>1629</v>
      </c>
      <c r="H318">
        <v>25009830</v>
      </c>
      <c r="I318">
        <v>11149</v>
      </c>
      <c r="J318" t="s">
        <v>90</v>
      </c>
      <c r="K318" s="17">
        <v>50780684000160</v>
      </c>
      <c r="L318" s="17">
        <v>90739624001947</v>
      </c>
      <c r="M318" s="9">
        <v>185.71</v>
      </c>
      <c r="N318" t="s">
        <v>43</v>
      </c>
      <c r="Q318" s="2"/>
      <c r="R318" s="9"/>
      <c r="S318" t="s">
        <v>44</v>
      </c>
      <c r="T318" t="s">
        <v>45</v>
      </c>
      <c r="U318" s="2" t="s">
        <v>581</v>
      </c>
      <c r="V318" s="9" t="s">
        <v>1631</v>
      </c>
      <c r="W318">
        <v>5.2260850780684E+43</v>
      </c>
      <c r="X318" t="s">
        <v>46</v>
      </c>
      <c r="Y318" s="2" t="s">
        <v>717</v>
      </c>
      <c r="Z318" s="2" t="s">
        <v>718</v>
      </c>
      <c r="AA318" s="9" t="s">
        <v>715</v>
      </c>
      <c r="AC318" s="2"/>
      <c r="AD318" t="s">
        <v>7</v>
      </c>
      <c r="AE318" t="s">
        <v>1632</v>
      </c>
    </row>
    <row r="319" spans="1:31" x14ac:dyDescent="0.3">
      <c r="A319" s="17">
        <v>90739624000118</v>
      </c>
      <c r="B319" t="s">
        <v>52</v>
      </c>
      <c r="C319">
        <v>22474</v>
      </c>
      <c r="D319" t="s">
        <v>536</v>
      </c>
      <c r="E319" t="s">
        <v>2</v>
      </c>
      <c r="F319">
        <v>269308</v>
      </c>
      <c r="G319" s="1" t="s">
        <v>1633</v>
      </c>
      <c r="H319">
        <v>25009812</v>
      </c>
      <c r="I319">
        <v>41070</v>
      </c>
      <c r="J319" t="s">
        <v>545</v>
      </c>
      <c r="K319" s="17">
        <v>30429333000282</v>
      </c>
      <c r="L319" s="17">
        <v>9576274000106</v>
      </c>
      <c r="M319" s="9">
        <v>14.1</v>
      </c>
      <c r="N319" t="s">
        <v>43</v>
      </c>
      <c r="Q319" s="2"/>
      <c r="R319" s="9"/>
      <c r="S319" t="s">
        <v>44</v>
      </c>
      <c r="T319" t="s">
        <v>45</v>
      </c>
      <c r="U319" s="2" t="s">
        <v>581</v>
      </c>
      <c r="V319" s="9" t="s">
        <v>1635</v>
      </c>
      <c r="W319">
        <v>4.1260830429333002E+43</v>
      </c>
      <c r="X319" t="s">
        <v>46</v>
      </c>
      <c r="Y319" s="2" t="s">
        <v>717</v>
      </c>
      <c r="Z319" s="2" t="s">
        <v>718</v>
      </c>
      <c r="AA319" s="9" t="s">
        <v>715</v>
      </c>
      <c r="AC319" s="2"/>
      <c r="AD319" t="s">
        <v>7</v>
      </c>
      <c r="AE319" t="s">
        <v>1636</v>
      </c>
    </row>
    <row r="320" spans="1:31" x14ac:dyDescent="0.3">
      <c r="A320" s="17">
        <v>90739624000118</v>
      </c>
      <c r="B320" t="s">
        <v>52</v>
      </c>
      <c r="C320">
        <v>21147</v>
      </c>
      <c r="D320" t="s">
        <v>485</v>
      </c>
      <c r="E320" t="s">
        <v>2</v>
      </c>
      <c r="F320">
        <v>269308</v>
      </c>
      <c r="G320" s="1" t="s">
        <v>1637</v>
      </c>
      <c r="H320">
        <v>25009811</v>
      </c>
      <c r="I320">
        <v>16835</v>
      </c>
      <c r="J320" t="s">
        <v>54</v>
      </c>
      <c r="K320" s="17">
        <v>79130647000198</v>
      </c>
      <c r="L320" s="17">
        <v>9576274000106</v>
      </c>
      <c r="M320" s="9">
        <v>297.24</v>
      </c>
      <c r="N320" t="s">
        <v>43</v>
      </c>
      <c r="Q320" s="2"/>
      <c r="R320" s="9"/>
      <c r="S320" t="s">
        <v>44</v>
      </c>
      <c r="T320" t="s">
        <v>45</v>
      </c>
      <c r="U320" s="2" t="s">
        <v>581</v>
      </c>
      <c r="V320" s="9" t="s">
        <v>1638</v>
      </c>
      <c r="W320">
        <v>4.1260879130646998E+43</v>
      </c>
      <c r="X320" t="s">
        <v>46</v>
      </c>
      <c r="Y320" s="2" t="s">
        <v>717</v>
      </c>
      <c r="Z320" s="2" t="s">
        <v>718</v>
      </c>
      <c r="AA320" s="9" t="s">
        <v>715</v>
      </c>
      <c r="AC320" s="2"/>
      <c r="AD320" t="s">
        <v>7</v>
      </c>
      <c r="AE320" t="s">
        <v>1639</v>
      </c>
    </row>
    <row r="321" spans="1:31" x14ac:dyDescent="0.3">
      <c r="A321" s="17">
        <v>90739624000118</v>
      </c>
      <c r="B321" t="s">
        <v>0</v>
      </c>
      <c r="D321" t="s">
        <v>540</v>
      </c>
      <c r="E321" t="s">
        <v>2</v>
      </c>
      <c r="F321">
        <v>269308</v>
      </c>
      <c r="G321" s="1" t="s">
        <v>1640</v>
      </c>
      <c r="H321">
        <v>25009668</v>
      </c>
      <c r="I321">
        <v>1420</v>
      </c>
      <c r="J321" t="s">
        <v>234</v>
      </c>
      <c r="K321" s="17">
        <v>81326258001580</v>
      </c>
      <c r="L321" s="17">
        <v>90739624001432</v>
      </c>
      <c r="M321" s="9">
        <v>332.17</v>
      </c>
      <c r="N321" t="s">
        <v>43</v>
      </c>
      <c r="Q321" s="2"/>
      <c r="R321" s="9"/>
      <c r="S321" t="s">
        <v>44</v>
      </c>
      <c r="T321" t="s">
        <v>45</v>
      </c>
      <c r="U321" s="2" t="s">
        <v>792</v>
      </c>
      <c r="V321" s="9" t="s">
        <v>1641</v>
      </c>
      <c r="W321">
        <v>4.2260881326258001E+43</v>
      </c>
      <c r="X321" t="s">
        <v>46</v>
      </c>
      <c r="Y321" s="2" t="s">
        <v>717</v>
      </c>
      <c r="Z321" s="2" t="s">
        <v>718</v>
      </c>
      <c r="AA321" s="9" t="s">
        <v>715</v>
      </c>
      <c r="AC321" s="2"/>
      <c r="AD321" t="s">
        <v>7</v>
      </c>
      <c r="AE321" t="s">
        <v>1642</v>
      </c>
    </row>
    <row r="322" spans="1:31" x14ac:dyDescent="0.3">
      <c r="A322" s="17">
        <v>90739624000118</v>
      </c>
      <c r="B322" t="s">
        <v>61</v>
      </c>
      <c r="C322">
        <v>24569</v>
      </c>
      <c r="D322" t="s">
        <v>494</v>
      </c>
      <c r="E322" t="s">
        <v>2</v>
      </c>
      <c r="F322">
        <v>269308</v>
      </c>
      <c r="G322" s="1" t="s">
        <v>1643</v>
      </c>
      <c r="H322">
        <v>25009664</v>
      </c>
      <c r="I322">
        <v>2529</v>
      </c>
      <c r="J322" t="s">
        <v>85</v>
      </c>
      <c r="K322" s="17">
        <v>1975878000105</v>
      </c>
      <c r="L322" s="17">
        <v>9576274000106</v>
      </c>
      <c r="M322" s="9">
        <v>111.81</v>
      </c>
      <c r="N322" t="s">
        <v>43</v>
      </c>
      <c r="Q322" s="2"/>
      <c r="R322" s="9"/>
      <c r="S322" t="s">
        <v>44</v>
      </c>
      <c r="T322" t="s">
        <v>45</v>
      </c>
      <c r="U322" s="2" t="s">
        <v>581</v>
      </c>
      <c r="V322" s="9" t="s">
        <v>1645</v>
      </c>
      <c r="W322">
        <v>4.1260801975878E+43</v>
      </c>
      <c r="X322" t="s">
        <v>46</v>
      </c>
      <c r="Y322" s="2" t="s">
        <v>717</v>
      </c>
      <c r="Z322" s="2" t="s">
        <v>718</v>
      </c>
      <c r="AA322" s="9" t="s">
        <v>715</v>
      </c>
      <c r="AC322" s="2"/>
      <c r="AD322" t="s">
        <v>7</v>
      </c>
      <c r="AE322" t="s">
        <v>1646</v>
      </c>
    </row>
    <row r="323" spans="1:31" x14ac:dyDescent="0.3">
      <c r="A323" s="17">
        <v>90739624000118</v>
      </c>
      <c r="B323" t="s">
        <v>8</v>
      </c>
      <c r="C323">
        <v>23618</v>
      </c>
      <c r="D323" t="s">
        <v>1647</v>
      </c>
      <c r="E323" t="s">
        <v>2</v>
      </c>
      <c r="F323">
        <v>269308</v>
      </c>
      <c r="G323" s="1" t="s">
        <v>1648</v>
      </c>
      <c r="H323">
        <v>25009510</v>
      </c>
      <c r="I323">
        <v>2528</v>
      </c>
      <c r="J323" t="s">
        <v>85</v>
      </c>
      <c r="K323" s="17">
        <v>1975878000105</v>
      </c>
      <c r="L323" s="17">
        <v>9576274000106</v>
      </c>
      <c r="M323" s="9">
        <v>299.95999999999998</v>
      </c>
      <c r="N323" t="s">
        <v>43</v>
      </c>
      <c r="Q323" s="2"/>
      <c r="R323" s="9"/>
      <c r="S323" t="s">
        <v>44</v>
      </c>
      <c r="T323" t="s">
        <v>45</v>
      </c>
      <c r="U323" s="2" t="s">
        <v>581</v>
      </c>
      <c r="V323" s="9" t="s">
        <v>1649</v>
      </c>
      <c r="W323">
        <v>4.1260801975878E+43</v>
      </c>
      <c r="X323" t="s">
        <v>46</v>
      </c>
      <c r="Y323" s="2" t="s">
        <v>717</v>
      </c>
      <c r="Z323" s="2" t="s">
        <v>718</v>
      </c>
      <c r="AA323" s="9" t="s">
        <v>715</v>
      </c>
      <c r="AC323" s="2"/>
      <c r="AD323" t="s">
        <v>7</v>
      </c>
      <c r="AE323" t="s">
        <v>1650</v>
      </c>
    </row>
    <row r="324" spans="1:31" x14ac:dyDescent="0.3">
      <c r="A324" s="17">
        <v>90739624000118</v>
      </c>
      <c r="B324" t="s">
        <v>0</v>
      </c>
      <c r="D324" t="s">
        <v>77</v>
      </c>
      <c r="E324" t="s">
        <v>17</v>
      </c>
      <c r="F324">
        <v>269308</v>
      </c>
      <c r="G324" s="1" t="s">
        <v>1651</v>
      </c>
      <c r="H324">
        <v>25009506</v>
      </c>
      <c r="I324">
        <v>179405</v>
      </c>
      <c r="J324" t="s">
        <v>64</v>
      </c>
      <c r="K324" s="17">
        <v>23448964001921</v>
      </c>
      <c r="L324" s="17">
        <v>90739624001432</v>
      </c>
      <c r="M324" s="9">
        <v>115.71</v>
      </c>
      <c r="N324" t="s">
        <v>43</v>
      </c>
      <c r="Q324" s="2"/>
      <c r="R324" s="9"/>
      <c r="S324" t="s">
        <v>44</v>
      </c>
      <c r="T324" t="s">
        <v>45</v>
      </c>
      <c r="U324" s="2" t="s">
        <v>581</v>
      </c>
      <c r="V324" s="9" t="s">
        <v>1652</v>
      </c>
      <c r="W324">
        <v>4.2260823448963998E+43</v>
      </c>
      <c r="X324" t="s">
        <v>46</v>
      </c>
      <c r="Y324" s="2" t="s">
        <v>717</v>
      </c>
      <c r="Z324" s="2" t="s">
        <v>718</v>
      </c>
      <c r="AA324" s="9" t="s">
        <v>715</v>
      </c>
      <c r="AC324" s="2"/>
      <c r="AD324" t="s">
        <v>7</v>
      </c>
      <c r="AE324" t="s">
        <v>1653</v>
      </c>
    </row>
    <row r="325" spans="1:31" x14ac:dyDescent="0.3">
      <c r="A325" s="17">
        <v>90739624000118</v>
      </c>
      <c r="B325" t="s">
        <v>63</v>
      </c>
      <c r="C325">
        <v>26140</v>
      </c>
      <c r="D325" t="s">
        <v>195</v>
      </c>
      <c r="E325" t="s">
        <v>2</v>
      </c>
      <c r="F325">
        <v>269308</v>
      </c>
      <c r="G325" s="1" t="s">
        <v>1654</v>
      </c>
      <c r="H325">
        <v>25009495</v>
      </c>
      <c r="I325">
        <v>59320</v>
      </c>
      <c r="J325" t="s">
        <v>919</v>
      </c>
      <c r="K325" s="17">
        <v>20630766000167</v>
      </c>
      <c r="L325" s="17">
        <v>90739624001432</v>
      </c>
      <c r="M325" s="9">
        <v>239.31</v>
      </c>
      <c r="N325" t="s">
        <v>43</v>
      </c>
      <c r="Q325" s="2"/>
      <c r="R325" s="9"/>
      <c r="S325" t="s">
        <v>44</v>
      </c>
      <c r="T325" t="s">
        <v>45</v>
      </c>
      <c r="U325" s="2" t="s">
        <v>581</v>
      </c>
      <c r="V325" s="9" t="s">
        <v>1655</v>
      </c>
      <c r="W325">
        <v>4.2260820630766001E+43</v>
      </c>
      <c r="X325" t="s">
        <v>46</v>
      </c>
      <c r="Y325" s="2" t="s">
        <v>717</v>
      </c>
      <c r="Z325" s="2" t="s">
        <v>718</v>
      </c>
      <c r="AA325" s="9" t="s">
        <v>715</v>
      </c>
      <c r="AC325" s="2"/>
      <c r="AD325" t="s">
        <v>7</v>
      </c>
      <c r="AE325" t="s">
        <v>1656</v>
      </c>
    </row>
    <row r="326" spans="1:31" x14ac:dyDescent="0.3">
      <c r="A326" s="17">
        <v>90739624000118</v>
      </c>
      <c r="B326" t="s">
        <v>0</v>
      </c>
      <c r="D326" t="s">
        <v>77</v>
      </c>
      <c r="E326" t="s">
        <v>2</v>
      </c>
      <c r="F326">
        <v>269308</v>
      </c>
      <c r="G326" s="1" t="s">
        <v>1657</v>
      </c>
      <c r="H326">
        <v>25009475</v>
      </c>
      <c r="I326">
        <v>179403</v>
      </c>
      <c r="J326" t="s">
        <v>64</v>
      </c>
      <c r="K326" s="17">
        <v>23448964001921</v>
      </c>
      <c r="L326" s="17">
        <v>90739624001432</v>
      </c>
      <c r="M326" s="9">
        <v>2255.44</v>
      </c>
      <c r="N326" t="s">
        <v>43</v>
      </c>
      <c r="Q326" s="2"/>
      <c r="R326" s="9"/>
      <c r="S326" t="s">
        <v>44</v>
      </c>
      <c r="T326" t="s">
        <v>45</v>
      </c>
      <c r="U326" s="2" t="s">
        <v>581</v>
      </c>
      <c r="V326" s="9" t="s">
        <v>1658</v>
      </c>
      <c r="W326">
        <v>4.2260823448963998E+43</v>
      </c>
      <c r="X326" t="s">
        <v>46</v>
      </c>
      <c r="Y326" s="2" t="s">
        <v>717</v>
      </c>
      <c r="Z326" s="2" t="s">
        <v>718</v>
      </c>
      <c r="AA326" s="9" t="s">
        <v>715</v>
      </c>
      <c r="AC326" s="2"/>
      <c r="AD326" t="s">
        <v>7</v>
      </c>
      <c r="AE326" t="s">
        <v>1659</v>
      </c>
    </row>
    <row r="327" spans="1:31" x14ac:dyDescent="0.3">
      <c r="A327" s="17">
        <v>90739624000118</v>
      </c>
      <c r="B327" t="s">
        <v>33</v>
      </c>
      <c r="D327" t="s">
        <v>472</v>
      </c>
      <c r="E327" t="s">
        <v>2</v>
      </c>
      <c r="F327">
        <v>269308</v>
      </c>
      <c r="G327" s="1" t="s">
        <v>1660</v>
      </c>
      <c r="H327">
        <v>25009400</v>
      </c>
      <c r="I327">
        <v>1140</v>
      </c>
      <c r="J327" t="s">
        <v>35</v>
      </c>
      <c r="K327" s="17">
        <v>27933025000102</v>
      </c>
      <c r="L327" s="17">
        <v>9576274000106</v>
      </c>
      <c r="M327" s="9">
        <v>153.91999999999999</v>
      </c>
      <c r="N327" t="s">
        <v>43</v>
      </c>
      <c r="Q327" s="2"/>
      <c r="R327" s="9"/>
      <c r="S327" t="s">
        <v>44</v>
      </c>
      <c r="T327" t="s">
        <v>45</v>
      </c>
      <c r="U327" s="2" t="s">
        <v>792</v>
      </c>
      <c r="V327" s="9" t="s">
        <v>1661</v>
      </c>
      <c r="W327">
        <v>4.1260827933025001E+43</v>
      </c>
      <c r="X327" t="s">
        <v>46</v>
      </c>
      <c r="Y327" s="2" t="s">
        <v>717</v>
      </c>
      <c r="Z327" s="2" t="s">
        <v>718</v>
      </c>
      <c r="AA327" s="9" t="s">
        <v>715</v>
      </c>
      <c r="AC327" s="2"/>
      <c r="AD327" t="s">
        <v>7</v>
      </c>
      <c r="AE327" t="s">
        <v>1662</v>
      </c>
    </row>
    <row r="328" spans="1:31" x14ac:dyDescent="0.3">
      <c r="A328" s="17">
        <v>90739624000118</v>
      </c>
      <c r="B328" t="s">
        <v>49</v>
      </c>
      <c r="D328" t="s">
        <v>317</v>
      </c>
      <c r="E328" t="s">
        <v>2</v>
      </c>
      <c r="F328">
        <v>269308</v>
      </c>
      <c r="G328" s="1" t="s">
        <v>1663</v>
      </c>
      <c r="H328">
        <v>25009355</v>
      </c>
      <c r="I328">
        <v>163100</v>
      </c>
      <c r="J328" t="s">
        <v>51</v>
      </c>
      <c r="K328" s="17">
        <v>2763612000161</v>
      </c>
      <c r="L328" s="17">
        <v>90739624003133</v>
      </c>
      <c r="M328" s="9">
        <v>260.73</v>
      </c>
      <c r="N328" t="s">
        <v>43</v>
      </c>
      <c r="Q328" s="2"/>
      <c r="R328" s="9"/>
      <c r="S328" t="s">
        <v>44</v>
      </c>
      <c r="T328" t="s">
        <v>45</v>
      </c>
      <c r="U328" s="2" t="s">
        <v>581</v>
      </c>
      <c r="V328" s="9" t="s">
        <v>1664</v>
      </c>
      <c r="W328">
        <v>4.1260802763612002E+43</v>
      </c>
      <c r="X328" t="s">
        <v>46</v>
      </c>
      <c r="Y328" s="2" t="s">
        <v>717</v>
      </c>
      <c r="Z328" s="2" t="s">
        <v>718</v>
      </c>
      <c r="AA328" s="9" t="s">
        <v>715</v>
      </c>
      <c r="AC328" s="2"/>
      <c r="AD328" t="s">
        <v>7</v>
      </c>
      <c r="AE328" t="s">
        <v>1665</v>
      </c>
    </row>
    <row r="329" spans="1:31" x14ac:dyDescent="0.3">
      <c r="A329" s="17">
        <v>90739624000118</v>
      </c>
      <c r="B329" t="s">
        <v>33</v>
      </c>
      <c r="C329">
        <v>23840</v>
      </c>
      <c r="D329" t="s">
        <v>562</v>
      </c>
      <c r="E329" t="s">
        <v>2</v>
      </c>
      <c r="F329">
        <v>269308</v>
      </c>
      <c r="G329" s="1" t="s">
        <v>1666</v>
      </c>
      <c r="H329">
        <v>25009348</v>
      </c>
      <c r="I329">
        <v>1139</v>
      </c>
      <c r="J329" t="s">
        <v>35</v>
      </c>
      <c r="K329" s="17">
        <v>27933025000102</v>
      </c>
      <c r="L329" s="17">
        <v>9576274000106</v>
      </c>
      <c r="M329" s="9">
        <v>192.63</v>
      </c>
      <c r="N329" t="s">
        <v>43</v>
      </c>
      <c r="Q329" s="2"/>
      <c r="R329" s="9"/>
      <c r="S329" t="s">
        <v>44</v>
      </c>
      <c r="T329" t="s">
        <v>45</v>
      </c>
      <c r="U329" s="2" t="s">
        <v>792</v>
      </c>
      <c r="V329" s="9" t="s">
        <v>1667</v>
      </c>
      <c r="W329">
        <v>4.1260827933025001E+43</v>
      </c>
      <c r="X329" t="s">
        <v>46</v>
      </c>
      <c r="Y329" s="2" t="s">
        <v>717</v>
      </c>
      <c r="Z329" s="2" t="s">
        <v>718</v>
      </c>
      <c r="AA329" s="9" t="s">
        <v>715</v>
      </c>
      <c r="AC329" s="2"/>
      <c r="AD329" t="s">
        <v>7</v>
      </c>
      <c r="AE329" t="s">
        <v>1668</v>
      </c>
    </row>
    <row r="330" spans="1:31" x14ac:dyDescent="0.3">
      <c r="A330" s="17">
        <v>90739624000118</v>
      </c>
      <c r="B330" t="s">
        <v>58</v>
      </c>
      <c r="D330" t="s">
        <v>392</v>
      </c>
      <c r="E330" t="s">
        <v>2</v>
      </c>
      <c r="F330">
        <v>269308</v>
      </c>
      <c r="G330" s="1" t="s">
        <v>1669</v>
      </c>
      <c r="H330">
        <v>25009272</v>
      </c>
      <c r="J330" t="s">
        <v>106</v>
      </c>
      <c r="K330" s="17">
        <v>7473735015103</v>
      </c>
      <c r="L330" s="17"/>
      <c r="M330" s="9">
        <v>193.12</v>
      </c>
      <c r="N330" t="s">
        <v>43</v>
      </c>
      <c r="Q330" s="2"/>
      <c r="R330" s="9"/>
      <c r="S330" t="s">
        <v>87</v>
      </c>
      <c r="U330" s="2"/>
      <c r="V330" s="9"/>
      <c r="X330" t="s">
        <v>88</v>
      </c>
      <c r="Y330" s="2" t="s">
        <v>717</v>
      </c>
      <c r="Z330" s="2" t="s">
        <v>718</v>
      </c>
      <c r="AA330" s="9" t="s">
        <v>715</v>
      </c>
      <c r="AC330" s="2"/>
      <c r="AD330" t="s">
        <v>7</v>
      </c>
    </row>
    <row r="331" spans="1:31" x14ac:dyDescent="0.3">
      <c r="A331" s="17">
        <v>90739624000118</v>
      </c>
      <c r="B331" t="s">
        <v>58</v>
      </c>
      <c r="D331" t="s">
        <v>555</v>
      </c>
      <c r="E331" t="s">
        <v>17</v>
      </c>
      <c r="F331">
        <v>269308</v>
      </c>
      <c r="G331" s="1" t="s">
        <v>1671</v>
      </c>
      <c r="H331">
        <v>25009255</v>
      </c>
      <c r="J331" t="s">
        <v>106</v>
      </c>
      <c r="K331" s="17">
        <v>7473735015103</v>
      </c>
      <c r="L331" s="17"/>
      <c r="M331" s="9">
        <v>29.26</v>
      </c>
      <c r="N331" t="s">
        <v>43</v>
      </c>
      <c r="Q331" s="2"/>
      <c r="R331" s="9"/>
      <c r="S331" t="s">
        <v>87</v>
      </c>
      <c r="U331" s="2"/>
      <c r="V331" s="9"/>
      <c r="X331" t="s">
        <v>88</v>
      </c>
      <c r="Y331" s="2" t="s">
        <v>717</v>
      </c>
      <c r="Z331" s="2" t="s">
        <v>718</v>
      </c>
      <c r="AA331" s="9" t="s">
        <v>715</v>
      </c>
      <c r="AC331" s="2"/>
      <c r="AD331" t="s">
        <v>7</v>
      </c>
    </row>
    <row r="332" spans="1:31" x14ac:dyDescent="0.3">
      <c r="A332" s="17">
        <v>90739624000118</v>
      </c>
      <c r="B332" t="s">
        <v>58</v>
      </c>
      <c r="D332" t="s">
        <v>555</v>
      </c>
      <c r="E332" t="s">
        <v>2</v>
      </c>
      <c r="F332">
        <v>269308</v>
      </c>
      <c r="G332" s="1" t="s">
        <v>1673</v>
      </c>
      <c r="H332">
        <v>25009240</v>
      </c>
      <c r="J332" t="s">
        <v>106</v>
      </c>
      <c r="K332" s="17">
        <v>7473735015103</v>
      </c>
      <c r="L332" s="17"/>
      <c r="M332" s="9">
        <v>546.44000000000005</v>
      </c>
      <c r="N332" t="s">
        <v>43</v>
      </c>
      <c r="Q332" s="2"/>
      <c r="R332" s="9"/>
      <c r="S332" t="s">
        <v>87</v>
      </c>
      <c r="U332" s="2"/>
      <c r="V332" s="9"/>
      <c r="X332" t="s">
        <v>88</v>
      </c>
      <c r="Y332" s="2" t="s">
        <v>717</v>
      </c>
      <c r="Z332" s="2" t="s">
        <v>718</v>
      </c>
      <c r="AA332" s="9" t="s">
        <v>715</v>
      </c>
      <c r="AC332" s="2"/>
      <c r="AD332" t="s">
        <v>7</v>
      </c>
    </row>
    <row r="333" spans="1:31" x14ac:dyDescent="0.3">
      <c r="A333" s="17">
        <v>90739624000118</v>
      </c>
      <c r="B333" t="s">
        <v>73</v>
      </c>
      <c r="C333">
        <v>25981</v>
      </c>
      <c r="D333" t="s">
        <v>311</v>
      </c>
      <c r="E333" t="s">
        <v>17</v>
      </c>
      <c r="F333">
        <v>269308</v>
      </c>
      <c r="G333" s="1" t="s">
        <v>1675</v>
      </c>
      <c r="H333">
        <v>25009081</v>
      </c>
      <c r="J333" t="s">
        <v>384</v>
      </c>
      <c r="K333" s="17">
        <v>7473735003520</v>
      </c>
      <c r="L333" s="17"/>
      <c r="M333" s="9">
        <v>26.4</v>
      </c>
      <c r="N333" t="s">
        <v>43</v>
      </c>
      <c r="Q333" s="2"/>
      <c r="R333" s="9"/>
      <c r="S333" t="s">
        <v>87</v>
      </c>
      <c r="U333" s="2"/>
      <c r="V333" s="9"/>
      <c r="X333" t="s">
        <v>88</v>
      </c>
      <c r="Y333" s="2" t="s">
        <v>717</v>
      </c>
      <c r="Z333" s="2" t="s">
        <v>718</v>
      </c>
      <c r="AA333" s="9" t="s">
        <v>715</v>
      </c>
      <c r="AC333" s="2"/>
      <c r="AD333" t="s">
        <v>7</v>
      </c>
    </row>
    <row r="334" spans="1:31" x14ac:dyDescent="0.3">
      <c r="A334" s="17">
        <v>90739624000118</v>
      </c>
      <c r="B334" t="s">
        <v>40</v>
      </c>
      <c r="C334">
        <v>23397</v>
      </c>
      <c r="D334" t="s">
        <v>227</v>
      </c>
      <c r="E334" t="s">
        <v>2</v>
      </c>
      <c r="F334">
        <v>269308</v>
      </c>
      <c r="G334" s="1" t="s">
        <v>1677</v>
      </c>
      <c r="H334">
        <v>25009077</v>
      </c>
      <c r="I334">
        <v>168572</v>
      </c>
      <c r="J334" t="s">
        <v>42</v>
      </c>
      <c r="K334" s="17">
        <v>82156977000248</v>
      </c>
      <c r="L334" s="17">
        <v>90739624001432</v>
      </c>
      <c r="M334" s="9">
        <v>283.92</v>
      </c>
      <c r="N334" t="s">
        <v>43</v>
      </c>
      <c r="Q334" s="2"/>
      <c r="R334" s="9"/>
      <c r="S334" t="s">
        <v>44</v>
      </c>
      <c r="T334" t="s">
        <v>45</v>
      </c>
      <c r="U334" s="2" t="s">
        <v>581</v>
      </c>
      <c r="V334" s="9" t="s">
        <v>1678</v>
      </c>
      <c r="W334">
        <v>4.2260882156977001E+43</v>
      </c>
      <c r="X334" t="s">
        <v>46</v>
      </c>
      <c r="Y334" s="2" t="s">
        <v>717</v>
      </c>
      <c r="Z334" s="2" t="s">
        <v>718</v>
      </c>
      <c r="AA334" s="9" t="s">
        <v>715</v>
      </c>
      <c r="AC334" s="2"/>
      <c r="AD334" t="s">
        <v>7</v>
      </c>
      <c r="AE334" t="s">
        <v>1679</v>
      </c>
    </row>
    <row r="335" spans="1:31" x14ac:dyDescent="0.3">
      <c r="A335" s="17">
        <v>90739624000118</v>
      </c>
      <c r="B335" t="s">
        <v>73</v>
      </c>
      <c r="C335">
        <v>25981</v>
      </c>
      <c r="D335" t="s">
        <v>311</v>
      </c>
      <c r="E335" t="s">
        <v>2</v>
      </c>
      <c r="F335">
        <v>269308</v>
      </c>
      <c r="G335" s="1" t="s">
        <v>1680</v>
      </c>
      <c r="H335">
        <v>25009042</v>
      </c>
      <c r="J335" t="s">
        <v>384</v>
      </c>
      <c r="K335" s="17">
        <v>7473735003520</v>
      </c>
      <c r="L335" s="17"/>
      <c r="M335" s="9">
        <v>250.06</v>
      </c>
      <c r="N335" t="s">
        <v>43</v>
      </c>
      <c r="Q335" s="2"/>
      <c r="R335" s="9"/>
      <c r="S335" t="s">
        <v>87</v>
      </c>
      <c r="U335" s="2"/>
      <c r="V335" s="9"/>
      <c r="X335" t="s">
        <v>88</v>
      </c>
      <c r="Y335" s="2" t="s">
        <v>717</v>
      </c>
      <c r="Z335" s="2" t="s">
        <v>718</v>
      </c>
      <c r="AA335" s="9" t="s">
        <v>715</v>
      </c>
      <c r="AC335" s="2"/>
      <c r="AD335" t="s">
        <v>7</v>
      </c>
    </row>
    <row r="336" spans="1:31" x14ac:dyDescent="0.3">
      <c r="A336" s="17">
        <v>90739624000118</v>
      </c>
      <c r="B336" t="s">
        <v>61</v>
      </c>
      <c r="C336">
        <v>18633</v>
      </c>
      <c r="D336" t="s">
        <v>304</v>
      </c>
      <c r="E336" t="s">
        <v>2</v>
      </c>
      <c r="F336">
        <v>269308</v>
      </c>
      <c r="G336" s="1" t="s">
        <v>1682</v>
      </c>
      <c r="H336">
        <v>25009027</v>
      </c>
      <c r="J336" t="s">
        <v>79</v>
      </c>
      <c r="K336" s="17">
        <v>7473735000777</v>
      </c>
      <c r="L336" s="17"/>
      <c r="M336" s="9">
        <v>668.71</v>
      </c>
      <c r="N336" t="s">
        <v>43</v>
      </c>
      <c r="Q336" s="2"/>
      <c r="R336" s="9"/>
      <c r="S336" t="s">
        <v>87</v>
      </c>
      <c r="U336" s="2"/>
      <c r="V336" s="9"/>
      <c r="X336" t="s">
        <v>88</v>
      </c>
      <c r="Y336" s="2" t="s">
        <v>717</v>
      </c>
      <c r="Z336" s="2" t="s">
        <v>718</v>
      </c>
      <c r="AA336" s="9" t="s">
        <v>715</v>
      </c>
      <c r="AC336" s="2"/>
      <c r="AD336" t="s">
        <v>7</v>
      </c>
    </row>
    <row r="337" spans="1:31" x14ac:dyDescent="0.3">
      <c r="A337" s="17">
        <v>90739624000118</v>
      </c>
      <c r="B337" t="s">
        <v>70</v>
      </c>
      <c r="C337">
        <v>23458</v>
      </c>
      <c r="D337" t="s">
        <v>71</v>
      </c>
      <c r="E337" t="s">
        <v>17</v>
      </c>
      <c r="F337">
        <v>269308</v>
      </c>
      <c r="G337" s="1" t="s">
        <v>1684</v>
      </c>
      <c r="H337">
        <v>25009007</v>
      </c>
      <c r="I337">
        <v>257320</v>
      </c>
      <c r="J337" t="s">
        <v>72</v>
      </c>
      <c r="K337" s="17">
        <v>79964177000168</v>
      </c>
      <c r="L337" s="17">
        <v>9576274000106</v>
      </c>
      <c r="M337" s="9">
        <v>2.99</v>
      </c>
      <c r="N337" t="s">
        <v>43</v>
      </c>
      <c r="Q337" s="2"/>
      <c r="R337" s="9"/>
      <c r="S337" t="s">
        <v>44</v>
      </c>
      <c r="T337" t="s">
        <v>45</v>
      </c>
      <c r="U337" s="2" t="s">
        <v>581</v>
      </c>
      <c r="V337" s="9" t="s">
        <v>1685</v>
      </c>
      <c r="W337">
        <v>4.1260879964176998E+43</v>
      </c>
      <c r="X337" t="s">
        <v>46</v>
      </c>
      <c r="Y337" s="2" t="s">
        <v>717</v>
      </c>
      <c r="Z337" s="2" t="s">
        <v>718</v>
      </c>
      <c r="AA337" s="9" t="s">
        <v>715</v>
      </c>
      <c r="AC337" s="2"/>
      <c r="AD337" t="s">
        <v>7</v>
      </c>
      <c r="AE337" t="s">
        <v>1686</v>
      </c>
    </row>
    <row r="338" spans="1:31" x14ac:dyDescent="0.3">
      <c r="A338" s="17">
        <v>90739624000118</v>
      </c>
      <c r="B338" t="s">
        <v>70</v>
      </c>
      <c r="C338">
        <v>23458</v>
      </c>
      <c r="D338" t="s">
        <v>71</v>
      </c>
      <c r="E338" t="s">
        <v>2</v>
      </c>
      <c r="F338">
        <v>269308</v>
      </c>
      <c r="G338" s="1" t="s">
        <v>1687</v>
      </c>
      <c r="H338">
        <v>25008991</v>
      </c>
      <c r="I338">
        <v>257319</v>
      </c>
      <c r="J338" t="s">
        <v>72</v>
      </c>
      <c r="K338" s="17">
        <v>79964177000168</v>
      </c>
      <c r="L338" s="17">
        <v>9576274000106</v>
      </c>
      <c r="M338" s="9">
        <v>392.87</v>
      </c>
      <c r="N338" t="s">
        <v>43</v>
      </c>
      <c r="Q338" s="2"/>
      <c r="R338" s="9"/>
      <c r="S338" t="s">
        <v>44</v>
      </c>
      <c r="T338" t="s">
        <v>45</v>
      </c>
      <c r="U338" s="2" t="s">
        <v>581</v>
      </c>
      <c r="V338" s="9" t="s">
        <v>1688</v>
      </c>
      <c r="W338">
        <v>4.1260879964176998E+43</v>
      </c>
      <c r="X338" t="s">
        <v>46</v>
      </c>
      <c r="Y338" s="2" t="s">
        <v>717</v>
      </c>
      <c r="Z338" s="2" t="s">
        <v>718</v>
      </c>
      <c r="AA338" s="9" t="s">
        <v>715</v>
      </c>
      <c r="AC338" s="2"/>
      <c r="AD338" t="s">
        <v>7</v>
      </c>
      <c r="AE338" t="s">
        <v>1689</v>
      </c>
    </row>
    <row r="339" spans="1:31" x14ac:dyDescent="0.3">
      <c r="A339" s="17">
        <v>90739624000118</v>
      </c>
      <c r="B339" t="s">
        <v>126</v>
      </c>
      <c r="D339" t="s">
        <v>1690</v>
      </c>
      <c r="E339" t="s">
        <v>2</v>
      </c>
      <c r="F339">
        <v>269308</v>
      </c>
      <c r="G339" s="1" t="s">
        <v>1691</v>
      </c>
      <c r="H339">
        <v>25008986</v>
      </c>
      <c r="I339">
        <v>28956</v>
      </c>
      <c r="J339" t="s">
        <v>127</v>
      </c>
      <c r="K339" s="17">
        <v>76493295000147</v>
      </c>
      <c r="L339" s="17">
        <v>9576274000106</v>
      </c>
      <c r="M339" s="9">
        <v>252.99</v>
      </c>
      <c r="N339" t="s">
        <v>43</v>
      </c>
      <c r="Q339" s="2"/>
      <c r="R339" s="9"/>
      <c r="S339" t="s">
        <v>44</v>
      </c>
      <c r="T339" t="s">
        <v>45</v>
      </c>
      <c r="U339" s="2" t="s">
        <v>581</v>
      </c>
      <c r="V339" s="9" t="s">
        <v>1692</v>
      </c>
      <c r="W339">
        <v>4.1260876493295002E+43</v>
      </c>
      <c r="X339" t="s">
        <v>46</v>
      </c>
      <c r="Y339" s="2" t="s">
        <v>717</v>
      </c>
      <c r="Z339" s="2" t="s">
        <v>718</v>
      </c>
      <c r="AA339" s="9" t="s">
        <v>715</v>
      </c>
      <c r="AC339" s="2"/>
      <c r="AD339" t="s">
        <v>7</v>
      </c>
      <c r="AE339" t="s">
        <v>1693</v>
      </c>
    </row>
    <row r="340" spans="1:31" x14ac:dyDescent="0.3">
      <c r="A340" s="17">
        <v>90739624000118</v>
      </c>
      <c r="B340" t="s">
        <v>8</v>
      </c>
      <c r="C340">
        <v>22460</v>
      </c>
      <c r="D340" t="s">
        <v>154</v>
      </c>
      <c r="E340" t="s">
        <v>2</v>
      </c>
      <c r="F340">
        <v>269308</v>
      </c>
      <c r="G340" s="1" t="s">
        <v>1694</v>
      </c>
      <c r="H340">
        <v>25008981</v>
      </c>
      <c r="I340">
        <v>8636</v>
      </c>
      <c r="J340" t="s">
        <v>144</v>
      </c>
      <c r="K340" s="17">
        <v>37607755000169</v>
      </c>
      <c r="L340" s="17">
        <v>9576274000106</v>
      </c>
      <c r="M340" s="9">
        <v>174.44</v>
      </c>
      <c r="N340" t="s">
        <v>43</v>
      </c>
      <c r="Q340" s="2"/>
      <c r="R340" s="9"/>
      <c r="S340" t="s">
        <v>44</v>
      </c>
      <c r="T340" t="s">
        <v>45</v>
      </c>
      <c r="U340" s="2" t="s">
        <v>581</v>
      </c>
      <c r="V340" s="9" t="s">
        <v>1695</v>
      </c>
      <c r="W340">
        <v>4.1260837607755001E+43</v>
      </c>
      <c r="X340" t="s">
        <v>46</v>
      </c>
      <c r="Y340" s="2" t="s">
        <v>717</v>
      </c>
      <c r="Z340" s="2" t="s">
        <v>718</v>
      </c>
      <c r="AA340" s="9" t="s">
        <v>715</v>
      </c>
      <c r="AC340" s="2"/>
      <c r="AD340" t="s">
        <v>7</v>
      </c>
      <c r="AE340" t="s">
        <v>1696</v>
      </c>
    </row>
    <row r="341" spans="1:31" x14ac:dyDescent="0.3">
      <c r="A341" s="17">
        <v>90739624000118</v>
      </c>
      <c r="B341" t="s">
        <v>13</v>
      </c>
      <c r="C341">
        <v>22498</v>
      </c>
      <c r="D341" t="s">
        <v>662</v>
      </c>
      <c r="E341" t="s">
        <v>2</v>
      </c>
      <c r="F341">
        <v>269308</v>
      </c>
      <c r="G341" s="1" t="s">
        <v>1697</v>
      </c>
      <c r="H341">
        <v>25008973</v>
      </c>
      <c r="J341" t="s">
        <v>15</v>
      </c>
      <c r="K341" s="17">
        <v>30432373000100</v>
      </c>
      <c r="L341" s="17"/>
      <c r="M341" s="9">
        <v>434.88</v>
      </c>
      <c r="N341" t="s">
        <v>43</v>
      </c>
      <c r="Q341" s="2"/>
      <c r="R341" s="9"/>
      <c r="S341" t="s">
        <v>87</v>
      </c>
      <c r="U341" s="2"/>
      <c r="V341" s="9"/>
      <c r="X341" t="s">
        <v>88</v>
      </c>
      <c r="Y341" s="2" t="s">
        <v>717</v>
      </c>
      <c r="Z341" s="2" t="s">
        <v>718</v>
      </c>
      <c r="AA341" s="9" t="s">
        <v>715</v>
      </c>
      <c r="AC341" s="2"/>
      <c r="AD341" t="s">
        <v>7</v>
      </c>
    </row>
    <row r="342" spans="1:31" x14ac:dyDescent="0.3">
      <c r="A342" s="17">
        <v>90739624000118</v>
      </c>
      <c r="B342" t="s">
        <v>61</v>
      </c>
      <c r="D342" t="s">
        <v>383</v>
      </c>
      <c r="E342" t="s">
        <v>2</v>
      </c>
      <c r="F342">
        <v>269308</v>
      </c>
      <c r="G342" s="1" t="s">
        <v>1699</v>
      </c>
      <c r="H342">
        <v>25008865</v>
      </c>
      <c r="I342">
        <v>2527</v>
      </c>
      <c r="J342" t="s">
        <v>85</v>
      </c>
      <c r="K342" s="17">
        <v>1975878000105</v>
      </c>
      <c r="L342" s="17">
        <v>9576274000106</v>
      </c>
      <c r="M342" s="9">
        <v>184.86</v>
      </c>
      <c r="N342" t="s">
        <v>43</v>
      </c>
      <c r="Q342" s="2"/>
      <c r="R342" s="9"/>
      <c r="S342" t="s">
        <v>44</v>
      </c>
      <c r="T342" t="s">
        <v>45</v>
      </c>
      <c r="U342" s="2" t="s">
        <v>581</v>
      </c>
      <c r="V342" s="9" t="s">
        <v>1700</v>
      </c>
      <c r="W342">
        <v>4.1260801975878E+43</v>
      </c>
      <c r="X342" t="s">
        <v>46</v>
      </c>
      <c r="Y342" s="2" t="s">
        <v>717</v>
      </c>
      <c r="Z342" s="2" t="s">
        <v>718</v>
      </c>
      <c r="AA342" s="9" t="s">
        <v>715</v>
      </c>
      <c r="AC342" s="2"/>
      <c r="AD342" t="s">
        <v>7</v>
      </c>
      <c r="AE342" t="s">
        <v>1701</v>
      </c>
    </row>
    <row r="343" spans="1:31" x14ac:dyDescent="0.3">
      <c r="A343" s="17">
        <v>90739624000118</v>
      </c>
      <c r="B343" t="s">
        <v>52</v>
      </c>
      <c r="D343" t="s">
        <v>934</v>
      </c>
      <c r="E343" t="s">
        <v>2</v>
      </c>
      <c r="F343">
        <v>269308</v>
      </c>
      <c r="G343" s="1" t="s">
        <v>1702</v>
      </c>
      <c r="H343">
        <v>25008850</v>
      </c>
      <c r="I343">
        <v>41059</v>
      </c>
      <c r="J343" t="s">
        <v>545</v>
      </c>
      <c r="K343" s="17">
        <v>30429333000282</v>
      </c>
      <c r="L343" s="17">
        <v>9576274000106</v>
      </c>
      <c r="M343" s="9">
        <v>49.88</v>
      </c>
      <c r="N343" t="s">
        <v>43</v>
      </c>
      <c r="Q343" s="2"/>
      <c r="R343" s="9"/>
      <c r="S343" t="s">
        <v>44</v>
      </c>
      <c r="T343" t="s">
        <v>45</v>
      </c>
      <c r="U343" s="2" t="s">
        <v>581</v>
      </c>
      <c r="V343" s="9" t="s">
        <v>1703</v>
      </c>
      <c r="W343">
        <v>4.1260830429333002E+43</v>
      </c>
      <c r="X343" t="s">
        <v>46</v>
      </c>
      <c r="Y343" s="2" t="s">
        <v>717</v>
      </c>
      <c r="Z343" s="2" t="s">
        <v>718</v>
      </c>
      <c r="AA343" s="9" t="s">
        <v>715</v>
      </c>
      <c r="AC343" s="2"/>
      <c r="AD343" t="s">
        <v>7</v>
      </c>
      <c r="AE343" t="s">
        <v>1704</v>
      </c>
    </row>
    <row r="344" spans="1:31" x14ac:dyDescent="0.3">
      <c r="A344" s="17">
        <v>90739624000118</v>
      </c>
      <c r="B344" t="s">
        <v>73</v>
      </c>
      <c r="D344" t="s">
        <v>74</v>
      </c>
      <c r="E344" t="s">
        <v>2</v>
      </c>
      <c r="F344">
        <v>269308</v>
      </c>
      <c r="G344" s="1" t="s">
        <v>1705</v>
      </c>
      <c r="H344">
        <v>25008733</v>
      </c>
      <c r="J344" t="s">
        <v>633</v>
      </c>
      <c r="K344" s="17">
        <v>7473735003369</v>
      </c>
      <c r="L344" s="17"/>
      <c r="M344" s="9">
        <v>202.51</v>
      </c>
      <c r="N344" t="s">
        <v>43</v>
      </c>
      <c r="Q344" s="2"/>
      <c r="R344" s="9"/>
      <c r="S344" t="s">
        <v>87</v>
      </c>
      <c r="U344" s="2"/>
      <c r="V344" s="9"/>
      <c r="X344" t="s">
        <v>88</v>
      </c>
      <c r="Y344" s="2" t="s">
        <v>717</v>
      </c>
      <c r="Z344" s="2" t="s">
        <v>718</v>
      </c>
      <c r="AA344" s="9" t="s">
        <v>715</v>
      </c>
      <c r="AC344" s="2"/>
      <c r="AD344" t="s">
        <v>7</v>
      </c>
    </row>
    <row r="345" spans="1:31" x14ac:dyDescent="0.3">
      <c r="A345" s="17">
        <v>90739624000118</v>
      </c>
      <c r="B345" t="s">
        <v>70</v>
      </c>
      <c r="C345">
        <v>22342</v>
      </c>
      <c r="D345" t="s">
        <v>260</v>
      </c>
      <c r="E345" t="s">
        <v>2</v>
      </c>
      <c r="F345">
        <v>269308</v>
      </c>
      <c r="G345" s="1" t="s">
        <v>1707</v>
      </c>
      <c r="H345">
        <v>25008547</v>
      </c>
      <c r="I345">
        <v>257314</v>
      </c>
      <c r="J345" t="s">
        <v>72</v>
      </c>
      <c r="K345" s="17">
        <v>79964177000168</v>
      </c>
      <c r="L345" s="17">
        <v>9576274000106</v>
      </c>
      <c r="M345" s="9">
        <v>183.84</v>
      </c>
      <c r="N345" t="s">
        <v>43</v>
      </c>
      <c r="Q345" s="2"/>
      <c r="R345" s="9"/>
      <c r="S345" t="s">
        <v>44</v>
      </c>
      <c r="T345" t="s">
        <v>45</v>
      </c>
      <c r="U345" s="2" t="s">
        <v>581</v>
      </c>
      <c r="V345" s="9" t="s">
        <v>1708</v>
      </c>
      <c r="W345">
        <v>4.1260879964176998E+43</v>
      </c>
      <c r="X345" t="s">
        <v>46</v>
      </c>
      <c r="Y345" s="2" t="s">
        <v>717</v>
      </c>
      <c r="Z345" s="2" t="s">
        <v>718</v>
      </c>
      <c r="AA345" s="9" t="s">
        <v>715</v>
      </c>
      <c r="AC345" s="2"/>
      <c r="AD345" t="s">
        <v>7</v>
      </c>
      <c r="AE345" t="s">
        <v>1709</v>
      </c>
    </row>
    <row r="346" spans="1:31" x14ac:dyDescent="0.3">
      <c r="A346" s="17">
        <v>90739624000118</v>
      </c>
      <c r="B346" t="s">
        <v>120</v>
      </c>
      <c r="C346">
        <v>23835</v>
      </c>
      <c r="D346" t="s">
        <v>156</v>
      </c>
      <c r="E346" t="s">
        <v>2</v>
      </c>
      <c r="F346">
        <v>269308</v>
      </c>
      <c r="G346" s="1" t="s">
        <v>1710</v>
      </c>
      <c r="H346">
        <v>25008537</v>
      </c>
      <c r="I346">
        <v>38250</v>
      </c>
      <c r="J346" t="s">
        <v>157</v>
      </c>
      <c r="K346" s="17">
        <v>78253424000155</v>
      </c>
      <c r="L346" s="17">
        <v>90739624001432</v>
      </c>
      <c r="M346" s="9">
        <v>295.45999999999998</v>
      </c>
      <c r="N346" t="s">
        <v>43</v>
      </c>
      <c r="Q346" s="2"/>
      <c r="R346" s="9"/>
      <c r="S346" t="s">
        <v>44</v>
      </c>
      <c r="T346" t="s">
        <v>45</v>
      </c>
      <c r="U346" s="2" t="s">
        <v>581</v>
      </c>
      <c r="V346" s="9" t="s">
        <v>1711</v>
      </c>
      <c r="W346">
        <v>4.2260878253423998E+43</v>
      </c>
      <c r="X346" t="s">
        <v>46</v>
      </c>
      <c r="Y346" s="2" t="s">
        <v>717</v>
      </c>
      <c r="Z346" s="2" t="s">
        <v>718</v>
      </c>
      <c r="AA346" s="9" t="s">
        <v>715</v>
      </c>
      <c r="AC346" s="2"/>
      <c r="AD346" t="s">
        <v>7</v>
      </c>
      <c r="AE346" t="s">
        <v>1712</v>
      </c>
    </row>
    <row r="347" spans="1:31" x14ac:dyDescent="0.3">
      <c r="A347" s="17">
        <v>90739624000118</v>
      </c>
      <c r="B347" t="s">
        <v>126</v>
      </c>
      <c r="D347" t="s">
        <v>1713</v>
      </c>
      <c r="E347" t="s">
        <v>2</v>
      </c>
      <c r="F347">
        <v>269308</v>
      </c>
      <c r="G347" s="1" t="s">
        <v>1714</v>
      </c>
      <c r="H347">
        <v>25008534</v>
      </c>
      <c r="I347">
        <v>28952</v>
      </c>
      <c r="J347" t="s">
        <v>127</v>
      </c>
      <c r="K347" s="17">
        <v>76493295000147</v>
      </c>
      <c r="L347" s="17">
        <v>9576274000106</v>
      </c>
      <c r="M347" s="9">
        <v>273.26</v>
      </c>
      <c r="N347" t="s">
        <v>43</v>
      </c>
      <c r="Q347" s="2"/>
      <c r="R347" s="9"/>
      <c r="S347" t="s">
        <v>44</v>
      </c>
      <c r="T347" t="s">
        <v>45</v>
      </c>
      <c r="U347" s="2" t="s">
        <v>581</v>
      </c>
      <c r="V347" s="9" t="s">
        <v>1715</v>
      </c>
      <c r="W347">
        <v>4.1260876493295002E+43</v>
      </c>
      <c r="X347" t="s">
        <v>46</v>
      </c>
      <c r="Y347" s="2" t="s">
        <v>717</v>
      </c>
      <c r="Z347" s="2" t="s">
        <v>718</v>
      </c>
      <c r="AA347" s="9" t="s">
        <v>715</v>
      </c>
      <c r="AC347" s="2"/>
      <c r="AD347" t="s">
        <v>7</v>
      </c>
      <c r="AE347" t="s">
        <v>1716</v>
      </c>
    </row>
    <row r="348" spans="1:31" x14ac:dyDescent="0.3">
      <c r="A348" s="17">
        <v>90739624000118</v>
      </c>
      <c r="B348" t="s">
        <v>73</v>
      </c>
      <c r="D348" t="s">
        <v>159</v>
      </c>
      <c r="E348" t="s">
        <v>2</v>
      </c>
      <c r="F348">
        <v>269308</v>
      </c>
      <c r="G348" s="1" t="s">
        <v>1717</v>
      </c>
      <c r="H348">
        <v>25008395</v>
      </c>
      <c r="J348" t="s">
        <v>75</v>
      </c>
      <c r="K348" s="17">
        <v>7473735000858</v>
      </c>
      <c r="L348" s="17"/>
      <c r="M348" s="9">
        <v>192.05</v>
      </c>
      <c r="N348" t="s">
        <v>43</v>
      </c>
      <c r="Q348" s="2"/>
      <c r="R348" s="9"/>
      <c r="S348" t="s">
        <v>87</v>
      </c>
      <c r="U348" s="2"/>
      <c r="V348" s="9"/>
      <c r="X348" t="s">
        <v>88</v>
      </c>
      <c r="Y348" s="2" t="s">
        <v>717</v>
      </c>
      <c r="Z348" s="2" t="s">
        <v>718</v>
      </c>
      <c r="AA348" s="9" t="s">
        <v>715</v>
      </c>
      <c r="AC348" s="2"/>
      <c r="AD348" t="s">
        <v>7</v>
      </c>
    </row>
    <row r="349" spans="1:31" x14ac:dyDescent="0.3">
      <c r="A349" s="17">
        <v>90739624000118</v>
      </c>
      <c r="B349" t="s">
        <v>61</v>
      </c>
      <c r="C349">
        <v>20491</v>
      </c>
      <c r="D349" t="s">
        <v>194</v>
      </c>
      <c r="E349" t="s">
        <v>2</v>
      </c>
      <c r="F349">
        <v>269308</v>
      </c>
      <c r="G349" s="1" t="s">
        <v>1719</v>
      </c>
      <c r="H349">
        <v>25008343</v>
      </c>
      <c r="I349">
        <v>820580</v>
      </c>
      <c r="J349" t="s">
        <v>62</v>
      </c>
      <c r="K349" s="17">
        <v>79964177000591</v>
      </c>
      <c r="L349" s="17">
        <v>9576274000106</v>
      </c>
      <c r="M349" s="9">
        <v>1642.9</v>
      </c>
      <c r="N349" t="s">
        <v>43</v>
      </c>
      <c r="Q349" s="2"/>
      <c r="R349" s="9"/>
      <c r="S349" t="s">
        <v>44</v>
      </c>
      <c r="T349" t="s">
        <v>45</v>
      </c>
      <c r="U349" s="2" t="s">
        <v>581</v>
      </c>
      <c r="V349" s="9" t="s">
        <v>1720</v>
      </c>
      <c r="W349">
        <v>4.1260879964176998E+43</v>
      </c>
      <c r="X349" t="s">
        <v>46</v>
      </c>
      <c r="Y349" s="2" t="s">
        <v>717</v>
      </c>
      <c r="Z349" s="2" t="s">
        <v>718</v>
      </c>
      <c r="AA349" s="9" t="s">
        <v>715</v>
      </c>
      <c r="AC349" s="2"/>
      <c r="AD349" t="s">
        <v>7</v>
      </c>
      <c r="AE349" t="s">
        <v>1721</v>
      </c>
    </row>
    <row r="350" spans="1:31" x14ac:dyDescent="0.3">
      <c r="A350" s="17">
        <v>90739624000118</v>
      </c>
      <c r="B350" t="s">
        <v>40</v>
      </c>
      <c r="D350" t="s">
        <v>124</v>
      </c>
      <c r="E350" t="s">
        <v>2</v>
      </c>
      <c r="F350">
        <v>269308</v>
      </c>
      <c r="G350" s="1" t="s">
        <v>1722</v>
      </c>
      <c r="H350">
        <v>25008312</v>
      </c>
      <c r="I350">
        <v>168560</v>
      </c>
      <c r="J350" t="s">
        <v>42</v>
      </c>
      <c r="K350" s="17">
        <v>82156977000248</v>
      </c>
      <c r="L350" s="17">
        <v>90739624001432</v>
      </c>
      <c r="M350" s="9">
        <v>357.35</v>
      </c>
      <c r="N350" t="s">
        <v>43</v>
      </c>
      <c r="Q350" s="2"/>
      <c r="R350" s="9"/>
      <c r="S350" t="s">
        <v>44</v>
      </c>
      <c r="T350" t="s">
        <v>45</v>
      </c>
      <c r="U350" s="2" t="s">
        <v>581</v>
      </c>
      <c r="V350" s="9" t="s">
        <v>1723</v>
      </c>
      <c r="W350">
        <v>4.2260882156977001E+43</v>
      </c>
      <c r="X350" t="s">
        <v>46</v>
      </c>
      <c r="Y350" s="2" t="s">
        <v>717</v>
      </c>
      <c r="Z350" s="2" t="s">
        <v>718</v>
      </c>
      <c r="AA350" s="9" t="s">
        <v>715</v>
      </c>
      <c r="AC350" s="2"/>
      <c r="AD350" t="s">
        <v>7</v>
      </c>
      <c r="AE350" t="s">
        <v>1724</v>
      </c>
    </row>
    <row r="351" spans="1:31" x14ac:dyDescent="0.3">
      <c r="A351" s="17">
        <v>90739624000118</v>
      </c>
      <c r="B351" t="s">
        <v>49</v>
      </c>
      <c r="C351">
        <v>23846</v>
      </c>
      <c r="D351" t="s">
        <v>597</v>
      </c>
      <c r="E351" t="s">
        <v>2</v>
      </c>
      <c r="F351">
        <v>269308</v>
      </c>
      <c r="G351" s="1" t="s">
        <v>1725</v>
      </c>
      <c r="H351">
        <v>25008106</v>
      </c>
      <c r="I351">
        <v>163094</v>
      </c>
      <c r="J351" t="s">
        <v>51</v>
      </c>
      <c r="K351" s="17">
        <v>2763612000161</v>
      </c>
      <c r="L351" s="17">
        <v>90739624003133</v>
      </c>
      <c r="M351" s="9">
        <v>185.7</v>
      </c>
      <c r="N351" t="s">
        <v>43</v>
      </c>
      <c r="Q351" s="2"/>
      <c r="R351" s="9"/>
      <c r="S351" t="s">
        <v>44</v>
      </c>
      <c r="T351" t="s">
        <v>45</v>
      </c>
      <c r="U351" s="2" t="s">
        <v>581</v>
      </c>
      <c r="V351" s="9" t="s">
        <v>1631</v>
      </c>
      <c r="W351">
        <v>4.1260802763612002E+43</v>
      </c>
      <c r="X351" t="s">
        <v>46</v>
      </c>
      <c r="Y351" s="2" t="s">
        <v>717</v>
      </c>
      <c r="Z351" s="2" t="s">
        <v>718</v>
      </c>
      <c r="AA351" s="9" t="s">
        <v>715</v>
      </c>
      <c r="AC351" s="2"/>
      <c r="AD351" t="s">
        <v>7</v>
      </c>
      <c r="AE351" t="s">
        <v>1726</v>
      </c>
    </row>
    <row r="352" spans="1:31" x14ac:dyDescent="0.3">
      <c r="A352" s="17">
        <v>90739624000118</v>
      </c>
      <c r="B352" t="s">
        <v>170</v>
      </c>
      <c r="D352" t="s">
        <v>628</v>
      </c>
      <c r="E352" t="s">
        <v>2</v>
      </c>
      <c r="F352">
        <v>269308</v>
      </c>
      <c r="G352" s="1" t="s">
        <v>1727</v>
      </c>
      <c r="H352">
        <v>25007946</v>
      </c>
      <c r="I352">
        <v>129827</v>
      </c>
      <c r="J352" t="s">
        <v>178</v>
      </c>
      <c r="K352" s="17">
        <v>83392050000199</v>
      </c>
      <c r="L352" s="17">
        <v>90739624001432</v>
      </c>
      <c r="M352" s="9">
        <v>553.01</v>
      </c>
      <c r="N352" t="s">
        <v>43</v>
      </c>
      <c r="Q352" s="2"/>
      <c r="R352" s="9"/>
      <c r="S352" t="s">
        <v>44</v>
      </c>
      <c r="T352" t="s">
        <v>45</v>
      </c>
      <c r="U352" s="2" t="s">
        <v>581</v>
      </c>
      <c r="V352" s="9" t="s">
        <v>1728</v>
      </c>
      <c r="W352">
        <v>4.2260883392050001E+43</v>
      </c>
      <c r="X352" t="s">
        <v>46</v>
      </c>
      <c r="Y352" s="2" t="s">
        <v>717</v>
      </c>
      <c r="Z352" s="2" t="s">
        <v>718</v>
      </c>
      <c r="AA352" s="9" t="s">
        <v>715</v>
      </c>
      <c r="AC352" s="2"/>
      <c r="AD352" t="s">
        <v>7</v>
      </c>
      <c r="AE352" t="s">
        <v>1729</v>
      </c>
    </row>
    <row r="353" spans="1:31" x14ac:dyDescent="0.3">
      <c r="A353" s="17">
        <v>90739624000118</v>
      </c>
      <c r="B353" t="s">
        <v>25</v>
      </c>
      <c r="D353" t="s">
        <v>265</v>
      </c>
      <c r="E353" t="s">
        <v>2</v>
      </c>
      <c r="F353">
        <v>269308</v>
      </c>
      <c r="G353" s="1" t="s">
        <v>1730</v>
      </c>
      <c r="H353">
        <v>25007921</v>
      </c>
      <c r="I353">
        <v>34006</v>
      </c>
      <c r="J353" t="s">
        <v>132</v>
      </c>
      <c r="K353" s="17">
        <v>10588554000105</v>
      </c>
      <c r="L353" s="17">
        <v>90739624003486</v>
      </c>
      <c r="M353" s="9">
        <v>146.33000000000001</v>
      </c>
      <c r="N353" t="s">
        <v>43</v>
      </c>
      <c r="Q353" s="2"/>
      <c r="R353" s="9"/>
      <c r="S353" t="s">
        <v>44</v>
      </c>
      <c r="T353" t="s">
        <v>45</v>
      </c>
      <c r="U353" s="2" t="s">
        <v>581</v>
      </c>
      <c r="V353" s="9" t="s">
        <v>1731</v>
      </c>
      <c r="W353">
        <v>5.1260810588554005E+43</v>
      </c>
      <c r="X353" t="s">
        <v>46</v>
      </c>
      <c r="Y353" s="2" t="s">
        <v>717</v>
      </c>
      <c r="Z353" s="2" t="s">
        <v>718</v>
      </c>
      <c r="AA353" s="9" t="s">
        <v>715</v>
      </c>
      <c r="AC353" s="2"/>
      <c r="AD353" t="s">
        <v>7</v>
      </c>
      <c r="AE353" t="s">
        <v>1732</v>
      </c>
    </row>
    <row r="354" spans="1:31" x14ac:dyDescent="0.3">
      <c r="A354" s="17">
        <v>90739624000118</v>
      </c>
      <c r="B354" t="s">
        <v>22</v>
      </c>
      <c r="D354" t="s">
        <v>23</v>
      </c>
      <c r="E354" t="s">
        <v>2</v>
      </c>
      <c r="F354">
        <v>269308</v>
      </c>
      <c r="G354" s="1" t="s">
        <v>1733</v>
      </c>
      <c r="H354">
        <v>25007899</v>
      </c>
      <c r="I354">
        <v>39533</v>
      </c>
      <c r="J354" t="s">
        <v>1734</v>
      </c>
      <c r="K354" s="17">
        <v>6124016000516</v>
      </c>
      <c r="L354" s="17">
        <v>9576274000106</v>
      </c>
      <c r="M354" s="9">
        <v>1875.93</v>
      </c>
      <c r="N354" t="s">
        <v>43</v>
      </c>
      <c r="Q354" s="2"/>
      <c r="R354" s="9"/>
      <c r="S354" t="s">
        <v>44</v>
      </c>
      <c r="T354" t="s">
        <v>45</v>
      </c>
      <c r="U354" s="2" t="s">
        <v>581</v>
      </c>
      <c r="V354" s="9" t="s">
        <v>1735</v>
      </c>
      <c r="W354">
        <v>4.1260806124016001E+43</v>
      </c>
      <c r="X354" t="s">
        <v>46</v>
      </c>
      <c r="Y354" s="2" t="s">
        <v>717</v>
      </c>
      <c r="Z354" s="2" t="s">
        <v>718</v>
      </c>
      <c r="AA354" s="9" t="s">
        <v>715</v>
      </c>
      <c r="AC354" s="2"/>
      <c r="AD354" t="s">
        <v>7</v>
      </c>
      <c r="AE354" t="s">
        <v>1736</v>
      </c>
    </row>
    <row r="355" spans="1:31" x14ac:dyDescent="0.3">
      <c r="A355" s="17">
        <v>90739624000118</v>
      </c>
      <c r="B355" t="s">
        <v>31</v>
      </c>
      <c r="D355" t="s">
        <v>55</v>
      </c>
      <c r="E355" t="s">
        <v>2</v>
      </c>
      <c r="F355">
        <v>269308</v>
      </c>
      <c r="G355" s="1" t="s">
        <v>1737</v>
      </c>
      <c r="H355">
        <v>25007870</v>
      </c>
      <c r="I355">
        <v>54844</v>
      </c>
      <c r="J355" t="s">
        <v>56</v>
      </c>
      <c r="K355" s="17">
        <v>8603562000212</v>
      </c>
      <c r="L355" s="17">
        <v>90739624001866</v>
      </c>
      <c r="M355" s="9">
        <v>140.44</v>
      </c>
      <c r="N355" t="s">
        <v>43</v>
      </c>
      <c r="Q355" s="2"/>
      <c r="R355" s="9"/>
      <c r="S355" t="s">
        <v>44</v>
      </c>
      <c r="T355" t="s">
        <v>45</v>
      </c>
      <c r="U355" s="2" t="s">
        <v>581</v>
      </c>
      <c r="V355" s="9" t="s">
        <v>1738</v>
      </c>
      <c r="W355">
        <v>5.1260808603562005E+43</v>
      </c>
      <c r="X355" t="s">
        <v>46</v>
      </c>
      <c r="Y355" s="2" t="s">
        <v>717</v>
      </c>
      <c r="Z355" s="2" t="s">
        <v>718</v>
      </c>
      <c r="AA355" s="9" t="s">
        <v>715</v>
      </c>
      <c r="AC355" s="2"/>
      <c r="AD355" t="s">
        <v>7</v>
      </c>
      <c r="AE355" t="s">
        <v>1739</v>
      </c>
    </row>
    <row r="356" spans="1:31" x14ac:dyDescent="0.3">
      <c r="A356" s="17">
        <v>90739624000118</v>
      </c>
      <c r="B356" t="s">
        <v>31</v>
      </c>
      <c r="C356">
        <v>22137</v>
      </c>
      <c r="D356" t="s">
        <v>544</v>
      </c>
      <c r="E356" t="s">
        <v>2</v>
      </c>
      <c r="F356">
        <v>269308</v>
      </c>
      <c r="G356" s="1" t="s">
        <v>1740</v>
      </c>
      <c r="H356">
        <v>25007720</v>
      </c>
      <c r="I356">
        <v>54842</v>
      </c>
      <c r="J356" t="s">
        <v>56</v>
      </c>
      <c r="K356" s="17">
        <v>8603562000212</v>
      </c>
      <c r="L356" s="17">
        <v>90739624001866</v>
      </c>
      <c r="M356" s="9">
        <v>93.66</v>
      </c>
      <c r="N356" t="s">
        <v>43</v>
      </c>
      <c r="Q356" s="2"/>
      <c r="R356" s="9"/>
      <c r="S356" t="s">
        <v>44</v>
      </c>
      <c r="T356" t="s">
        <v>45</v>
      </c>
      <c r="U356" s="2" t="s">
        <v>581</v>
      </c>
      <c r="V356" s="9" t="s">
        <v>1741</v>
      </c>
      <c r="W356">
        <v>5.1260808603562005E+43</v>
      </c>
      <c r="X356" t="s">
        <v>46</v>
      </c>
      <c r="Y356" s="2" t="s">
        <v>717</v>
      </c>
      <c r="Z356" s="2" t="s">
        <v>718</v>
      </c>
      <c r="AA356" s="9" t="s">
        <v>715</v>
      </c>
      <c r="AC356" s="2"/>
      <c r="AD356" t="s">
        <v>7</v>
      </c>
      <c r="AE356" t="s">
        <v>1742</v>
      </c>
    </row>
    <row r="357" spans="1:31" x14ac:dyDescent="0.3">
      <c r="A357" s="17">
        <v>90739624000118</v>
      </c>
      <c r="B357" t="s">
        <v>170</v>
      </c>
      <c r="D357" t="s">
        <v>476</v>
      </c>
      <c r="E357" t="s">
        <v>2</v>
      </c>
      <c r="F357">
        <v>269308</v>
      </c>
      <c r="G357" s="1" t="s">
        <v>1743</v>
      </c>
      <c r="H357">
        <v>25007717</v>
      </c>
      <c r="I357">
        <v>129823</v>
      </c>
      <c r="J357" t="s">
        <v>178</v>
      </c>
      <c r="K357" s="17">
        <v>83392050000199</v>
      </c>
      <c r="L357" s="17">
        <v>90739624001432</v>
      </c>
      <c r="M357" s="9">
        <v>122.69</v>
      </c>
      <c r="N357" t="s">
        <v>43</v>
      </c>
      <c r="Q357" s="2"/>
      <c r="R357" s="9"/>
      <c r="S357" t="s">
        <v>44</v>
      </c>
      <c r="T357" t="s">
        <v>45</v>
      </c>
      <c r="U357" s="2" t="s">
        <v>581</v>
      </c>
      <c r="V357" s="9" t="s">
        <v>1744</v>
      </c>
      <c r="W357">
        <v>4.2260883392050001E+43</v>
      </c>
      <c r="X357" t="s">
        <v>46</v>
      </c>
      <c r="Y357" s="2" t="s">
        <v>717</v>
      </c>
      <c r="Z357" s="2" t="s">
        <v>718</v>
      </c>
      <c r="AA357" s="9" t="s">
        <v>715</v>
      </c>
      <c r="AC357" s="2"/>
      <c r="AD357" t="s">
        <v>7</v>
      </c>
      <c r="AE357" t="s">
        <v>1745</v>
      </c>
    </row>
    <row r="358" spans="1:31" x14ac:dyDescent="0.3">
      <c r="A358" s="17">
        <v>90739624000118</v>
      </c>
      <c r="B358" t="s">
        <v>63</v>
      </c>
      <c r="D358" t="s">
        <v>276</v>
      </c>
      <c r="E358" t="s">
        <v>2</v>
      </c>
      <c r="F358">
        <v>269308</v>
      </c>
      <c r="G358" s="1" t="s">
        <v>1746</v>
      </c>
      <c r="H358">
        <v>25007715</v>
      </c>
      <c r="I358">
        <v>179382</v>
      </c>
      <c r="J358" t="s">
        <v>64</v>
      </c>
      <c r="K358" s="17">
        <v>23448964001921</v>
      </c>
      <c r="L358" s="17">
        <v>90739624001432</v>
      </c>
      <c r="M358" s="9">
        <v>187.03</v>
      </c>
      <c r="N358" t="s">
        <v>43</v>
      </c>
      <c r="Q358" s="2"/>
      <c r="R358" s="9"/>
      <c r="S358" t="s">
        <v>44</v>
      </c>
      <c r="T358" t="s">
        <v>45</v>
      </c>
      <c r="U358" s="2" t="s">
        <v>581</v>
      </c>
      <c r="V358" s="9" t="s">
        <v>1747</v>
      </c>
      <c r="W358">
        <v>4.2260823448963998E+43</v>
      </c>
      <c r="X358" t="s">
        <v>46</v>
      </c>
      <c r="Y358" s="2" t="s">
        <v>717</v>
      </c>
      <c r="Z358" s="2" t="s">
        <v>718</v>
      </c>
      <c r="AA358" s="9" t="s">
        <v>715</v>
      </c>
      <c r="AC358" s="2"/>
      <c r="AD358" t="s">
        <v>7</v>
      </c>
      <c r="AE358" t="s">
        <v>1748</v>
      </c>
    </row>
    <row r="359" spans="1:31" x14ac:dyDescent="0.3">
      <c r="A359" s="17">
        <v>90739624000118</v>
      </c>
      <c r="B359" t="s">
        <v>61</v>
      </c>
      <c r="C359">
        <v>22467</v>
      </c>
      <c r="D359" t="s">
        <v>173</v>
      </c>
      <c r="E359" t="s">
        <v>2</v>
      </c>
      <c r="F359">
        <v>269308</v>
      </c>
      <c r="G359" s="1" t="s">
        <v>1749</v>
      </c>
      <c r="H359">
        <v>25007712</v>
      </c>
      <c r="I359">
        <v>2526</v>
      </c>
      <c r="J359" t="s">
        <v>85</v>
      </c>
      <c r="K359" s="17">
        <v>1975878000105</v>
      </c>
      <c r="L359" s="17">
        <v>9576274000106</v>
      </c>
      <c r="M359" s="9">
        <v>141.01</v>
      </c>
      <c r="N359" t="s">
        <v>43</v>
      </c>
      <c r="Q359" s="2"/>
      <c r="R359" s="9"/>
      <c r="S359" t="s">
        <v>44</v>
      </c>
      <c r="T359" t="s">
        <v>45</v>
      </c>
      <c r="U359" s="2" t="s">
        <v>581</v>
      </c>
      <c r="V359" s="9" t="s">
        <v>1750</v>
      </c>
      <c r="W359">
        <v>4.1260801975878E+43</v>
      </c>
      <c r="X359" t="s">
        <v>46</v>
      </c>
      <c r="Y359" s="2" t="s">
        <v>717</v>
      </c>
      <c r="Z359" s="2" t="s">
        <v>718</v>
      </c>
      <c r="AA359" s="9" t="s">
        <v>715</v>
      </c>
      <c r="AC359" s="2"/>
      <c r="AD359" t="s">
        <v>7</v>
      </c>
      <c r="AE359" t="s">
        <v>1751</v>
      </c>
    </row>
    <row r="360" spans="1:31" x14ac:dyDescent="0.3">
      <c r="A360" s="17">
        <v>90739624000118</v>
      </c>
      <c r="B360" t="s">
        <v>28</v>
      </c>
      <c r="C360">
        <v>22462</v>
      </c>
      <c r="D360" t="s">
        <v>547</v>
      </c>
      <c r="E360" t="s">
        <v>2</v>
      </c>
      <c r="F360">
        <v>269308</v>
      </c>
      <c r="G360" s="1" t="s">
        <v>1752</v>
      </c>
      <c r="H360">
        <v>25007708</v>
      </c>
      <c r="I360">
        <v>81346</v>
      </c>
      <c r="J360" t="s">
        <v>48</v>
      </c>
      <c r="K360" s="17">
        <v>1272434001002</v>
      </c>
      <c r="L360" s="17">
        <v>90739624001947</v>
      </c>
      <c r="M360" s="9">
        <v>319.61</v>
      </c>
      <c r="N360" t="s">
        <v>43</v>
      </c>
      <c r="Q360" s="2"/>
      <c r="R360" s="9"/>
      <c r="S360" t="s">
        <v>44</v>
      </c>
      <c r="T360" t="s">
        <v>45</v>
      </c>
      <c r="U360" s="2" t="s">
        <v>581</v>
      </c>
      <c r="V360" s="9" t="s">
        <v>1753</v>
      </c>
      <c r="W360">
        <v>5.2260801272433996E+43</v>
      </c>
      <c r="X360" t="s">
        <v>46</v>
      </c>
      <c r="Y360" s="2" t="s">
        <v>717</v>
      </c>
      <c r="Z360" s="2" t="s">
        <v>718</v>
      </c>
      <c r="AA360" s="9" t="s">
        <v>715</v>
      </c>
      <c r="AC360" s="2"/>
      <c r="AD360" t="s">
        <v>7</v>
      </c>
      <c r="AE360" t="s">
        <v>1754</v>
      </c>
    </row>
    <row r="361" spans="1:31" x14ac:dyDescent="0.3">
      <c r="A361" s="17">
        <v>90739624000118</v>
      </c>
      <c r="B361" t="s">
        <v>99</v>
      </c>
      <c r="C361">
        <v>22479</v>
      </c>
      <c r="D361" t="s">
        <v>114</v>
      </c>
      <c r="E361" t="s">
        <v>2</v>
      </c>
      <c r="F361">
        <v>269308</v>
      </c>
      <c r="G361" s="1" t="s">
        <v>1755</v>
      </c>
      <c r="H361">
        <v>25007595</v>
      </c>
      <c r="I361">
        <v>50570</v>
      </c>
      <c r="J361" t="s">
        <v>507</v>
      </c>
      <c r="K361" s="17">
        <v>3626094001330</v>
      </c>
      <c r="L361" s="17">
        <v>9576274000106</v>
      </c>
      <c r="M361" s="9">
        <v>151.05000000000001</v>
      </c>
      <c r="N361" t="s">
        <v>43</v>
      </c>
      <c r="Q361" s="2"/>
      <c r="R361" s="9"/>
      <c r="S361" t="s">
        <v>44</v>
      </c>
      <c r="T361" t="s">
        <v>45</v>
      </c>
      <c r="U361" s="2" t="s">
        <v>581</v>
      </c>
      <c r="V361" s="9" t="s">
        <v>1756</v>
      </c>
      <c r="W361">
        <v>4.1260803626093998E+43</v>
      </c>
      <c r="X361" t="s">
        <v>46</v>
      </c>
      <c r="Y361" s="2" t="s">
        <v>717</v>
      </c>
      <c r="Z361" s="2" t="s">
        <v>718</v>
      </c>
      <c r="AA361" s="9" t="s">
        <v>715</v>
      </c>
      <c r="AC361" s="2"/>
      <c r="AD361" t="s">
        <v>7</v>
      </c>
      <c r="AE361" t="s">
        <v>1757</v>
      </c>
    </row>
    <row r="362" spans="1:31" x14ac:dyDescent="0.3">
      <c r="A362" s="17">
        <v>90739624000118</v>
      </c>
      <c r="B362" t="s">
        <v>40</v>
      </c>
      <c r="D362" t="s">
        <v>246</v>
      </c>
      <c r="E362" t="s">
        <v>2</v>
      </c>
      <c r="F362">
        <v>269308</v>
      </c>
      <c r="G362" s="1" t="s">
        <v>1758</v>
      </c>
      <c r="H362">
        <v>25007504</v>
      </c>
      <c r="I362">
        <v>169168</v>
      </c>
      <c r="J362" t="s">
        <v>42</v>
      </c>
      <c r="K362" s="17">
        <v>82156977000248</v>
      </c>
      <c r="L362" s="17">
        <v>90739624001432</v>
      </c>
      <c r="M362" s="9">
        <v>481.12</v>
      </c>
      <c r="N362" t="s">
        <v>43</v>
      </c>
      <c r="Q362" s="2"/>
      <c r="R362" s="9"/>
      <c r="S362" t="s">
        <v>44</v>
      </c>
      <c r="T362" t="s">
        <v>45</v>
      </c>
      <c r="U362" s="2" t="s">
        <v>1760</v>
      </c>
      <c r="V362" s="9" t="s">
        <v>1759</v>
      </c>
      <c r="W362">
        <v>4.2260882156977001E+43</v>
      </c>
      <c r="X362" t="s">
        <v>46</v>
      </c>
      <c r="Y362" s="2" t="s">
        <v>717</v>
      </c>
      <c r="Z362" s="2" t="s">
        <v>718</v>
      </c>
      <c r="AA362" s="9" t="s">
        <v>715</v>
      </c>
      <c r="AC362" s="2"/>
      <c r="AD362" t="s">
        <v>7</v>
      </c>
      <c r="AE362" t="s">
        <v>1761</v>
      </c>
    </row>
    <row r="363" spans="1:31" x14ac:dyDescent="0.3">
      <c r="A363" s="17">
        <v>90739624000118</v>
      </c>
      <c r="B363" t="s">
        <v>58</v>
      </c>
      <c r="C363">
        <v>22224</v>
      </c>
      <c r="D363" t="s">
        <v>372</v>
      </c>
      <c r="E363" t="s">
        <v>2</v>
      </c>
      <c r="F363">
        <v>269308</v>
      </c>
      <c r="G363" s="1" t="s">
        <v>1762</v>
      </c>
      <c r="H363">
        <v>25007398</v>
      </c>
      <c r="J363" t="s">
        <v>629</v>
      </c>
      <c r="K363" s="17">
        <v>7473735021260</v>
      </c>
      <c r="L363" s="17"/>
      <c r="M363" s="9">
        <v>207.6</v>
      </c>
      <c r="N363" t="s">
        <v>43</v>
      </c>
      <c r="Q363" s="2"/>
      <c r="R363" s="9"/>
      <c r="S363" t="s">
        <v>87</v>
      </c>
      <c r="U363" s="2"/>
      <c r="V363" s="9"/>
      <c r="X363" t="s">
        <v>88</v>
      </c>
      <c r="Y363" s="2" t="s">
        <v>717</v>
      </c>
      <c r="Z363" s="2" t="s">
        <v>718</v>
      </c>
      <c r="AA363" s="9" t="s">
        <v>715</v>
      </c>
      <c r="AC363" s="2"/>
      <c r="AD363" t="s">
        <v>7</v>
      </c>
    </row>
    <row r="364" spans="1:31" x14ac:dyDescent="0.3">
      <c r="A364" s="17">
        <v>90739624000118</v>
      </c>
      <c r="B364" t="s">
        <v>8</v>
      </c>
      <c r="C364">
        <v>21139</v>
      </c>
      <c r="D364" t="s">
        <v>251</v>
      </c>
      <c r="E364" t="s">
        <v>2</v>
      </c>
      <c r="F364">
        <v>269308</v>
      </c>
      <c r="G364" s="1" t="s">
        <v>1764</v>
      </c>
      <c r="H364">
        <v>25007391</v>
      </c>
      <c r="I364">
        <v>839167</v>
      </c>
      <c r="J364" t="s">
        <v>333</v>
      </c>
      <c r="K364" s="17">
        <v>2764141000106</v>
      </c>
      <c r="L364" s="17">
        <v>9576274000106</v>
      </c>
      <c r="M364" s="9">
        <v>356.14</v>
      </c>
      <c r="N364" t="s">
        <v>43</v>
      </c>
      <c r="Q364" s="2"/>
      <c r="R364" s="9"/>
      <c r="S364" t="s">
        <v>44</v>
      </c>
      <c r="T364" t="s">
        <v>45</v>
      </c>
      <c r="U364" s="2" t="s">
        <v>583</v>
      </c>
      <c r="V364" s="9" t="s">
        <v>1765</v>
      </c>
      <c r="W364">
        <v>4.1260802764140999E+43</v>
      </c>
      <c r="X364" t="s">
        <v>46</v>
      </c>
      <c r="Y364" s="2" t="s">
        <v>717</v>
      </c>
      <c r="Z364" s="2" t="s">
        <v>718</v>
      </c>
      <c r="AA364" s="9" t="s">
        <v>715</v>
      </c>
      <c r="AC364" s="2"/>
      <c r="AD364" t="s">
        <v>7</v>
      </c>
      <c r="AE364" t="s">
        <v>1766</v>
      </c>
    </row>
    <row r="365" spans="1:31" x14ac:dyDescent="0.3">
      <c r="A365" s="17">
        <v>90739624000118</v>
      </c>
      <c r="B365" t="s">
        <v>73</v>
      </c>
      <c r="C365">
        <v>25129</v>
      </c>
      <c r="D365" t="s">
        <v>148</v>
      </c>
      <c r="E365" t="s">
        <v>17</v>
      </c>
      <c r="F365">
        <v>269308</v>
      </c>
      <c r="G365" s="1" t="s">
        <v>1767</v>
      </c>
      <c r="H365">
        <v>25007243</v>
      </c>
      <c r="J365" t="s">
        <v>1768</v>
      </c>
      <c r="K365" s="17">
        <v>7473735024528</v>
      </c>
      <c r="L365" s="17"/>
      <c r="M365" s="9">
        <v>118.39</v>
      </c>
      <c r="N365" t="s">
        <v>43</v>
      </c>
      <c r="Q365" s="2"/>
      <c r="R365" s="9"/>
      <c r="S365" t="s">
        <v>87</v>
      </c>
      <c r="U365" s="2"/>
      <c r="V365" s="9"/>
      <c r="X365" t="s">
        <v>88</v>
      </c>
      <c r="Y365" s="2" t="s">
        <v>717</v>
      </c>
      <c r="Z365" s="2" t="s">
        <v>718</v>
      </c>
      <c r="AA365" s="9" t="s">
        <v>715</v>
      </c>
      <c r="AC365" s="2"/>
      <c r="AD365" t="s">
        <v>7</v>
      </c>
    </row>
    <row r="366" spans="1:31" x14ac:dyDescent="0.3">
      <c r="A366" s="17">
        <v>90739624000118</v>
      </c>
      <c r="B366" t="s">
        <v>18</v>
      </c>
      <c r="D366" t="s">
        <v>19</v>
      </c>
      <c r="E366" t="s">
        <v>2</v>
      </c>
      <c r="F366">
        <v>269308</v>
      </c>
      <c r="G366" s="1" t="s">
        <v>1770</v>
      </c>
      <c r="H366">
        <v>25007237</v>
      </c>
      <c r="I366">
        <v>16833</v>
      </c>
      <c r="J366" t="s">
        <v>54</v>
      </c>
      <c r="K366" s="17">
        <v>79130647000198</v>
      </c>
      <c r="L366" s="17">
        <v>9576274000106</v>
      </c>
      <c r="M366" s="9">
        <v>241.49</v>
      </c>
      <c r="N366" t="s">
        <v>43</v>
      </c>
      <c r="Q366" s="2"/>
      <c r="R366" s="9"/>
      <c r="S366" t="s">
        <v>44</v>
      </c>
      <c r="T366" t="s">
        <v>45</v>
      </c>
      <c r="U366" s="2" t="s">
        <v>581</v>
      </c>
      <c r="V366" s="9" t="s">
        <v>1088</v>
      </c>
      <c r="W366">
        <v>4.1260879130646998E+43</v>
      </c>
      <c r="X366" t="s">
        <v>46</v>
      </c>
      <c r="Y366" s="2" t="s">
        <v>717</v>
      </c>
      <c r="Z366" s="2" t="s">
        <v>718</v>
      </c>
      <c r="AA366" s="9" t="s">
        <v>715</v>
      </c>
      <c r="AC366" s="2"/>
      <c r="AD366" t="s">
        <v>7</v>
      </c>
      <c r="AE366" t="s">
        <v>1771</v>
      </c>
    </row>
    <row r="367" spans="1:31" x14ac:dyDescent="0.3">
      <c r="A367" s="17">
        <v>90739624000118</v>
      </c>
      <c r="B367" t="s">
        <v>100</v>
      </c>
      <c r="C367">
        <v>23634</v>
      </c>
      <c r="D367" t="s">
        <v>509</v>
      </c>
      <c r="E367" t="s">
        <v>2</v>
      </c>
      <c r="F367">
        <v>269308</v>
      </c>
      <c r="G367" s="1" t="s">
        <v>1772</v>
      </c>
      <c r="H367">
        <v>25007235</v>
      </c>
      <c r="I367">
        <v>154913</v>
      </c>
      <c r="J367" t="s">
        <v>241</v>
      </c>
      <c r="K367" s="17">
        <v>14948822000103</v>
      </c>
      <c r="L367" s="17">
        <v>90739624001866</v>
      </c>
      <c r="M367" s="9">
        <v>513</v>
      </c>
      <c r="N367" t="s">
        <v>43</v>
      </c>
      <c r="Q367" s="2"/>
      <c r="R367" s="9"/>
      <c r="S367" t="s">
        <v>44</v>
      </c>
      <c r="T367" t="s">
        <v>45</v>
      </c>
      <c r="U367" s="2" t="s">
        <v>581</v>
      </c>
      <c r="V367" s="9" t="s">
        <v>1773</v>
      </c>
      <c r="W367">
        <v>5.1260814948822004E+43</v>
      </c>
      <c r="X367" t="s">
        <v>46</v>
      </c>
      <c r="Y367" s="2" t="s">
        <v>717</v>
      </c>
      <c r="Z367" s="2" t="s">
        <v>718</v>
      </c>
      <c r="AA367" s="9" t="s">
        <v>715</v>
      </c>
      <c r="AC367" s="2"/>
      <c r="AD367" t="s">
        <v>7</v>
      </c>
      <c r="AE367" t="s">
        <v>1774</v>
      </c>
    </row>
    <row r="368" spans="1:31" x14ac:dyDescent="0.3">
      <c r="A368" s="17">
        <v>90739624000118</v>
      </c>
      <c r="B368" t="s">
        <v>73</v>
      </c>
      <c r="C368">
        <v>25129</v>
      </c>
      <c r="D368" t="s">
        <v>148</v>
      </c>
      <c r="E368" t="s">
        <v>2</v>
      </c>
      <c r="F368">
        <v>269308</v>
      </c>
      <c r="G368" s="1" t="s">
        <v>1775</v>
      </c>
      <c r="H368">
        <v>25007210</v>
      </c>
      <c r="J368" t="s">
        <v>1768</v>
      </c>
      <c r="K368" s="17">
        <v>7473735024528</v>
      </c>
      <c r="L368" s="17"/>
      <c r="M368" s="9">
        <v>717.37</v>
      </c>
      <c r="N368" t="s">
        <v>43</v>
      </c>
      <c r="Q368" s="2"/>
      <c r="R368" s="9"/>
      <c r="S368" t="s">
        <v>87</v>
      </c>
      <c r="U368" s="2"/>
      <c r="V368" s="9"/>
      <c r="X368" t="s">
        <v>88</v>
      </c>
      <c r="Y368" s="2" t="s">
        <v>717</v>
      </c>
      <c r="Z368" s="2" t="s">
        <v>718</v>
      </c>
      <c r="AA368" s="9" t="s">
        <v>715</v>
      </c>
      <c r="AC368" s="2"/>
      <c r="AD368" t="s">
        <v>7</v>
      </c>
    </row>
    <row r="369" spans="1:31" x14ac:dyDescent="0.3">
      <c r="A369" s="17">
        <v>90739624000118</v>
      </c>
      <c r="B369" t="s">
        <v>28</v>
      </c>
      <c r="D369" t="s">
        <v>511</v>
      </c>
      <c r="E369" t="s">
        <v>2</v>
      </c>
      <c r="F369">
        <v>269308</v>
      </c>
      <c r="G369" s="1" t="s">
        <v>1777</v>
      </c>
      <c r="H369">
        <v>25007173</v>
      </c>
      <c r="I369">
        <v>9279</v>
      </c>
      <c r="J369" t="s">
        <v>339</v>
      </c>
      <c r="K369" s="17">
        <v>53741408000180</v>
      </c>
      <c r="L369" s="17">
        <v>90739624001947</v>
      </c>
      <c r="M369" s="9">
        <v>207.5</v>
      </c>
      <c r="N369" t="s">
        <v>43</v>
      </c>
      <c r="Q369" s="2"/>
      <c r="R369" s="9"/>
      <c r="S369" t="s">
        <v>44</v>
      </c>
      <c r="T369" t="s">
        <v>45</v>
      </c>
      <c r="U369" s="2" t="s">
        <v>581</v>
      </c>
      <c r="V369" s="9" t="s">
        <v>1779</v>
      </c>
      <c r="W369">
        <v>5.2260853741407999E+43</v>
      </c>
      <c r="X369" t="s">
        <v>46</v>
      </c>
      <c r="Y369" s="2" t="s">
        <v>717</v>
      </c>
      <c r="Z369" s="2" t="s">
        <v>718</v>
      </c>
      <c r="AA369" s="9" t="s">
        <v>715</v>
      </c>
      <c r="AC369" s="2"/>
      <c r="AD369" t="s">
        <v>7</v>
      </c>
      <c r="AE369" t="s">
        <v>1780</v>
      </c>
    </row>
    <row r="370" spans="1:31" x14ac:dyDescent="0.3">
      <c r="A370" s="17">
        <v>90739624000118</v>
      </c>
      <c r="B370" t="s">
        <v>13</v>
      </c>
      <c r="C370">
        <v>26010</v>
      </c>
      <c r="D370" t="s">
        <v>336</v>
      </c>
      <c r="E370" t="s">
        <v>17</v>
      </c>
      <c r="F370">
        <v>269308</v>
      </c>
      <c r="G370" s="1" t="s">
        <v>1781</v>
      </c>
      <c r="H370">
        <v>25007019</v>
      </c>
      <c r="I370">
        <v>264137</v>
      </c>
      <c r="J370" t="s">
        <v>337</v>
      </c>
      <c r="K370" s="17">
        <v>6068493000188</v>
      </c>
      <c r="L370" s="17">
        <v>90739624000380</v>
      </c>
      <c r="M370" s="9">
        <v>20.86</v>
      </c>
      <c r="N370" t="s">
        <v>43</v>
      </c>
      <c r="Q370" s="2"/>
      <c r="R370" s="9"/>
      <c r="S370" t="s">
        <v>44</v>
      </c>
      <c r="T370" t="s">
        <v>45</v>
      </c>
      <c r="U370" s="2" t="s">
        <v>602</v>
      </c>
      <c r="V370" s="9" t="s">
        <v>1783</v>
      </c>
      <c r="W370">
        <v>3.5260806068492999E+43</v>
      </c>
      <c r="X370" t="s">
        <v>46</v>
      </c>
      <c r="Y370" s="2" t="s">
        <v>717</v>
      </c>
      <c r="Z370" s="2" t="s">
        <v>718</v>
      </c>
      <c r="AA370" s="9" t="s">
        <v>715</v>
      </c>
      <c r="AC370" s="2"/>
      <c r="AD370" t="s">
        <v>7</v>
      </c>
      <c r="AE370" t="s">
        <v>1784</v>
      </c>
    </row>
    <row r="371" spans="1:31" x14ac:dyDescent="0.3">
      <c r="A371" s="17">
        <v>90739624000118</v>
      </c>
      <c r="B371" t="s">
        <v>13</v>
      </c>
      <c r="C371">
        <v>26010</v>
      </c>
      <c r="D371" t="s">
        <v>336</v>
      </c>
      <c r="E371" t="s">
        <v>2</v>
      </c>
      <c r="F371">
        <v>269308</v>
      </c>
      <c r="G371" s="1" t="s">
        <v>1785</v>
      </c>
      <c r="H371">
        <v>25007012</v>
      </c>
      <c r="I371">
        <v>264137</v>
      </c>
      <c r="J371" t="s">
        <v>337</v>
      </c>
      <c r="K371" s="17">
        <v>6068493000188</v>
      </c>
      <c r="L371" s="17">
        <v>90739624000380</v>
      </c>
      <c r="M371" s="9">
        <v>234.58</v>
      </c>
      <c r="N371" t="s">
        <v>43</v>
      </c>
      <c r="Q371" s="2"/>
      <c r="R371" s="9"/>
      <c r="S371" t="s">
        <v>44</v>
      </c>
      <c r="T371" t="s">
        <v>45</v>
      </c>
      <c r="U371" s="2" t="s">
        <v>602</v>
      </c>
      <c r="V371" s="9" t="s">
        <v>1783</v>
      </c>
      <c r="W371">
        <v>3.5260806068492999E+43</v>
      </c>
      <c r="X371" t="s">
        <v>46</v>
      </c>
      <c r="Y371" s="2" t="s">
        <v>717</v>
      </c>
      <c r="Z371" s="2" t="s">
        <v>718</v>
      </c>
      <c r="AA371" s="9" t="s">
        <v>715</v>
      </c>
      <c r="AC371" s="2"/>
      <c r="AD371" t="s">
        <v>7</v>
      </c>
      <c r="AE371" t="s">
        <v>1784</v>
      </c>
    </row>
    <row r="372" spans="1:31" x14ac:dyDescent="0.3">
      <c r="A372" s="17">
        <v>90739624000118</v>
      </c>
      <c r="B372" t="s">
        <v>28</v>
      </c>
      <c r="D372" t="s">
        <v>91</v>
      </c>
      <c r="E372" t="s">
        <v>2</v>
      </c>
      <c r="F372">
        <v>269308</v>
      </c>
      <c r="G372" s="1" t="s">
        <v>1787</v>
      </c>
      <c r="H372">
        <v>25006846</v>
      </c>
      <c r="I372">
        <v>53811</v>
      </c>
      <c r="J372" t="s">
        <v>92</v>
      </c>
      <c r="K372" s="17">
        <v>2310460000141</v>
      </c>
      <c r="L372" s="17">
        <v>90739624001947</v>
      </c>
      <c r="M372" s="9">
        <v>232.54</v>
      </c>
      <c r="N372" t="s">
        <v>43</v>
      </c>
      <c r="Q372" s="2"/>
      <c r="R372" s="9"/>
      <c r="S372" t="s">
        <v>44</v>
      </c>
      <c r="T372" t="s">
        <v>45</v>
      </c>
      <c r="U372" s="2" t="s">
        <v>581</v>
      </c>
      <c r="V372" s="9" t="s">
        <v>1788</v>
      </c>
      <c r="W372">
        <v>5.2260802310459999E+43</v>
      </c>
      <c r="X372" t="s">
        <v>46</v>
      </c>
      <c r="Y372" s="2" t="s">
        <v>717</v>
      </c>
      <c r="Z372" s="2" t="s">
        <v>718</v>
      </c>
      <c r="AA372" s="9" t="s">
        <v>715</v>
      </c>
      <c r="AC372" s="2"/>
      <c r="AD372" t="s">
        <v>7</v>
      </c>
      <c r="AE372" t="s">
        <v>1789</v>
      </c>
    </row>
    <row r="373" spans="1:31" x14ac:dyDescent="0.3">
      <c r="A373" s="17">
        <v>90739624000118</v>
      </c>
      <c r="B373" t="s">
        <v>174</v>
      </c>
      <c r="D373" t="s">
        <v>175</v>
      </c>
      <c r="E373" t="s">
        <v>2</v>
      </c>
      <c r="F373">
        <v>269308</v>
      </c>
      <c r="G373" s="1" t="s">
        <v>1790</v>
      </c>
      <c r="H373">
        <v>25006836</v>
      </c>
      <c r="I373">
        <v>5578</v>
      </c>
      <c r="J373" t="s">
        <v>268</v>
      </c>
      <c r="K373" s="17">
        <v>4985282000184</v>
      </c>
      <c r="L373" s="17">
        <v>90739624000118</v>
      </c>
      <c r="M373" s="9">
        <v>257.23</v>
      </c>
      <c r="N373" t="s">
        <v>43</v>
      </c>
      <c r="Q373" s="2"/>
      <c r="R373" s="9"/>
      <c r="S373" t="s">
        <v>44</v>
      </c>
      <c r="T373" t="s">
        <v>45</v>
      </c>
      <c r="U373" s="2" t="s">
        <v>581</v>
      </c>
      <c r="V373" s="9" t="s">
        <v>685</v>
      </c>
      <c r="W373">
        <v>1.7260804985282E+43</v>
      </c>
      <c r="X373" t="s">
        <v>46</v>
      </c>
      <c r="Y373" s="2" t="s">
        <v>717</v>
      </c>
      <c r="Z373" s="2" t="s">
        <v>718</v>
      </c>
      <c r="AA373" s="9" t="s">
        <v>715</v>
      </c>
      <c r="AC373" s="2"/>
      <c r="AD373" t="s">
        <v>7</v>
      </c>
      <c r="AE373" t="s">
        <v>1791</v>
      </c>
    </row>
    <row r="374" spans="1:31" x14ac:dyDescent="0.3">
      <c r="A374" s="17">
        <v>90739624000118</v>
      </c>
      <c r="B374" t="s">
        <v>170</v>
      </c>
      <c r="D374" t="s">
        <v>291</v>
      </c>
      <c r="E374" t="s">
        <v>2</v>
      </c>
      <c r="F374">
        <v>269308</v>
      </c>
      <c r="G374" s="1" t="s">
        <v>1792</v>
      </c>
      <c r="H374">
        <v>25006621</v>
      </c>
      <c r="J374" t="s">
        <v>492</v>
      </c>
      <c r="K374" s="17">
        <v>7473735004098</v>
      </c>
      <c r="L374" s="17"/>
      <c r="M374" s="9">
        <v>185.25</v>
      </c>
      <c r="N374" t="s">
        <v>43</v>
      </c>
      <c r="Q374" s="2"/>
      <c r="R374" s="9"/>
      <c r="S374" t="s">
        <v>87</v>
      </c>
      <c r="U374" s="2"/>
      <c r="V374" s="9"/>
      <c r="X374" t="s">
        <v>88</v>
      </c>
      <c r="Y374" s="2" t="s">
        <v>717</v>
      </c>
      <c r="Z374" s="2" t="s">
        <v>718</v>
      </c>
      <c r="AA374" s="9" t="s">
        <v>715</v>
      </c>
      <c r="AC374" s="2"/>
      <c r="AD374" t="s">
        <v>7</v>
      </c>
    </row>
    <row r="375" spans="1:31" x14ac:dyDescent="0.3">
      <c r="A375" s="17">
        <v>90739624000118</v>
      </c>
      <c r="B375" t="s">
        <v>28</v>
      </c>
      <c r="D375" t="s">
        <v>97</v>
      </c>
      <c r="E375" t="s">
        <v>2</v>
      </c>
      <c r="F375">
        <v>269308</v>
      </c>
      <c r="G375" s="1" t="s">
        <v>1794</v>
      </c>
      <c r="H375">
        <v>25006530</v>
      </c>
      <c r="I375">
        <v>42934</v>
      </c>
      <c r="J375" t="s">
        <v>98</v>
      </c>
      <c r="K375" s="17">
        <v>26914325000173</v>
      </c>
      <c r="L375" s="17">
        <v>90739624001947</v>
      </c>
      <c r="M375" s="9">
        <v>275.60000000000002</v>
      </c>
      <c r="N375" t="s">
        <v>43</v>
      </c>
      <c r="Q375" s="2"/>
      <c r="R375" s="9"/>
      <c r="S375" t="s">
        <v>44</v>
      </c>
      <c r="T375" t="s">
        <v>45</v>
      </c>
      <c r="U375" s="2" t="s">
        <v>792</v>
      </c>
      <c r="V375" s="9" t="s">
        <v>589</v>
      </c>
      <c r="W375">
        <v>5.2260826914325003E+43</v>
      </c>
      <c r="X375" t="s">
        <v>46</v>
      </c>
      <c r="Y375" s="2" t="s">
        <v>717</v>
      </c>
      <c r="Z375" s="2" t="s">
        <v>718</v>
      </c>
      <c r="AA375" s="9" t="s">
        <v>715</v>
      </c>
      <c r="AC375" s="2"/>
      <c r="AD375" t="s">
        <v>7</v>
      </c>
      <c r="AE375" t="s">
        <v>1795</v>
      </c>
    </row>
    <row r="376" spans="1:31" x14ac:dyDescent="0.3">
      <c r="A376" s="17">
        <v>90739624000118</v>
      </c>
      <c r="B376" t="s">
        <v>52</v>
      </c>
      <c r="C376">
        <v>21636</v>
      </c>
      <c r="D376" t="s">
        <v>326</v>
      </c>
      <c r="E376" t="s">
        <v>17</v>
      </c>
      <c r="F376">
        <v>269308</v>
      </c>
      <c r="G376" s="1" t="s">
        <v>1796</v>
      </c>
      <c r="H376">
        <v>25006509</v>
      </c>
      <c r="I376">
        <v>16832</v>
      </c>
      <c r="J376" t="s">
        <v>54</v>
      </c>
      <c r="K376" s="17">
        <v>79130647000198</v>
      </c>
      <c r="L376" s="17">
        <v>9576274000106</v>
      </c>
      <c r="M376" s="9">
        <v>19.34</v>
      </c>
      <c r="N376" t="s">
        <v>43</v>
      </c>
      <c r="Q376" s="2"/>
      <c r="R376" s="9"/>
      <c r="S376" t="s">
        <v>44</v>
      </c>
      <c r="T376" t="s">
        <v>45</v>
      </c>
      <c r="U376" s="2" t="s">
        <v>581</v>
      </c>
      <c r="V376" s="9" t="s">
        <v>1797</v>
      </c>
      <c r="W376">
        <v>4.1260879130646998E+43</v>
      </c>
      <c r="X376" t="s">
        <v>46</v>
      </c>
      <c r="Y376" s="2" t="s">
        <v>717</v>
      </c>
      <c r="Z376" s="2" t="s">
        <v>718</v>
      </c>
      <c r="AA376" s="9" t="s">
        <v>715</v>
      </c>
      <c r="AC376" s="2"/>
      <c r="AD376" t="s">
        <v>7</v>
      </c>
      <c r="AE376" t="s">
        <v>1798</v>
      </c>
    </row>
    <row r="377" spans="1:31" x14ac:dyDescent="0.3">
      <c r="A377" s="17">
        <v>90739624000118</v>
      </c>
      <c r="B377" t="s">
        <v>52</v>
      </c>
      <c r="C377">
        <v>21636</v>
      </c>
      <c r="D377" t="s">
        <v>326</v>
      </c>
      <c r="E377" t="s">
        <v>2</v>
      </c>
      <c r="F377">
        <v>269308</v>
      </c>
      <c r="G377" s="1" t="s">
        <v>1799</v>
      </c>
      <c r="H377">
        <v>25006390</v>
      </c>
      <c r="I377">
        <v>16831</v>
      </c>
      <c r="J377" t="s">
        <v>54</v>
      </c>
      <c r="K377" s="17">
        <v>79130647000198</v>
      </c>
      <c r="L377" s="17">
        <v>9576274000106</v>
      </c>
      <c r="M377" s="9">
        <v>210.66</v>
      </c>
      <c r="N377" t="s">
        <v>43</v>
      </c>
      <c r="Q377" s="2"/>
      <c r="R377" s="9"/>
      <c r="S377" t="s">
        <v>44</v>
      </c>
      <c r="T377" t="s">
        <v>45</v>
      </c>
      <c r="U377" s="2" t="s">
        <v>581</v>
      </c>
      <c r="V377" s="9" t="s">
        <v>1800</v>
      </c>
      <c r="W377">
        <v>4.1260879130646998E+43</v>
      </c>
      <c r="X377" t="s">
        <v>46</v>
      </c>
      <c r="Y377" s="2" t="s">
        <v>717</v>
      </c>
      <c r="Z377" s="2" t="s">
        <v>718</v>
      </c>
      <c r="AA377" s="9" t="s">
        <v>715</v>
      </c>
      <c r="AC377" s="2"/>
      <c r="AD377" t="s">
        <v>7</v>
      </c>
      <c r="AE377" t="s">
        <v>1801</v>
      </c>
    </row>
    <row r="378" spans="1:31" x14ac:dyDescent="0.3">
      <c r="A378" s="17">
        <v>90739624000118</v>
      </c>
      <c r="B378" t="s">
        <v>63</v>
      </c>
      <c r="D378" t="s">
        <v>104</v>
      </c>
      <c r="E378" t="s">
        <v>17</v>
      </c>
      <c r="F378">
        <v>269308</v>
      </c>
      <c r="G378" s="1" t="s">
        <v>1802</v>
      </c>
      <c r="H378">
        <v>25006199</v>
      </c>
      <c r="I378">
        <v>4432</v>
      </c>
      <c r="J378" t="s">
        <v>482</v>
      </c>
      <c r="K378" s="17">
        <v>93489243007471</v>
      </c>
      <c r="L378" s="17">
        <v>90739624002323</v>
      </c>
      <c r="M378" s="9">
        <v>49.86</v>
      </c>
      <c r="N378" t="s">
        <v>43</v>
      </c>
      <c r="Q378" s="2"/>
      <c r="R378" s="9"/>
      <c r="S378" t="s">
        <v>44</v>
      </c>
      <c r="T378" t="s">
        <v>45</v>
      </c>
      <c r="U378" s="2" t="s">
        <v>581</v>
      </c>
      <c r="V378" s="9" t="s">
        <v>1803</v>
      </c>
      <c r="W378">
        <v>4.3260893489242999E+43</v>
      </c>
      <c r="X378" t="s">
        <v>46</v>
      </c>
      <c r="Y378" s="2" t="s">
        <v>717</v>
      </c>
      <c r="Z378" s="2" t="s">
        <v>718</v>
      </c>
      <c r="AA378" s="9" t="s">
        <v>715</v>
      </c>
      <c r="AC378" s="2"/>
      <c r="AD378" t="s">
        <v>7</v>
      </c>
      <c r="AE378" t="s">
        <v>1804</v>
      </c>
    </row>
    <row r="379" spans="1:31" x14ac:dyDescent="0.3">
      <c r="A379" s="17">
        <v>90739624000118</v>
      </c>
      <c r="B379" t="s">
        <v>0</v>
      </c>
      <c r="C379">
        <v>24756</v>
      </c>
      <c r="D379" t="s">
        <v>271</v>
      </c>
      <c r="E379" t="s">
        <v>2</v>
      </c>
      <c r="F379">
        <v>269308</v>
      </c>
      <c r="G379" s="1" t="s">
        <v>1805</v>
      </c>
      <c r="H379">
        <v>25006080</v>
      </c>
      <c r="I379">
        <v>52872</v>
      </c>
      <c r="J379" t="s">
        <v>461</v>
      </c>
      <c r="K379" s="17">
        <v>1172040000183</v>
      </c>
      <c r="L379" s="17">
        <v>90739624001432</v>
      </c>
      <c r="M379" s="9">
        <v>275.87</v>
      </c>
      <c r="N379" t="s">
        <v>43</v>
      </c>
      <c r="Q379" s="2"/>
      <c r="R379" s="9"/>
      <c r="S379" t="s">
        <v>44</v>
      </c>
      <c r="T379" t="s">
        <v>45</v>
      </c>
      <c r="U379" s="2" t="s">
        <v>581</v>
      </c>
      <c r="V379" s="9" t="s">
        <v>1806</v>
      </c>
      <c r="W379">
        <v>4.2260801172040001E+43</v>
      </c>
      <c r="X379" t="s">
        <v>46</v>
      </c>
      <c r="Y379" s="2" t="s">
        <v>717</v>
      </c>
      <c r="Z379" s="2" t="s">
        <v>718</v>
      </c>
      <c r="AA379" s="9" t="s">
        <v>715</v>
      </c>
      <c r="AC379" s="2"/>
      <c r="AD379" t="s">
        <v>7</v>
      </c>
      <c r="AE379" t="s">
        <v>1807</v>
      </c>
    </row>
    <row r="380" spans="1:31" x14ac:dyDescent="0.3">
      <c r="A380" s="17">
        <v>90739624000118</v>
      </c>
      <c r="B380" t="s">
        <v>63</v>
      </c>
      <c r="D380" t="s">
        <v>104</v>
      </c>
      <c r="E380" t="s">
        <v>2</v>
      </c>
      <c r="F380">
        <v>269308</v>
      </c>
      <c r="G380" s="1" t="s">
        <v>1808</v>
      </c>
      <c r="H380">
        <v>25006071</v>
      </c>
      <c r="I380">
        <v>4431</v>
      </c>
      <c r="J380" t="s">
        <v>482</v>
      </c>
      <c r="K380" s="17">
        <v>93489243007471</v>
      </c>
      <c r="L380" s="17">
        <v>90739624002323</v>
      </c>
      <c r="M380" s="9">
        <v>1221.1199999999999</v>
      </c>
      <c r="N380" t="s">
        <v>43</v>
      </c>
      <c r="Q380" s="2"/>
      <c r="R380" s="9"/>
      <c r="S380" t="s">
        <v>44</v>
      </c>
      <c r="T380" t="s">
        <v>45</v>
      </c>
      <c r="U380" s="2" t="s">
        <v>581</v>
      </c>
      <c r="V380" s="9" t="s">
        <v>1809</v>
      </c>
      <c r="W380">
        <v>4.3260893489242999E+43</v>
      </c>
      <c r="X380" t="s">
        <v>46</v>
      </c>
      <c r="Y380" s="2" t="s">
        <v>717</v>
      </c>
      <c r="Z380" s="2" t="s">
        <v>718</v>
      </c>
      <c r="AA380" s="9" t="s">
        <v>715</v>
      </c>
      <c r="AC380" s="2"/>
      <c r="AD380" t="s">
        <v>7</v>
      </c>
      <c r="AE380" t="s">
        <v>1810</v>
      </c>
    </row>
    <row r="381" spans="1:31" x14ac:dyDescent="0.3">
      <c r="A381" s="17">
        <v>90739624000118</v>
      </c>
      <c r="B381" t="s">
        <v>99</v>
      </c>
      <c r="D381" t="s">
        <v>474</v>
      </c>
      <c r="E381" t="s">
        <v>2</v>
      </c>
      <c r="F381">
        <v>269308</v>
      </c>
      <c r="G381" s="1" t="s">
        <v>1811</v>
      </c>
      <c r="H381">
        <v>25006046</v>
      </c>
      <c r="I381">
        <v>50568</v>
      </c>
      <c r="J381" t="s">
        <v>507</v>
      </c>
      <c r="K381" s="17">
        <v>3626094001330</v>
      </c>
      <c r="L381" s="17">
        <v>9576274000106</v>
      </c>
      <c r="M381" s="9">
        <v>173.53</v>
      </c>
      <c r="N381" t="s">
        <v>43</v>
      </c>
      <c r="Q381" s="2"/>
      <c r="R381" s="9"/>
      <c r="S381" t="s">
        <v>44</v>
      </c>
      <c r="T381" t="s">
        <v>45</v>
      </c>
      <c r="U381" s="2" t="s">
        <v>581</v>
      </c>
      <c r="V381" s="9" t="s">
        <v>1812</v>
      </c>
      <c r="W381">
        <v>4.1260803626093998E+43</v>
      </c>
      <c r="X381" t="s">
        <v>46</v>
      </c>
      <c r="Y381" s="2" t="s">
        <v>717</v>
      </c>
      <c r="Z381" s="2" t="s">
        <v>718</v>
      </c>
      <c r="AA381" s="9" t="s">
        <v>715</v>
      </c>
      <c r="AC381" s="2"/>
      <c r="AD381" t="s">
        <v>7</v>
      </c>
      <c r="AE381" t="s">
        <v>1813</v>
      </c>
    </row>
    <row r="382" spans="1:31" x14ac:dyDescent="0.3">
      <c r="A382" s="17">
        <v>90739624000118</v>
      </c>
      <c r="B382" t="s">
        <v>61</v>
      </c>
      <c r="D382" t="s">
        <v>289</v>
      </c>
      <c r="E382" t="s">
        <v>2</v>
      </c>
      <c r="F382">
        <v>269308</v>
      </c>
      <c r="G382" s="1" t="s">
        <v>1814</v>
      </c>
      <c r="H382">
        <v>25005784</v>
      </c>
      <c r="I382">
        <v>820567</v>
      </c>
      <c r="J382" t="s">
        <v>62</v>
      </c>
      <c r="K382" s="17">
        <v>79964177000591</v>
      </c>
      <c r="L382" s="17">
        <v>9576274000106</v>
      </c>
      <c r="M382" s="9">
        <v>638.41999999999996</v>
      </c>
      <c r="N382" t="s">
        <v>43</v>
      </c>
      <c r="Q382" s="2"/>
      <c r="R382" s="9"/>
      <c r="S382" t="s">
        <v>44</v>
      </c>
      <c r="T382" t="s">
        <v>45</v>
      </c>
      <c r="U382" s="2" t="s">
        <v>581</v>
      </c>
      <c r="V382" s="9" t="s">
        <v>1816</v>
      </c>
      <c r="W382">
        <v>4.1260879964176998E+43</v>
      </c>
      <c r="X382" t="s">
        <v>46</v>
      </c>
      <c r="Y382" s="2" t="s">
        <v>717</v>
      </c>
      <c r="Z382" s="2" t="s">
        <v>718</v>
      </c>
      <c r="AA382" s="9" t="s">
        <v>715</v>
      </c>
      <c r="AC382" s="2"/>
      <c r="AD382" t="s">
        <v>7</v>
      </c>
      <c r="AE382" t="s">
        <v>1817</v>
      </c>
    </row>
    <row r="383" spans="1:31" x14ac:dyDescent="0.3">
      <c r="A383" s="17">
        <v>90739624000118</v>
      </c>
      <c r="B383" t="s">
        <v>100</v>
      </c>
      <c r="D383" t="s">
        <v>112</v>
      </c>
      <c r="E383" t="s">
        <v>2</v>
      </c>
      <c r="F383">
        <v>269308</v>
      </c>
      <c r="G383" s="1" t="s">
        <v>1818</v>
      </c>
      <c r="H383">
        <v>25005358</v>
      </c>
      <c r="J383" t="s">
        <v>113</v>
      </c>
      <c r="K383" s="17">
        <v>20499184000193</v>
      </c>
      <c r="L383" s="17"/>
      <c r="M383" s="9">
        <v>367.26</v>
      </c>
      <c r="N383" t="s">
        <v>43</v>
      </c>
      <c r="Q383" s="2"/>
      <c r="R383" s="9"/>
      <c r="S383" t="s">
        <v>87</v>
      </c>
      <c r="U383" s="2"/>
      <c r="V383" s="9"/>
      <c r="X383" t="s">
        <v>88</v>
      </c>
      <c r="Y383" s="2" t="s">
        <v>717</v>
      </c>
      <c r="Z383" s="2" t="s">
        <v>718</v>
      </c>
      <c r="AA383" s="9" t="s">
        <v>715</v>
      </c>
      <c r="AC383" s="2"/>
      <c r="AD383" t="s">
        <v>7</v>
      </c>
    </row>
    <row r="384" spans="1:31" x14ac:dyDescent="0.3">
      <c r="A384" s="17">
        <v>90739624000118</v>
      </c>
      <c r="B384" t="s">
        <v>61</v>
      </c>
      <c r="D384" t="s">
        <v>576</v>
      </c>
      <c r="E384" t="s">
        <v>2</v>
      </c>
      <c r="F384">
        <v>269308</v>
      </c>
      <c r="G384" s="1" t="s">
        <v>1820</v>
      </c>
      <c r="H384">
        <v>25002032</v>
      </c>
      <c r="I384">
        <v>2525</v>
      </c>
      <c r="J384" t="s">
        <v>85</v>
      </c>
      <c r="K384" s="17">
        <v>1975878000105</v>
      </c>
      <c r="L384" s="17">
        <v>9576274000106</v>
      </c>
      <c r="M384" s="9">
        <v>252.64</v>
      </c>
      <c r="N384" t="s">
        <v>43</v>
      </c>
      <c r="Q384" s="2"/>
      <c r="R384" s="9"/>
      <c r="S384" t="s">
        <v>44</v>
      </c>
      <c r="T384" t="s">
        <v>45</v>
      </c>
      <c r="U384" s="2" t="s">
        <v>581</v>
      </c>
      <c r="V384" s="9" t="s">
        <v>1822</v>
      </c>
      <c r="W384">
        <v>4.1260801975878E+43</v>
      </c>
      <c r="X384" t="s">
        <v>46</v>
      </c>
      <c r="Y384" s="2" t="s">
        <v>717</v>
      </c>
      <c r="Z384" s="2" t="s">
        <v>718</v>
      </c>
      <c r="AA384" s="9" t="s">
        <v>715</v>
      </c>
      <c r="AC384" s="2"/>
      <c r="AD384" t="s">
        <v>7</v>
      </c>
      <c r="AE384" t="s">
        <v>1823</v>
      </c>
    </row>
    <row r="385" spans="1:31" x14ac:dyDescent="0.3">
      <c r="A385" s="17">
        <v>90739624000118</v>
      </c>
      <c r="B385" t="s">
        <v>174</v>
      </c>
      <c r="D385" t="s">
        <v>256</v>
      </c>
      <c r="E385" t="s">
        <v>2</v>
      </c>
      <c r="F385">
        <v>269308</v>
      </c>
      <c r="G385" s="1" t="s">
        <v>1824</v>
      </c>
      <c r="H385">
        <v>25001972</v>
      </c>
      <c r="I385">
        <v>8348</v>
      </c>
      <c r="J385" t="s">
        <v>346</v>
      </c>
      <c r="K385" s="17">
        <v>8318079000105</v>
      </c>
      <c r="L385" s="17">
        <v>90739624000118</v>
      </c>
      <c r="M385" s="9">
        <v>129.41999999999999</v>
      </c>
      <c r="N385" t="s">
        <v>43</v>
      </c>
      <c r="Q385" s="2"/>
      <c r="R385" s="9"/>
      <c r="S385" t="s">
        <v>44</v>
      </c>
      <c r="T385" t="s">
        <v>45</v>
      </c>
      <c r="U385" s="2" t="s">
        <v>581</v>
      </c>
      <c r="V385" s="9" t="s">
        <v>1825</v>
      </c>
      <c r="W385">
        <v>1.7260808318079E+43</v>
      </c>
      <c r="X385" t="s">
        <v>46</v>
      </c>
      <c r="Y385" s="2" t="s">
        <v>717</v>
      </c>
      <c r="Z385" s="2" t="s">
        <v>718</v>
      </c>
      <c r="AA385" s="9" t="s">
        <v>715</v>
      </c>
      <c r="AC385" s="2"/>
      <c r="AD385" t="s">
        <v>7</v>
      </c>
      <c r="AE385" t="s">
        <v>1826</v>
      </c>
    </row>
    <row r="386" spans="1:31" x14ac:dyDescent="0.3">
      <c r="A386" s="17">
        <v>90739624000118</v>
      </c>
      <c r="B386" t="s">
        <v>65</v>
      </c>
      <c r="D386" t="s">
        <v>335</v>
      </c>
      <c r="E386" t="s">
        <v>2</v>
      </c>
      <c r="F386">
        <v>269308</v>
      </c>
      <c r="G386" s="1" t="s">
        <v>1827</v>
      </c>
      <c r="H386">
        <v>25001539</v>
      </c>
      <c r="J386" t="s">
        <v>67</v>
      </c>
      <c r="K386" s="17">
        <v>7473735006031</v>
      </c>
      <c r="L386" s="17"/>
      <c r="M386" s="9">
        <v>146.04</v>
      </c>
      <c r="N386" t="s">
        <v>43</v>
      </c>
      <c r="Q386" s="2"/>
      <c r="R386" s="9"/>
      <c r="S386" t="s">
        <v>87</v>
      </c>
      <c r="U386" s="2"/>
      <c r="V386" s="9"/>
      <c r="X386" t="s">
        <v>88</v>
      </c>
      <c r="Y386" s="2" t="s">
        <v>717</v>
      </c>
      <c r="Z386" s="2" t="s">
        <v>718</v>
      </c>
      <c r="AA386" s="9" t="s">
        <v>715</v>
      </c>
      <c r="AC386" s="2"/>
      <c r="AD386" t="s">
        <v>7</v>
      </c>
    </row>
    <row r="387" spans="1:31" x14ac:dyDescent="0.3">
      <c r="A387" s="17">
        <v>90739624000118</v>
      </c>
      <c r="B387" t="s">
        <v>18</v>
      </c>
      <c r="D387" t="s">
        <v>353</v>
      </c>
      <c r="E387" t="s">
        <v>2</v>
      </c>
      <c r="F387">
        <v>269308</v>
      </c>
      <c r="G387" s="1" t="s">
        <v>1829</v>
      </c>
      <c r="H387">
        <v>25001406</v>
      </c>
      <c r="I387">
        <v>15531</v>
      </c>
      <c r="J387" t="s">
        <v>57</v>
      </c>
      <c r="K387" s="17">
        <v>50206655000199</v>
      </c>
      <c r="L387" s="17">
        <v>90739624000380</v>
      </c>
      <c r="M387" s="9">
        <v>240.09</v>
      </c>
      <c r="N387" t="s">
        <v>43</v>
      </c>
      <c r="Q387" s="2"/>
      <c r="R387" s="9"/>
      <c r="S387" t="s">
        <v>44</v>
      </c>
      <c r="T387" t="s">
        <v>45</v>
      </c>
      <c r="U387" s="2" t="s">
        <v>583</v>
      </c>
      <c r="V387" s="9" t="s">
        <v>1830</v>
      </c>
      <c r="W387">
        <v>3.5260850206654998E+43</v>
      </c>
      <c r="X387" t="s">
        <v>46</v>
      </c>
      <c r="Y387" s="2" t="s">
        <v>717</v>
      </c>
      <c r="Z387" s="2" t="s">
        <v>718</v>
      </c>
      <c r="AA387" s="9" t="s">
        <v>715</v>
      </c>
      <c r="AC387" s="2"/>
      <c r="AD387" t="s">
        <v>7</v>
      </c>
      <c r="AE387" t="s">
        <v>1831</v>
      </c>
    </row>
    <row r="388" spans="1:31" x14ac:dyDescent="0.3">
      <c r="A388" s="17">
        <v>90739624000118</v>
      </c>
      <c r="B388" t="s">
        <v>58</v>
      </c>
      <c r="D388" t="s">
        <v>389</v>
      </c>
      <c r="E388" t="s">
        <v>2</v>
      </c>
      <c r="F388">
        <v>269308</v>
      </c>
      <c r="G388" s="1" t="s">
        <v>1832</v>
      </c>
      <c r="H388">
        <v>25001236</v>
      </c>
      <c r="J388" t="s">
        <v>106</v>
      </c>
      <c r="K388" s="17">
        <v>7473735015103</v>
      </c>
      <c r="L388" s="17"/>
      <c r="M388" s="9">
        <v>168.17</v>
      </c>
      <c r="N388" t="s">
        <v>43</v>
      </c>
      <c r="Q388" s="2"/>
      <c r="R388" s="9"/>
      <c r="S388" t="s">
        <v>87</v>
      </c>
      <c r="U388" s="2"/>
      <c r="V388" s="9"/>
      <c r="X388" t="s">
        <v>88</v>
      </c>
      <c r="Y388" s="2" t="s">
        <v>717</v>
      </c>
      <c r="Z388" s="2" t="s">
        <v>718</v>
      </c>
      <c r="AA388" s="9" t="s">
        <v>715</v>
      </c>
      <c r="AC388" s="2"/>
      <c r="AD388" t="s">
        <v>7</v>
      </c>
    </row>
    <row r="389" spans="1:31" x14ac:dyDescent="0.3">
      <c r="A389" s="17">
        <v>90739624000118</v>
      </c>
      <c r="B389" t="s">
        <v>25</v>
      </c>
      <c r="D389" t="s">
        <v>108</v>
      </c>
      <c r="E389" t="s">
        <v>2</v>
      </c>
      <c r="F389">
        <v>269308</v>
      </c>
      <c r="G389" s="1" t="s">
        <v>1834</v>
      </c>
      <c r="H389">
        <v>25001018</v>
      </c>
      <c r="I389">
        <v>95893</v>
      </c>
      <c r="J389" t="s">
        <v>591</v>
      </c>
      <c r="K389" s="17">
        <v>41779350000185</v>
      </c>
      <c r="L389" s="17">
        <v>90739624001866</v>
      </c>
      <c r="M389" s="9">
        <v>209.51</v>
      </c>
      <c r="N389" t="s">
        <v>43</v>
      </c>
      <c r="Q389" s="2"/>
      <c r="R389" s="9"/>
      <c r="S389" t="s">
        <v>44</v>
      </c>
      <c r="T389" t="s">
        <v>45</v>
      </c>
      <c r="U389" s="2" t="s">
        <v>581</v>
      </c>
      <c r="V389" s="9" t="s">
        <v>1835</v>
      </c>
      <c r="W389">
        <v>5.1260841779349999E+43</v>
      </c>
      <c r="X389" t="s">
        <v>46</v>
      </c>
      <c r="Y389" s="2" t="s">
        <v>717</v>
      </c>
      <c r="Z389" s="2" t="s">
        <v>718</v>
      </c>
      <c r="AA389" s="9" t="s">
        <v>715</v>
      </c>
      <c r="AC389" s="2"/>
      <c r="AD389" t="s">
        <v>7</v>
      </c>
      <c r="AE389" t="s">
        <v>1836</v>
      </c>
    </row>
    <row r="390" spans="1:31" x14ac:dyDescent="0.3">
      <c r="A390" s="17">
        <v>90739624000118</v>
      </c>
      <c r="B390" t="s">
        <v>31</v>
      </c>
      <c r="D390" t="s">
        <v>631</v>
      </c>
      <c r="E390" t="s">
        <v>2</v>
      </c>
      <c r="F390">
        <v>269308</v>
      </c>
      <c r="G390" s="1" t="s">
        <v>1837</v>
      </c>
      <c r="H390">
        <v>25000776</v>
      </c>
      <c r="I390">
        <v>54838</v>
      </c>
      <c r="J390" t="s">
        <v>56</v>
      </c>
      <c r="K390" s="17">
        <v>8603562000212</v>
      </c>
      <c r="L390" s="17">
        <v>90739624001866</v>
      </c>
      <c r="M390" s="9">
        <v>155.09</v>
      </c>
      <c r="N390" t="s">
        <v>43</v>
      </c>
      <c r="Q390" s="2"/>
      <c r="R390" s="9"/>
      <c r="S390" t="s">
        <v>44</v>
      </c>
      <c r="T390" t="s">
        <v>45</v>
      </c>
      <c r="U390" s="2" t="s">
        <v>581</v>
      </c>
      <c r="V390" s="9" t="s">
        <v>1838</v>
      </c>
      <c r="W390">
        <v>5.1260808603562005E+43</v>
      </c>
      <c r="X390" t="s">
        <v>46</v>
      </c>
      <c r="Y390" s="2" t="s">
        <v>717</v>
      </c>
      <c r="Z390" s="2" t="s">
        <v>718</v>
      </c>
      <c r="AA390" s="9" t="s">
        <v>715</v>
      </c>
      <c r="AC390" s="2"/>
      <c r="AD390" t="s">
        <v>7</v>
      </c>
      <c r="AE390" t="s">
        <v>1839</v>
      </c>
    </row>
    <row r="391" spans="1:31" x14ac:dyDescent="0.3">
      <c r="A391" s="17">
        <v>90739624000118</v>
      </c>
      <c r="B391" t="s">
        <v>65</v>
      </c>
      <c r="D391" t="s">
        <v>107</v>
      </c>
      <c r="E391" t="s">
        <v>17</v>
      </c>
      <c r="F391">
        <v>269308</v>
      </c>
      <c r="G391" s="1" t="s">
        <v>1840</v>
      </c>
      <c r="H391">
        <v>25000724</v>
      </c>
      <c r="J391" t="s">
        <v>67</v>
      </c>
      <c r="K391" s="17">
        <v>7473735006031</v>
      </c>
      <c r="L391" s="17"/>
      <c r="M391" s="9">
        <v>42.23</v>
      </c>
      <c r="N391" t="s">
        <v>43</v>
      </c>
      <c r="Q391" s="2"/>
      <c r="R391" s="9"/>
      <c r="S391" t="s">
        <v>87</v>
      </c>
      <c r="U391" s="2"/>
      <c r="V391" s="9"/>
      <c r="X391" t="s">
        <v>88</v>
      </c>
      <c r="Y391" s="2" t="s">
        <v>717</v>
      </c>
      <c r="Z391" s="2" t="s">
        <v>718</v>
      </c>
      <c r="AA391" s="9" t="s">
        <v>715</v>
      </c>
      <c r="AC391" s="2"/>
      <c r="AD391" t="s">
        <v>7</v>
      </c>
    </row>
    <row r="392" spans="1:31" x14ac:dyDescent="0.3">
      <c r="A392" s="17">
        <v>90739624000118</v>
      </c>
      <c r="B392" t="s">
        <v>65</v>
      </c>
      <c r="D392" t="s">
        <v>107</v>
      </c>
      <c r="E392" t="s">
        <v>2</v>
      </c>
      <c r="F392">
        <v>269308</v>
      </c>
      <c r="G392" s="1" t="s">
        <v>1842</v>
      </c>
      <c r="H392">
        <v>25000699</v>
      </c>
      <c r="J392" t="s">
        <v>67</v>
      </c>
      <c r="K392" s="17">
        <v>7473735006031</v>
      </c>
      <c r="L392" s="17"/>
      <c r="M392" s="9">
        <v>183.84</v>
      </c>
      <c r="N392" t="s">
        <v>43</v>
      </c>
      <c r="Q392" s="2"/>
      <c r="R392" s="9"/>
      <c r="S392" t="s">
        <v>87</v>
      </c>
      <c r="U392" s="2"/>
      <c r="V392" s="9"/>
      <c r="X392" t="s">
        <v>88</v>
      </c>
      <c r="Y392" s="2" t="s">
        <v>717</v>
      </c>
      <c r="Z392" s="2" t="s">
        <v>718</v>
      </c>
      <c r="AA392" s="9" t="s">
        <v>715</v>
      </c>
      <c r="AC392" s="2"/>
      <c r="AD392" t="s">
        <v>7</v>
      </c>
    </row>
    <row r="393" spans="1:31" x14ac:dyDescent="0.3">
      <c r="A393" s="17">
        <v>90739624000118</v>
      </c>
      <c r="B393" t="s">
        <v>13</v>
      </c>
      <c r="C393">
        <v>24497</v>
      </c>
      <c r="D393" t="s">
        <v>470</v>
      </c>
      <c r="E393" t="s">
        <v>2</v>
      </c>
      <c r="F393">
        <v>269308</v>
      </c>
      <c r="G393" s="1" t="s">
        <v>1843</v>
      </c>
      <c r="H393">
        <v>25000540</v>
      </c>
      <c r="I393">
        <v>38584</v>
      </c>
      <c r="J393" t="s">
        <v>471</v>
      </c>
      <c r="K393" s="17">
        <v>300969000188</v>
      </c>
      <c r="L393" s="17">
        <v>90739624001190</v>
      </c>
      <c r="M393" s="9">
        <v>339.6</v>
      </c>
      <c r="N393" t="s">
        <v>43</v>
      </c>
      <c r="Q393" s="2"/>
      <c r="R393" s="9"/>
      <c r="S393" t="s">
        <v>44</v>
      </c>
      <c r="T393" t="s">
        <v>45</v>
      </c>
      <c r="U393" s="2" t="s">
        <v>581</v>
      </c>
      <c r="V393" s="9" t="s">
        <v>1844</v>
      </c>
      <c r="W393">
        <v>5.0260800300968998E+43</v>
      </c>
      <c r="X393" t="s">
        <v>46</v>
      </c>
      <c r="Y393" s="2" t="s">
        <v>717</v>
      </c>
      <c r="Z393" s="2" t="s">
        <v>718</v>
      </c>
      <c r="AA393" s="9" t="s">
        <v>715</v>
      </c>
      <c r="AC393" s="2"/>
      <c r="AD393" t="s">
        <v>7</v>
      </c>
      <c r="AE393" t="s">
        <v>1845</v>
      </c>
    </row>
    <row r="394" spans="1:31" x14ac:dyDescent="0.3">
      <c r="A394" s="17">
        <v>90739624000118</v>
      </c>
      <c r="B394" t="s">
        <v>99</v>
      </c>
      <c r="C394">
        <v>25069</v>
      </c>
      <c r="D394" t="s">
        <v>253</v>
      </c>
      <c r="E394" t="s">
        <v>2</v>
      </c>
      <c r="F394">
        <v>269308</v>
      </c>
      <c r="G394" s="1" t="s">
        <v>1846</v>
      </c>
      <c r="H394">
        <v>25000414</v>
      </c>
      <c r="I394">
        <v>50567</v>
      </c>
      <c r="J394" t="s">
        <v>507</v>
      </c>
      <c r="K394" s="17">
        <v>3626094001330</v>
      </c>
      <c r="L394" s="17">
        <v>9576274000106</v>
      </c>
      <c r="M394" s="9">
        <v>407.54</v>
      </c>
      <c r="N394" t="s">
        <v>43</v>
      </c>
      <c r="Q394" s="2"/>
      <c r="R394" s="9"/>
      <c r="S394" t="s">
        <v>44</v>
      </c>
      <c r="T394" t="s">
        <v>45</v>
      </c>
      <c r="U394" s="2" t="s">
        <v>581</v>
      </c>
      <c r="V394" s="9" t="s">
        <v>1847</v>
      </c>
      <c r="W394">
        <v>4.1260803626093998E+43</v>
      </c>
      <c r="X394" t="s">
        <v>46</v>
      </c>
      <c r="Y394" s="2" t="s">
        <v>717</v>
      </c>
      <c r="Z394" s="2" t="s">
        <v>718</v>
      </c>
      <c r="AA394" s="9" t="s">
        <v>715</v>
      </c>
      <c r="AC394" s="2"/>
      <c r="AD394" t="s">
        <v>7</v>
      </c>
      <c r="AE394" t="s">
        <v>1848</v>
      </c>
    </row>
    <row r="395" spans="1:31" x14ac:dyDescent="0.3">
      <c r="A395" s="17">
        <v>90739624000118</v>
      </c>
      <c r="B395" t="s">
        <v>13</v>
      </c>
      <c r="C395">
        <v>24493</v>
      </c>
      <c r="D395" t="s">
        <v>665</v>
      </c>
      <c r="E395" t="s">
        <v>2</v>
      </c>
      <c r="F395">
        <v>269308</v>
      </c>
      <c r="G395" s="1" t="s">
        <v>1849</v>
      </c>
      <c r="H395">
        <v>25000376</v>
      </c>
      <c r="I395">
        <v>24547</v>
      </c>
      <c r="J395" t="s">
        <v>15</v>
      </c>
      <c r="K395" s="17">
        <v>30432373000100</v>
      </c>
      <c r="L395" s="17">
        <v>90739624001190</v>
      </c>
      <c r="M395" s="9">
        <v>400.34</v>
      </c>
      <c r="N395" t="s">
        <v>43</v>
      </c>
      <c r="Q395" s="2"/>
      <c r="R395" s="9"/>
      <c r="S395" t="s">
        <v>44</v>
      </c>
      <c r="T395" t="s">
        <v>45</v>
      </c>
      <c r="U395" s="2" t="s">
        <v>581</v>
      </c>
      <c r="V395" s="9" t="s">
        <v>1851</v>
      </c>
      <c r="W395">
        <v>5.0260830432372995E+43</v>
      </c>
      <c r="X395" t="s">
        <v>46</v>
      </c>
      <c r="Y395" s="2" t="s">
        <v>717</v>
      </c>
      <c r="Z395" s="2" t="s">
        <v>718</v>
      </c>
      <c r="AA395" s="9" t="s">
        <v>715</v>
      </c>
      <c r="AC395" s="2"/>
      <c r="AD395" t="s">
        <v>7</v>
      </c>
      <c r="AE395" t="s">
        <v>1852</v>
      </c>
    </row>
    <row r="396" spans="1:31" x14ac:dyDescent="0.3">
      <c r="A396" s="17">
        <v>90739624000118</v>
      </c>
      <c r="B396" t="s">
        <v>52</v>
      </c>
      <c r="C396">
        <v>25978</v>
      </c>
      <c r="D396" t="s">
        <v>137</v>
      </c>
      <c r="E396" t="s">
        <v>17</v>
      </c>
      <c r="F396">
        <v>269308</v>
      </c>
      <c r="G396" s="1" t="s">
        <v>1853</v>
      </c>
      <c r="H396">
        <v>25000327</v>
      </c>
      <c r="I396">
        <v>20213</v>
      </c>
      <c r="J396" t="s">
        <v>54</v>
      </c>
      <c r="K396" s="17">
        <v>79130647000198</v>
      </c>
      <c r="L396" s="17">
        <v>9576274000106</v>
      </c>
      <c r="M396" s="9">
        <v>9.75</v>
      </c>
      <c r="N396" t="s">
        <v>43</v>
      </c>
      <c r="Q396" s="2"/>
      <c r="R396" s="9"/>
      <c r="S396" t="s">
        <v>44</v>
      </c>
      <c r="T396" t="s">
        <v>45</v>
      </c>
      <c r="U396" s="2" t="s">
        <v>581</v>
      </c>
      <c r="V396" s="9" t="s">
        <v>1854</v>
      </c>
      <c r="W396">
        <v>4.1260879130646998E+43</v>
      </c>
      <c r="X396" t="s">
        <v>46</v>
      </c>
      <c r="Y396" s="2" t="s">
        <v>717</v>
      </c>
      <c r="Z396" s="2" t="s">
        <v>718</v>
      </c>
      <c r="AA396" s="9" t="s">
        <v>715</v>
      </c>
      <c r="AC396" s="2"/>
      <c r="AD396" t="s">
        <v>7</v>
      </c>
      <c r="AE396" t="s">
        <v>1855</v>
      </c>
    </row>
    <row r="397" spans="1:31" x14ac:dyDescent="0.3">
      <c r="A397" s="17">
        <v>90739624000118</v>
      </c>
      <c r="B397" t="s">
        <v>52</v>
      </c>
      <c r="C397">
        <v>25978</v>
      </c>
      <c r="D397" t="s">
        <v>137</v>
      </c>
      <c r="E397" t="s">
        <v>2</v>
      </c>
      <c r="F397">
        <v>269308</v>
      </c>
      <c r="G397" s="1" t="s">
        <v>1856</v>
      </c>
      <c r="H397">
        <v>25000309</v>
      </c>
      <c r="I397">
        <v>56381</v>
      </c>
      <c r="J397" t="s">
        <v>54</v>
      </c>
      <c r="K397" s="17">
        <v>79130647000198</v>
      </c>
      <c r="L397" s="17">
        <v>9576274000106</v>
      </c>
      <c r="M397" s="9">
        <v>619.15</v>
      </c>
      <c r="N397" t="s">
        <v>43</v>
      </c>
      <c r="Q397" s="2"/>
      <c r="R397" s="9"/>
      <c r="S397" t="s">
        <v>44</v>
      </c>
      <c r="T397" t="s">
        <v>45</v>
      </c>
      <c r="U397" s="2" t="s">
        <v>581</v>
      </c>
      <c r="V397" s="9" t="s">
        <v>1857</v>
      </c>
      <c r="W397">
        <v>4.1260879130646998E+43</v>
      </c>
      <c r="X397" t="s">
        <v>46</v>
      </c>
      <c r="Y397" s="2" t="s">
        <v>717</v>
      </c>
      <c r="Z397" s="2" t="s">
        <v>718</v>
      </c>
      <c r="AA397" s="9" t="s">
        <v>715</v>
      </c>
      <c r="AC397" s="2"/>
      <c r="AD397" t="s">
        <v>7</v>
      </c>
      <c r="AE397" t="s">
        <v>1858</v>
      </c>
    </row>
    <row r="398" spans="1:31" x14ac:dyDescent="0.3">
      <c r="A398" s="17">
        <v>90739624000118</v>
      </c>
      <c r="B398" t="s">
        <v>174</v>
      </c>
      <c r="D398" t="s">
        <v>286</v>
      </c>
      <c r="E398" t="s">
        <v>2</v>
      </c>
      <c r="F398">
        <v>269308</v>
      </c>
      <c r="G398" s="1" t="s">
        <v>1859</v>
      </c>
      <c r="H398">
        <v>25000289</v>
      </c>
      <c r="I398">
        <v>5575</v>
      </c>
      <c r="J398" t="s">
        <v>268</v>
      </c>
      <c r="K398" s="17">
        <v>4985282000184</v>
      </c>
      <c r="L398" s="17">
        <v>90739624000118</v>
      </c>
      <c r="M398" s="9">
        <v>258.63</v>
      </c>
      <c r="N398" t="s">
        <v>43</v>
      </c>
      <c r="Q398" s="2"/>
      <c r="R398" s="9"/>
      <c r="S398" t="s">
        <v>44</v>
      </c>
      <c r="T398" t="s">
        <v>45</v>
      </c>
      <c r="U398" s="2" t="s">
        <v>581</v>
      </c>
      <c r="V398" s="9" t="s">
        <v>1860</v>
      </c>
      <c r="W398">
        <v>1.7260804985282E+43</v>
      </c>
      <c r="X398" t="s">
        <v>46</v>
      </c>
      <c r="Y398" s="2" t="s">
        <v>717</v>
      </c>
      <c r="Z398" s="2" t="s">
        <v>718</v>
      </c>
      <c r="AA398" s="9" t="s">
        <v>715</v>
      </c>
      <c r="AC398" s="2"/>
      <c r="AD398" t="s">
        <v>7</v>
      </c>
      <c r="AE398" t="s">
        <v>1861</v>
      </c>
    </row>
    <row r="399" spans="1:31" x14ac:dyDescent="0.3">
      <c r="A399" s="17">
        <v>90739624000118</v>
      </c>
      <c r="B399" t="s">
        <v>49</v>
      </c>
      <c r="C399">
        <v>20580</v>
      </c>
      <c r="D399" t="s">
        <v>352</v>
      </c>
      <c r="E399" t="s">
        <v>17</v>
      </c>
      <c r="F399">
        <v>269308</v>
      </c>
      <c r="G399" s="1" t="s">
        <v>1862</v>
      </c>
      <c r="H399">
        <v>25000179</v>
      </c>
      <c r="I399">
        <v>103693</v>
      </c>
      <c r="J399" t="s">
        <v>299</v>
      </c>
      <c r="K399" s="17">
        <v>7388800000170</v>
      </c>
      <c r="L399" s="17">
        <v>9576274000106</v>
      </c>
      <c r="M399" s="9">
        <v>29.69</v>
      </c>
      <c r="N399" t="s">
        <v>43</v>
      </c>
      <c r="Q399" s="2"/>
      <c r="R399" s="9"/>
      <c r="S399" t="s">
        <v>44</v>
      </c>
      <c r="T399" t="s">
        <v>45</v>
      </c>
      <c r="U399" s="2" t="s">
        <v>581</v>
      </c>
      <c r="V399" s="9" t="s">
        <v>1863</v>
      </c>
      <c r="W399">
        <v>4.1260807388800002E+43</v>
      </c>
      <c r="X399" t="s">
        <v>46</v>
      </c>
      <c r="Y399" s="2" t="s">
        <v>717</v>
      </c>
      <c r="Z399" s="2" t="s">
        <v>718</v>
      </c>
      <c r="AA399" s="9" t="s">
        <v>715</v>
      </c>
      <c r="AC399" s="2"/>
      <c r="AD399" t="s">
        <v>7</v>
      </c>
      <c r="AE399" t="s">
        <v>1864</v>
      </c>
    </row>
    <row r="400" spans="1:31" x14ac:dyDescent="0.3">
      <c r="A400" s="17">
        <v>90739624000118</v>
      </c>
      <c r="B400" t="s">
        <v>61</v>
      </c>
      <c r="D400" t="s">
        <v>301</v>
      </c>
      <c r="E400" t="s">
        <v>2</v>
      </c>
      <c r="F400">
        <v>269308</v>
      </c>
      <c r="G400" s="1" t="s">
        <v>1865</v>
      </c>
      <c r="H400">
        <v>25000176</v>
      </c>
      <c r="I400">
        <v>820553</v>
      </c>
      <c r="J400" t="s">
        <v>62</v>
      </c>
      <c r="K400" s="17">
        <v>79964177000591</v>
      </c>
      <c r="L400" s="17">
        <v>9576274000106</v>
      </c>
      <c r="M400" s="9">
        <v>1930.95</v>
      </c>
      <c r="N400" t="s">
        <v>43</v>
      </c>
      <c r="Q400" s="2"/>
      <c r="R400" s="9"/>
      <c r="S400" t="s">
        <v>44</v>
      </c>
      <c r="T400" t="s">
        <v>45</v>
      </c>
      <c r="U400" s="2" t="s">
        <v>581</v>
      </c>
      <c r="V400" s="9" t="s">
        <v>1866</v>
      </c>
      <c r="W400">
        <v>4.1260879964176998E+43</v>
      </c>
      <c r="X400" t="s">
        <v>46</v>
      </c>
      <c r="Y400" s="2" t="s">
        <v>717</v>
      </c>
      <c r="Z400" s="2" t="s">
        <v>718</v>
      </c>
      <c r="AA400" s="9" t="s">
        <v>715</v>
      </c>
      <c r="AC400" s="2"/>
      <c r="AD400" t="s">
        <v>7</v>
      </c>
      <c r="AE400" t="s">
        <v>1867</v>
      </c>
    </row>
    <row r="401" spans="1:31" x14ac:dyDescent="0.3">
      <c r="A401" s="17">
        <v>90739624000118</v>
      </c>
      <c r="B401" t="s">
        <v>49</v>
      </c>
      <c r="C401">
        <v>20580</v>
      </c>
      <c r="D401" t="s">
        <v>352</v>
      </c>
      <c r="E401" t="s">
        <v>2</v>
      </c>
      <c r="F401">
        <v>269308</v>
      </c>
      <c r="G401" s="1" t="s">
        <v>1868</v>
      </c>
      <c r="H401">
        <v>25000172</v>
      </c>
      <c r="I401">
        <v>103692</v>
      </c>
      <c r="J401" t="s">
        <v>299</v>
      </c>
      <c r="K401" s="17">
        <v>7388800000170</v>
      </c>
      <c r="L401" s="17">
        <v>9576274000106</v>
      </c>
      <c r="M401" s="9">
        <v>1884.22</v>
      </c>
      <c r="N401" t="s">
        <v>43</v>
      </c>
      <c r="Q401" s="2"/>
      <c r="R401" s="9"/>
      <c r="S401" t="s">
        <v>44</v>
      </c>
      <c r="T401" t="s">
        <v>45</v>
      </c>
      <c r="U401" s="2" t="s">
        <v>581</v>
      </c>
      <c r="V401" s="9" t="s">
        <v>1869</v>
      </c>
      <c r="W401">
        <v>4.1260807388800002E+43</v>
      </c>
      <c r="X401" t="s">
        <v>46</v>
      </c>
      <c r="Y401" s="2" t="s">
        <v>717</v>
      </c>
      <c r="Z401" s="2" t="s">
        <v>718</v>
      </c>
      <c r="AA401" s="9" t="s">
        <v>715</v>
      </c>
      <c r="AC401" s="2"/>
      <c r="AD401" t="s">
        <v>7</v>
      </c>
      <c r="AE401" t="s">
        <v>1870</v>
      </c>
    </row>
    <row r="402" spans="1:31" x14ac:dyDescent="0.3">
      <c r="A402" s="17">
        <v>90739624000118</v>
      </c>
      <c r="B402" t="s">
        <v>61</v>
      </c>
      <c r="D402" t="s">
        <v>490</v>
      </c>
      <c r="E402" t="s">
        <v>2</v>
      </c>
      <c r="F402">
        <v>269308</v>
      </c>
      <c r="G402" s="1" t="s">
        <v>1871</v>
      </c>
      <c r="H402">
        <v>25000162</v>
      </c>
      <c r="I402">
        <v>820552</v>
      </c>
      <c r="J402" t="s">
        <v>62</v>
      </c>
      <c r="K402" s="17">
        <v>79964177000591</v>
      </c>
      <c r="L402" s="17">
        <v>9576274000106</v>
      </c>
      <c r="M402" s="9">
        <v>2176.15</v>
      </c>
      <c r="N402" t="s">
        <v>43</v>
      </c>
      <c r="Q402" s="2"/>
      <c r="R402" s="9"/>
      <c r="S402" t="s">
        <v>44</v>
      </c>
      <c r="T402" t="s">
        <v>45</v>
      </c>
      <c r="U402" s="2" t="s">
        <v>581</v>
      </c>
      <c r="V402" s="9" t="s">
        <v>1872</v>
      </c>
      <c r="W402">
        <v>4.1260879964176998E+43</v>
      </c>
      <c r="X402" t="s">
        <v>46</v>
      </c>
      <c r="Y402" s="2" t="s">
        <v>717</v>
      </c>
      <c r="Z402" s="2" t="s">
        <v>718</v>
      </c>
      <c r="AA402" s="9" t="s">
        <v>715</v>
      </c>
      <c r="AC402" s="2"/>
      <c r="AD402" t="s">
        <v>7</v>
      </c>
      <c r="AE402" t="s">
        <v>1873</v>
      </c>
    </row>
    <row r="403" spans="1:31" x14ac:dyDescent="0.3">
      <c r="A403" s="17">
        <v>90739624000118</v>
      </c>
      <c r="B403" t="s">
        <v>13</v>
      </c>
      <c r="C403">
        <v>24565</v>
      </c>
      <c r="D403" t="s">
        <v>495</v>
      </c>
      <c r="E403" t="s">
        <v>17</v>
      </c>
      <c r="F403">
        <v>269308</v>
      </c>
      <c r="G403" s="1" t="s">
        <v>1874</v>
      </c>
      <c r="H403">
        <v>24999847</v>
      </c>
      <c r="I403">
        <v>45905</v>
      </c>
      <c r="J403" t="s">
        <v>496</v>
      </c>
      <c r="K403" s="17">
        <v>6073995000105</v>
      </c>
      <c r="L403" s="17">
        <v>90739624001190</v>
      </c>
      <c r="M403" s="9">
        <v>32.44</v>
      </c>
      <c r="N403" t="s">
        <v>43</v>
      </c>
      <c r="Q403" s="2"/>
      <c r="R403" s="9"/>
      <c r="S403" t="s">
        <v>44</v>
      </c>
      <c r="T403" t="s">
        <v>45</v>
      </c>
      <c r="U403" s="2" t="s">
        <v>602</v>
      </c>
      <c r="V403" s="9" t="s">
        <v>1875</v>
      </c>
      <c r="W403">
        <v>5.0260806073994997E+43</v>
      </c>
      <c r="X403" t="s">
        <v>46</v>
      </c>
      <c r="Y403" s="2" t="s">
        <v>717</v>
      </c>
      <c r="Z403" s="2" t="s">
        <v>718</v>
      </c>
      <c r="AA403" s="9" t="s">
        <v>715</v>
      </c>
      <c r="AC403" s="2"/>
      <c r="AD403" t="s">
        <v>7</v>
      </c>
      <c r="AE403" t="s">
        <v>1876</v>
      </c>
    </row>
    <row r="404" spans="1:31" x14ac:dyDescent="0.3">
      <c r="A404" s="17">
        <v>90739624000118</v>
      </c>
      <c r="B404" t="s">
        <v>25</v>
      </c>
      <c r="D404" t="s">
        <v>460</v>
      </c>
      <c r="E404" t="s">
        <v>2</v>
      </c>
      <c r="F404">
        <v>269308</v>
      </c>
      <c r="G404" s="1" t="s">
        <v>1877</v>
      </c>
      <c r="H404">
        <v>24999821</v>
      </c>
      <c r="I404">
        <v>1814</v>
      </c>
      <c r="J404" t="s">
        <v>80</v>
      </c>
      <c r="K404" s="17">
        <v>8603562001103</v>
      </c>
      <c r="L404" s="17">
        <v>90739624001866</v>
      </c>
      <c r="M404" s="9">
        <v>111.5</v>
      </c>
      <c r="N404" t="s">
        <v>43</v>
      </c>
      <c r="Q404" s="2"/>
      <c r="R404" s="9"/>
      <c r="S404" t="s">
        <v>44</v>
      </c>
      <c r="T404" t="s">
        <v>45</v>
      </c>
      <c r="U404" s="2" t="s">
        <v>581</v>
      </c>
      <c r="V404" s="9" t="s">
        <v>1878</v>
      </c>
      <c r="W404">
        <v>5.1260808603562005E+43</v>
      </c>
      <c r="X404" t="s">
        <v>46</v>
      </c>
      <c r="Y404" s="2" t="s">
        <v>717</v>
      </c>
      <c r="Z404" s="2" t="s">
        <v>718</v>
      </c>
      <c r="AA404" s="9" t="s">
        <v>715</v>
      </c>
      <c r="AC404" s="2"/>
      <c r="AD404" t="s">
        <v>7</v>
      </c>
      <c r="AE404" t="s">
        <v>1879</v>
      </c>
    </row>
    <row r="405" spans="1:31" x14ac:dyDescent="0.3">
      <c r="A405" s="17">
        <v>90739624000118</v>
      </c>
      <c r="B405" t="s">
        <v>13</v>
      </c>
      <c r="C405">
        <v>24565</v>
      </c>
      <c r="D405" t="s">
        <v>495</v>
      </c>
      <c r="E405" t="s">
        <v>2</v>
      </c>
      <c r="F405">
        <v>269308</v>
      </c>
      <c r="G405" s="1" t="s">
        <v>1880</v>
      </c>
      <c r="H405">
        <v>24999806</v>
      </c>
      <c r="I405">
        <v>45904</v>
      </c>
      <c r="J405" t="s">
        <v>496</v>
      </c>
      <c r="K405" s="17">
        <v>6073995000105</v>
      </c>
      <c r="L405" s="17">
        <v>90739624001190</v>
      </c>
      <c r="M405" s="9">
        <v>386.2</v>
      </c>
      <c r="N405" t="s">
        <v>43</v>
      </c>
      <c r="Q405" s="2"/>
      <c r="R405" s="9"/>
      <c r="S405" t="s">
        <v>44</v>
      </c>
      <c r="T405" t="s">
        <v>45</v>
      </c>
      <c r="U405" s="2" t="s">
        <v>602</v>
      </c>
      <c r="V405" s="9" t="s">
        <v>1881</v>
      </c>
      <c r="W405">
        <v>5.0260806073994997E+43</v>
      </c>
      <c r="X405" t="s">
        <v>46</v>
      </c>
      <c r="Y405" s="2" t="s">
        <v>717</v>
      </c>
      <c r="Z405" s="2" t="s">
        <v>718</v>
      </c>
      <c r="AA405" s="9" t="s">
        <v>715</v>
      </c>
      <c r="AC405" s="2"/>
      <c r="AD405" t="s">
        <v>7</v>
      </c>
      <c r="AE405" t="s">
        <v>1882</v>
      </c>
    </row>
    <row r="406" spans="1:31" x14ac:dyDescent="0.3">
      <c r="A406" s="17">
        <v>90739624000118</v>
      </c>
      <c r="B406" t="s">
        <v>58</v>
      </c>
      <c r="C406">
        <v>24800</v>
      </c>
      <c r="D406" t="s">
        <v>539</v>
      </c>
      <c r="E406" t="s">
        <v>2</v>
      </c>
      <c r="F406">
        <v>269308</v>
      </c>
      <c r="G406" s="1" t="s">
        <v>1883</v>
      </c>
      <c r="H406">
        <v>24999515</v>
      </c>
      <c r="I406">
        <v>111094</v>
      </c>
      <c r="J406" t="s">
        <v>106</v>
      </c>
      <c r="K406" s="17">
        <v>7473735015103</v>
      </c>
      <c r="L406" s="17">
        <v>90739624002323</v>
      </c>
      <c r="M406" s="9">
        <v>869.99</v>
      </c>
      <c r="N406" t="s">
        <v>43</v>
      </c>
      <c r="Q406" s="2"/>
      <c r="R406" s="9"/>
      <c r="S406" t="s">
        <v>44</v>
      </c>
      <c r="T406" t="s">
        <v>45</v>
      </c>
      <c r="U406" s="2" t="s">
        <v>581</v>
      </c>
      <c r="V406" s="9" t="s">
        <v>1884</v>
      </c>
      <c r="W406">
        <v>4.3260807473734999E+43</v>
      </c>
      <c r="X406" t="s">
        <v>46</v>
      </c>
      <c r="Y406" s="2" t="s">
        <v>717</v>
      </c>
      <c r="Z406" s="2" t="s">
        <v>718</v>
      </c>
      <c r="AA406" s="9" t="s">
        <v>715</v>
      </c>
      <c r="AC406" s="2"/>
      <c r="AD406" t="s">
        <v>7</v>
      </c>
      <c r="AE406" t="s">
        <v>1885</v>
      </c>
    </row>
    <row r="407" spans="1:31" x14ac:dyDescent="0.3">
      <c r="A407" s="17">
        <v>90739624000118</v>
      </c>
      <c r="B407" t="s">
        <v>31</v>
      </c>
      <c r="D407" t="s">
        <v>118</v>
      </c>
      <c r="E407" t="s">
        <v>2</v>
      </c>
      <c r="F407">
        <v>269308</v>
      </c>
      <c r="G407" s="1" t="s">
        <v>1886</v>
      </c>
      <c r="H407">
        <v>24999437</v>
      </c>
      <c r="I407">
        <v>168367</v>
      </c>
      <c r="J407" t="s">
        <v>119</v>
      </c>
      <c r="K407" s="17">
        <v>25220634000342</v>
      </c>
      <c r="L407" s="17">
        <v>90739624001866</v>
      </c>
      <c r="M407" s="9">
        <v>127.04</v>
      </c>
      <c r="N407" t="s">
        <v>43</v>
      </c>
      <c r="Q407" s="2"/>
      <c r="R407" s="9"/>
      <c r="S407" t="s">
        <v>44</v>
      </c>
      <c r="T407" t="s">
        <v>45</v>
      </c>
      <c r="U407" s="2" t="s">
        <v>581</v>
      </c>
      <c r="V407" s="9" t="s">
        <v>1887</v>
      </c>
      <c r="W407">
        <v>5.1260825220633996E+43</v>
      </c>
      <c r="X407" t="s">
        <v>46</v>
      </c>
      <c r="Y407" s="2" t="s">
        <v>717</v>
      </c>
      <c r="Z407" s="2" t="s">
        <v>718</v>
      </c>
      <c r="AA407" s="9" t="s">
        <v>715</v>
      </c>
      <c r="AC407" s="2"/>
      <c r="AD407" t="s">
        <v>7</v>
      </c>
      <c r="AE407" t="s">
        <v>1888</v>
      </c>
    </row>
    <row r="408" spans="1:31" x14ac:dyDescent="0.3">
      <c r="A408" s="17">
        <v>90739624000118</v>
      </c>
      <c r="B408" t="s">
        <v>61</v>
      </c>
      <c r="C408">
        <v>21140</v>
      </c>
      <c r="D408" t="s">
        <v>514</v>
      </c>
      <c r="E408" t="s">
        <v>2</v>
      </c>
      <c r="F408">
        <v>269308</v>
      </c>
      <c r="G408" s="1" t="s">
        <v>1889</v>
      </c>
      <c r="H408">
        <v>24999427</v>
      </c>
      <c r="I408">
        <v>2524</v>
      </c>
      <c r="J408" t="s">
        <v>85</v>
      </c>
      <c r="K408" s="17">
        <v>1975878000105</v>
      </c>
      <c r="L408" s="17">
        <v>9576274000106</v>
      </c>
      <c r="M408" s="9">
        <v>418.77</v>
      </c>
      <c r="N408" t="s">
        <v>43</v>
      </c>
      <c r="Q408" s="2"/>
      <c r="R408" s="9"/>
      <c r="S408" t="s">
        <v>44</v>
      </c>
      <c r="T408" t="s">
        <v>45</v>
      </c>
      <c r="U408" s="2" t="s">
        <v>581</v>
      </c>
      <c r="V408" s="9" t="s">
        <v>1890</v>
      </c>
      <c r="W408">
        <v>4.1260801975878E+43</v>
      </c>
      <c r="X408" t="s">
        <v>46</v>
      </c>
      <c r="Y408" s="2" t="s">
        <v>717</v>
      </c>
      <c r="Z408" s="2" t="s">
        <v>718</v>
      </c>
      <c r="AA408" s="9" t="s">
        <v>715</v>
      </c>
      <c r="AC408" s="2"/>
      <c r="AD408" t="s">
        <v>7</v>
      </c>
      <c r="AE408" t="s">
        <v>1891</v>
      </c>
    </row>
    <row r="409" spans="1:31" x14ac:dyDescent="0.3">
      <c r="A409" s="17">
        <v>90739624000118</v>
      </c>
      <c r="B409" t="s">
        <v>8</v>
      </c>
      <c r="C409">
        <v>24759</v>
      </c>
      <c r="D409" t="s">
        <v>363</v>
      </c>
      <c r="E409" t="s">
        <v>2</v>
      </c>
      <c r="F409">
        <v>269308</v>
      </c>
      <c r="G409" s="1" t="s">
        <v>1892</v>
      </c>
      <c r="H409">
        <v>24999417</v>
      </c>
      <c r="I409">
        <v>6415</v>
      </c>
      <c r="J409" t="s">
        <v>221</v>
      </c>
      <c r="K409" s="17">
        <v>8810726000100</v>
      </c>
      <c r="L409" s="17">
        <v>9576274000106</v>
      </c>
      <c r="M409" s="9">
        <v>400.7</v>
      </c>
      <c r="N409" t="s">
        <v>43</v>
      </c>
      <c r="Q409" s="2"/>
      <c r="R409" s="9"/>
      <c r="S409" t="s">
        <v>44</v>
      </c>
      <c r="T409" t="s">
        <v>45</v>
      </c>
      <c r="U409" s="2" t="s">
        <v>581</v>
      </c>
      <c r="V409" s="9" t="s">
        <v>1893</v>
      </c>
      <c r="W409">
        <v>4.1260808810725998E+43</v>
      </c>
      <c r="X409" t="s">
        <v>46</v>
      </c>
      <c r="Y409" s="2" t="s">
        <v>717</v>
      </c>
      <c r="Z409" s="2" t="s">
        <v>718</v>
      </c>
      <c r="AA409" s="9" t="s">
        <v>715</v>
      </c>
      <c r="AC409" s="2"/>
      <c r="AD409" t="s">
        <v>7</v>
      </c>
      <c r="AE409" t="s">
        <v>1894</v>
      </c>
    </row>
    <row r="410" spans="1:31" x14ac:dyDescent="0.3">
      <c r="A410" s="17">
        <v>90739624000118</v>
      </c>
      <c r="B410" t="s">
        <v>31</v>
      </c>
      <c r="D410" t="s">
        <v>172</v>
      </c>
      <c r="E410" t="s">
        <v>2</v>
      </c>
      <c r="F410">
        <v>269308</v>
      </c>
      <c r="G410" s="1" t="s">
        <v>1895</v>
      </c>
      <c r="H410">
        <v>24999406</v>
      </c>
      <c r="I410">
        <v>168366</v>
      </c>
      <c r="J410" t="s">
        <v>119</v>
      </c>
      <c r="K410" s="17">
        <v>25220634000342</v>
      </c>
      <c r="L410" s="17">
        <v>90739624001866</v>
      </c>
      <c r="M410" s="9">
        <v>262.89999999999998</v>
      </c>
      <c r="N410" t="s">
        <v>43</v>
      </c>
      <c r="Q410" s="2"/>
      <c r="R410" s="9"/>
      <c r="S410" t="s">
        <v>44</v>
      </c>
      <c r="T410" t="s">
        <v>45</v>
      </c>
      <c r="U410" s="2" t="s">
        <v>581</v>
      </c>
      <c r="V410" s="9" t="s">
        <v>1896</v>
      </c>
      <c r="W410">
        <v>5.1260825220633996E+43</v>
      </c>
      <c r="X410" t="s">
        <v>46</v>
      </c>
      <c r="Y410" s="2" t="s">
        <v>717</v>
      </c>
      <c r="Z410" s="2" t="s">
        <v>718</v>
      </c>
      <c r="AA410" s="9" t="s">
        <v>715</v>
      </c>
      <c r="AC410" s="2"/>
      <c r="AD410" t="s">
        <v>7</v>
      </c>
      <c r="AE410" t="s">
        <v>1897</v>
      </c>
    </row>
    <row r="411" spans="1:31" x14ac:dyDescent="0.3">
      <c r="A411" s="17">
        <v>90739624000118</v>
      </c>
      <c r="B411" t="s">
        <v>8</v>
      </c>
      <c r="D411" t="s">
        <v>9</v>
      </c>
      <c r="E411" t="s">
        <v>2</v>
      </c>
      <c r="F411">
        <v>269308</v>
      </c>
      <c r="G411" s="1" t="s">
        <v>1898</v>
      </c>
      <c r="H411">
        <v>24999381</v>
      </c>
      <c r="I411">
        <v>10464</v>
      </c>
      <c r="J411" t="s">
        <v>10</v>
      </c>
      <c r="K411" s="17">
        <v>33286065000102</v>
      </c>
      <c r="L411" s="17">
        <v>9576274000106</v>
      </c>
      <c r="M411" s="9">
        <v>965.05</v>
      </c>
      <c r="N411" t="s">
        <v>43</v>
      </c>
      <c r="Q411" s="2"/>
      <c r="R411" s="9"/>
      <c r="S411" t="s">
        <v>44</v>
      </c>
      <c r="T411" t="s">
        <v>45</v>
      </c>
      <c r="U411" s="2" t="s">
        <v>581</v>
      </c>
      <c r="V411" s="9" t="s">
        <v>1899</v>
      </c>
      <c r="W411">
        <v>4.1260833286065001E+43</v>
      </c>
      <c r="X411" t="s">
        <v>46</v>
      </c>
      <c r="Y411" s="2" t="s">
        <v>717</v>
      </c>
      <c r="Z411" s="2" t="s">
        <v>718</v>
      </c>
      <c r="AA411" s="9" t="s">
        <v>715</v>
      </c>
      <c r="AC411" s="2"/>
      <c r="AD411" t="s">
        <v>7</v>
      </c>
      <c r="AE411" t="s">
        <v>1900</v>
      </c>
    </row>
    <row r="412" spans="1:31" x14ac:dyDescent="0.3">
      <c r="A412" s="17">
        <v>90739624000118</v>
      </c>
      <c r="B412" t="s">
        <v>58</v>
      </c>
      <c r="D412" t="s">
        <v>259</v>
      </c>
      <c r="E412" t="s">
        <v>2</v>
      </c>
      <c r="F412">
        <v>269308</v>
      </c>
      <c r="G412" s="1" t="s">
        <v>1901</v>
      </c>
      <c r="H412">
        <v>24999349</v>
      </c>
      <c r="J412" t="s">
        <v>167</v>
      </c>
      <c r="K412" s="17">
        <v>7473735016266</v>
      </c>
      <c r="L412" s="17"/>
      <c r="M412" s="9">
        <v>295.31</v>
      </c>
      <c r="N412" t="s">
        <v>43</v>
      </c>
      <c r="Q412" s="2"/>
      <c r="R412" s="9"/>
      <c r="S412" t="s">
        <v>87</v>
      </c>
      <c r="U412" s="2"/>
      <c r="V412" s="9"/>
      <c r="X412" t="s">
        <v>88</v>
      </c>
      <c r="Y412" s="2" t="s">
        <v>717</v>
      </c>
      <c r="Z412" s="2" t="s">
        <v>718</v>
      </c>
      <c r="AA412" s="9" t="s">
        <v>715</v>
      </c>
      <c r="AC412" s="2"/>
      <c r="AD412" t="s">
        <v>7</v>
      </c>
    </row>
    <row r="413" spans="1:31" x14ac:dyDescent="0.3">
      <c r="A413" s="17">
        <v>90739624000118</v>
      </c>
      <c r="B413" t="s">
        <v>18</v>
      </c>
      <c r="C413">
        <v>21783</v>
      </c>
      <c r="D413" t="s">
        <v>380</v>
      </c>
      <c r="E413" t="s">
        <v>2</v>
      </c>
      <c r="F413">
        <v>269308</v>
      </c>
      <c r="G413" s="1" t="s">
        <v>1903</v>
      </c>
      <c r="H413">
        <v>24999344</v>
      </c>
      <c r="I413">
        <v>15530</v>
      </c>
      <c r="J413" t="s">
        <v>57</v>
      </c>
      <c r="K413" s="17">
        <v>50206655000199</v>
      </c>
      <c r="L413" s="17">
        <v>90739624000380</v>
      </c>
      <c r="M413" s="9">
        <v>278.01</v>
      </c>
      <c r="N413" t="s">
        <v>43</v>
      </c>
      <c r="Q413" s="2"/>
      <c r="R413" s="9"/>
      <c r="S413" t="s">
        <v>44</v>
      </c>
      <c r="T413" t="s">
        <v>45</v>
      </c>
      <c r="U413" s="2" t="s">
        <v>583</v>
      </c>
      <c r="V413" s="9" t="s">
        <v>1904</v>
      </c>
      <c r="W413">
        <v>3.5260850206654998E+43</v>
      </c>
      <c r="X413" t="s">
        <v>46</v>
      </c>
      <c r="Y413" s="2" t="s">
        <v>717</v>
      </c>
      <c r="Z413" s="2" t="s">
        <v>718</v>
      </c>
      <c r="AA413" s="9" t="s">
        <v>715</v>
      </c>
      <c r="AC413" s="2"/>
      <c r="AD413" t="s">
        <v>7</v>
      </c>
      <c r="AE413" t="s">
        <v>1905</v>
      </c>
    </row>
    <row r="414" spans="1:31" x14ac:dyDescent="0.3">
      <c r="A414" s="17">
        <v>90739624000118</v>
      </c>
      <c r="B414" t="s">
        <v>11</v>
      </c>
      <c r="C414">
        <v>22475</v>
      </c>
      <c r="D414" t="s">
        <v>12</v>
      </c>
      <c r="E414" t="s">
        <v>2</v>
      </c>
      <c r="F414">
        <v>269308</v>
      </c>
      <c r="G414" s="1" t="s">
        <v>1906</v>
      </c>
      <c r="H414">
        <v>24999332</v>
      </c>
      <c r="I414">
        <v>4442</v>
      </c>
      <c r="J414" t="s">
        <v>117</v>
      </c>
      <c r="K414" s="17">
        <v>1756915000194</v>
      </c>
      <c r="L414" s="17">
        <v>90739624001947</v>
      </c>
      <c r="M414" s="9">
        <v>320.83999999999997</v>
      </c>
      <c r="N414" t="s">
        <v>43</v>
      </c>
      <c r="Q414" s="2"/>
      <c r="R414" s="9"/>
      <c r="S414" t="s">
        <v>44</v>
      </c>
      <c r="T414" t="s">
        <v>45</v>
      </c>
      <c r="U414" s="2" t="s">
        <v>583</v>
      </c>
      <c r="V414" s="9" t="s">
        <v>1907</v>
      </c>
      <c r="W414">
        <v>5.2260801756915002E+43</v>
      </c>
      <c r="X414" t="s">
        <v>46</v>
      </c>
      <c r="Y414" s="2" t="s">
        <v>717</v>
      </c>
      <c r="Z414" s="2" t="s">
        <v>718</v>
      </c>
      <c r="AA414" s="9" t="s">
        <v>715</v>
      </c>
      <c r="AC414" s="2"/>
      <c r="AD414" t="s">
        <v>7</v>
      </c>
      <c r="AE414" t="s">
        <v>1908</v>
      </c>
    </row>
    <row r="415" spans="1:31" x14ac:dyDescent="0.3">
      <c r="A415" s="17">
        <v>90739624000118</v>
      </c>
      <c r="B415" t="s">
        <v>25</v>
      </c>
      <c r="D415" t="s">
        <v>650</v>
      </c>
      <c r="E415" t="s">
        <v>2</v>
      </c>
      <c r="F415">
        <v>269308</v>
      </c>
      <c r="G415" s="1" t="s">
        <v>1909</v>
      </c>
      <c r="H415">
        <v>24999314</v>
      </c>
      <c r="I415">
        <v>144965</v>
      </c>
      <c r="J415" t="s">
        <v>206</v>
      </c>
      <c r="K415" s="17">
        <v>50128357000128</v>
      </c>
      <c r="L415" s="17">
        <v>90739624003486</v>
      </c>
      <c r="M415" s="9">
        <v>427.18</v>
      </c>
      <c r="N415" t="s">
        <v>43</v>
      </c>
      <c r="Q415" s="2"/>
      <c r="R415" s="9"/>
      <c r="S415" t="s">
        <v>44</v>
      </c>
      <c r="T415" t="s">
        <v>45</v>
      </c>
      <c r="U415" s="2" t="s">
        <v>581</v>
      </c>
      <c r="V415" s="9" t="s">
        <v>1910</v>
      </c>
      <c r="W415">
        <v>5.1260850128356998E+43</v>
      </c>
      <c r="X415" t="s">
        <v>46</v>
      </c>
      <c r="Y415" s="2" t="s">
        <v>717</v>
      </c>
      <c r="Z415" s="2" t="s">
        <v>718</v>
      </c>
      <c r="AA415" s="9" t="s">
        <v>715</v>
      </c>
      <c r="AC415" s="2"/>
      <c r="AD415" t="s">
        <v>7</v>
      </c>
      <c r="AE415" t="s">
        <v>1911</v>
      </c>
    </row>
    <row r="416" spans="1:31" x14ac:dyDescent="0.3">
      <c r="A416" s="17">
        <v>90739624000118</v>
      </c>
      <c r="B416" t="s">
        <v>13</v>
      </c>
      <c r="D416" t="s">
        <v>207</v>
      </c>
      <c r="E416" t="s">
        <v>2</v>
      </c>
      <c r="F416">
        <v>269308</v>
      </c>
      <c r="G416" s="1" t="s">
        <v>1912</v>
      </c>
      <c r="H416">
        <v>24999270</v>
      </c>
      <c r="I416">
        <v>117363</v>
      </c>
      <c r="J416" t="s">
        <v>340</v>
      </c>
      <c r="K416" s="17">
        <v>29127799000163</v>
      </c>
      <c r="L416" s="17">
        <v>90739624000380</v>
      </c>
      <c r="M416" s="9">
        <v>246.4</v>
      </c>
      <c r="N416" t="s">
        <v>43</v>
      </c>
      <c r="Q416" s="2"/>
      <c r="R416" s="9"/>
      <c r="S416" t="s">
        <v>44</v>
      </c>
      <c r="T416" t="s">
        <v>45</v>
      </c>
      <c r="U416" s="2" t="s">
        <v>581</v>
      </c>
      <c r="V416" s="9" t="s">
        <v>1913</v>
      </c>
      <c r="W416">
        <v>3.5260829127798998E+43</v>
      </c>
      <c r="X416" t="s">
        <v>46</v>
      </c>
      <c r="Y416" s="2" t="s">
        <v>717</v>
      </c>
      <c r="Z416" s="2" t="s">
        <v>718</v>
      </c>
      <c r="AA416" s="9" t="s">
        <v>715</v>
      </c>
      <c r="AC416" s="2"/>
      <c r="AD416" t="s">
        <v>7</v>
      </c>
      <c r="AE416" t="s">
        <v>1914</v>
      </c>
    </row>
    <row r="417" spans="1:31" x14ac:dyDescent="0.3">
      <c r="A417" s="17">
        <v>90739624000118</v>
      </c>
      <c r="B417" t="s">
        <v>65</v>
      </c>
      <c r="D417" t="s">
        <v>644</v>
      </c>
      <c r="E417" t="s">
        <v>2</v>
      </c>
      <c r="F417">
        <v>269308</v>
      </c>
      <c r="G417" s="1" t="s">
        <v>1915</v>
      </c>
      <c r="H417">
        <v>24999157</v>
      </c>
      <c r="I417">
        <v>24406</v>
      </c>
      <c r="J417" t="s">
        <v>646</v>
      </c>
      <c r="K417" s="17">
        <v>7473735009308</v>
      </c>
      <c r="L417" s="17">
        <v>90739624002323</v>
      </c>
      <c r="M417" s="9">
        <v>366.52</v>
      </c>
      <c r="N417" t="s">
        <v>43</v>
      </c>
      <c r="Q417" s="2"/>
      <c r="R417" s="9"/>
      <c r="S417" t="s">
        <v>44</v>
      </c>
      <c r="T417" t="s">
        <v>45</v>
      </c>
      <c r="U417" s="2" t="s">
        <v>581</v>
      </c>
      <c r="V417" s="9" t="s">
        <v>1916</v>
      </c>
      <c r="W417">
        <v>4.3260807473734999E+43</v>
      </c>
      <c r="X417" t="s">
        <v>46</v>
      </c>
      <c r="Y417" s="2" t="s">
        <v>717</v>
      </c>
      <c r="Z417" s="2" t="s">
        <v>718</v>
      </c>
      <c r="AA417" s="9" t="s">
        <v>715</v>
      </c>
      <c r="AC417" s="2"/>
      <c r="AD417" t="s">
        <v>7</v>
      </c>
      <c r="AE417" t="s">
        <v>1917</v>
      </c>
    </row>
    <row r="418" spans="1:31" x14ac:dyDescent="0.3">
      <c r="A418" s="17">
        <v>90739624000118</v>
      </c>
      <c r="B418" t="s">
        <v>100</v>
      </c>
      <c r="C418">
        <v>23340</v>
      </c>
      <c r="D418" t="s">
        <v>229</v>
      </c>
      <c r="E418" t="s">
        <v>2</v>
      </c>
      <c r="F418">
        <v>269308</v>
      </c>
      <c r="G418" s="1" t="s">
        <v>1918</v>
      </c>
      <c r="H418">
        <v>24998923</v>
      </c>
      <c r="I418">
        <v>131745</v>
      </c>
      <c r="J418" t="s">
        <v>152</v>
      </c>
      <c r="K418" s="17">
        <v>23891404000118</v>
      </c>
      <c r="L418" s="17">
        <v>90739624001866</v>
      </c>
      <c r="M418" s="9">
        <v>659.88</v>
      </c>
      <c r="N418" t="s">
        <v>43</v>
      </c>
      <c r="Q418" s="2"/>
      <c r="R418" s="9"/>
      <c r="S418" t="s">
        <v>44</v>
      </c>
      <c r="T418" t="s">
        <v>45</v>
      </c>
      <c r="U418" s="2" t="s">
        <v>581</v>
      </c>
      <c r="V418" s="9" t="s">
        <v>1919</v>
      </c>
      <c r="W418">
        <v>5.1260823891404E+43</v>
      </c>
      <c r="X418" t="s">
        <v>46</v>
      </c>
      <c r="Y418" s="2" t="s">
        <v>717</v>
      </c>
      <c r="Z418" s="2" t="s">
        <v>718</v>
      </c>
      <c r="AA418" s="9" t="s">
        <v>715</v>
      </c>
      <c r="AC418" s="2"/>
      <c r="AD418" t="s">
        <v>7</v>
      </c>
      <c r="AE418" t="s">
        <v>1920</v>
      </c>
    </row>
    <row r="419" spans="1:31" x14ac:dyDescent="0.3">
      <c r="A419" s="17">
        <v>90739624000118</v>
      </c>
      <c r="B419" t="s">
        <v>65</v>
      </c>
      <c r="D419" t="s">
        <v>66</v>
      </c>
      <c r="E419" t="s">
        <v>2</v>
      </c>
      <c r="F419">
        <v>269308</v>
      </c>
      <c r="G419" s="1" t="s">
        <v>1921</v>
      </c>
      <c r="H419">
        <v>24998896</v>
      </c>
      <c r="I419">
        <v>75384</v>
      </c>
      <c r="J419" t="s">
        <v>67</v>
      </c>
      <c r="K419" s="17">
        <v>7473735006031</v>
      </c>
      <c r="L419" s="17">
        <v>90739624002323</v>
      </c>
      <c r="M419" s="9">
        <v>233.91</v>
      </c>
      <c r="N419" t="s">
        <v>43</v>
      </c>
      <c r="Q419" s="2"/>
      <c r="R419" s="9"/>
      <c r="S419" t="s">
        <v>44</v>
      </c>
      <c r="T419" t="s">
        <v>45</v>
      </c>
      <c r="U419" s="2" t="s">
        <v>581</v>
      </c>
      <c r="V419" s="9" t="s">
        <v>1922</v>
      </c>
      <c r="W419">
        <v>4.3260807473734999E+43</v>
      </c>
      <c r="X419" t="s">
        <v>46</v>
      </c>
      <c r="Y419" s="2" t="s">
        <v>717</v>
      </c>
      <c r="Z419" s="2" t="s">
        <v>718</v>
      </c>
      <c r="AA419" s="9" t="s">
        <v>715</v>
      </c>
      <c r="AC419" s="2"/>
      <c r="AD419" t="s">
        <v>7</v>
      </c>
      <c r="AE419" t="s">
        <v>1923</v>
      </c>
    </row>
    <row r="420" spans="1:31" x14ac:dyDescent="0.3">
      <c r="A420" s="17">
        <v>90739624000118</v>
      </c>
      <c r="B420" t="s">
        <v>25</v>
      </c>
      <c r="D420" t="s">
        <v>129</v>
      </c>
      <c r="E420" t="s">
        <v>2</v>
      </c>
      <c r="F420">
        <v>269308</v>
      </c>
      <c r="G420" s="1" t="s">
        <v>1924</v>
      </c>
      <c r="H420">
        <v>24998829</v>
      </c>
      <c r="I420">
        <v>74750</v>
      </c>
      <c r="J420" t="s">
        <v>130</v>
      </c>
      <c r="K420" s="17">
        <v>1594553000182</v>
      </c>
      <c r="L420" s="17">
        <v>90739624001866</v>
      </c>
      <c r="M420" s="9">
        <v>102</v>
      </c>
      <c r="N420" t="s">
        <v>43</v>
      </c>
      <c r="Q420" s="2"/>
      <c r="R420" s="9"/>
      <c r="S420" t="s">
        <v>44</v>
      </c>
      <c r="T420" t="s">
        <v>45</v>
      </c>
      <c r="U420" s="2" t="s">
        <v>581</v>
      </c>
      <c r="V420" s="9" t="s">
        <v>1925</v>
      </c>
      <c r="W420">
        <v>5.1260801594553001E+43</v>
      </c>
      <c r="X420" t="s">
        <v>46</v>
      </c>
      <c r="Y420" s="2" t="s">
        <v>717</v>
      </c>
      <c r="Z420" s="2" t="s">
        <v>718</v>
      </c>
      <c r="AA420" s="9" t="s">
        <v>715</v>
      </c>
      <c r="AC420" s="2"/>
      <c r="AD420" t="s">
        <v>7</v>
      </c>
      <c r="AE420" t="s">
        <v>1926</v>
      </c>
    </row>
    <row r="421" spans="1:31" x14ac:dyDescent="0.3">
      <c r="A421" s="17">
        <v>90739624000118</v>
      </c>
      <c r="B421" t="s">
        <v>31</v>
      </c>
      <c r="C421">
        <v>22137</v>
      </c>
      <c r="D421" t="s">
        <v>544</v>
      </c>
      <c r="E421" t="s">
        <v>2</v>
      </c>
      <c r="F421">
        <v>269308</v>
      </c>
      <c r="G421" s="1" t="s">
        <v>1927</v>
      </c>
      <c r="H421">
        <v>24998672</v>
      </c>
      <c r="I421">
        <v>16038</v>
      </c>
      <c r="J421" t="s">
        <v>142</v>
      </c>
      <c r="K421" s="17">
        <v>54494203000100</v>
      </c>
      <c r="L421" s="17">
        <v>90739624001866</v>
      </c>
      <c r="M421" s="9">
        <v>89.7</v>
      </c>
      <c r="N421" t="s">
        <v>43</v>
      </c>
      <c r="Q421" s="2"/>
      <c r="R421" s="9"/>
      <c r="S421" t="s">
        <v>44</v>
      </c>
      <c r="T421" t="s">
        <v>45</v>
      </c>
      <c r="U421" s="2" t="s">
        <v>1039</v>
      </c>
      <c r="V421" s="9" t="s">
        <v>1928</v>
      </c>
      <c r="W421">
        <v>5.1260854494202996E+43</v>
      </c>
      <c r="X421" t="s">
        <v>46</v>
      </c>
      <c r="Y421" s="2" t="s">
        <v>717</v>
      </c>
      <c r="Z421" s="2" t="s">
        <v>718</v>
      </c>
      <c r="AA421" s="9" t="s">
        <v>715</v>
      </c>
      <c r="AC421" s="2"/>
      <c r="AD421" t="s">
        <v>7</v>
      </c>
      <c r="AE421" t="s">
        <v>1929</v>
      </c>
    </row>
    <row r="422" spans="1:31" x14ac:dyDescent="0.3">
      <c r="A422" s="17">
        <v>90739624000118</v>
      </c>
      <c r="B422" t="s">
        <v>36</v>
      </c>
      <c r="D422" t="s">
        <v>364</v>
      </c>
      <c r="E422" t="s">
        <v>2</v>
      </c>
      <c r="F422">
        <v>269308</v>
      </c>
      <c r="G422" s="1" t="s">
        <v>1930</v>
      </c>
      <c r="H422">
        <v>24998532</v>
      </c>
      <c r="I422">
        <v>4212</v>
      </c>
      <c r="J422" t="s">
        <v>186</v>
      </c>
      <c r="K422" s="17">
        <v>7822636000168</v>
      </c>
      <c r="L422" s="17">
        <v>90739624004458</v>
      </c>
      <c r="M422" s="9">
        <v>295.07</v>
      </c>
      <c r="N422" t="s">
        <v>43</v>
      </c>
      <c r="Q422" s="2"/>
      <c r="R422" s="9"/>
      <c r="S422" t="s">
        <v>44</v>
      </c>
      <c r="T422" t="s">
        <v>45</v>
      </c>
      <c r="U422" s="2" t="s">
        <v>581</v>
      </c>
      <c r="V422" s="9" t="s">
        <v>674</v>
      </c>
      <c r="W422">
        <v>5.3260807822636003E+43</v>
      </c>
      <c r="X422" t="s">
        <v>46</v>
      </c>
      <c r="Y422" s="2" t="s">
        <v>717</v>
      </c>
      <c r="Z422" s="2" t="s">
        <v>718</v>
      </c>
      <c r="AA422" s="9" t="s">
        <v>715</v>
      </c>
      <c r="AC422" s="2"/>
      <c r="AD422" t="s">
        <v>7</v>
      </c>
      <c r="AE422" t="s">
        <v>1932</v>
      </c>
    </row>
    <row r="423" spans="1:31" x14ac:dyDescent="0.3">
      <c r="A423" s="17">
        <v>90739624000118</v>
      </c>
      <c r="B423" t="s">
        <v>58</v>
      </c>
      <c r="D423" t="s">
        <v>59</v>
      </c>
      <c r="E423" t="s">
        <v>2</v>
      </c>
      <c r="F423">
        <v>269308</v>
      </c>
      <c r="G423" s="1" t="s">
        <v>1933</v>
      </c>
      <c r="H423">
        <v>24998492</v>
      </c>
      <c r="I423">
        <v>74383</v>
      </c>
      <c r="J423" t="s">
        <v>60</v>
      </c>
      <c r="K423" s="17">
        <v>7473735018200</v>
      </c>
      <c r="L423" s="17">
        <v>90739624002323</v>
      </c>
      <c r="M423" s="9">
        <v>593.17999999999995</v>
      </c>
      <c r="N423" t="s">
        <v>43</v>
      </c>
      <c r="Q423" s="2"/>
      <c r="R423" s="9"/>
      <c r="S423" t="s">
        <v>44</v>
      </c>
      <c r="T423" t="s">
        <v>45</v>
      </c>
      <c r="U423" s="2" t="s">
        <v>581</v>
      </c>
      <c r="V423" s="9" t="s">
        <v>1934</v>
      </c>
      <c r="W423">
        <v>4.3260807473734999E+43</v>
      </c>
      <c r="X423" t="s">
        <v>46</v>
      </c>
      <c r="Y423" s="2" t="s">
        <v>717</v>
      </c>
      <c r="Z423" s="2" t="s">
        <v>718</v>
      </c>
      <c r="AA423" s="9" t="s">
        <v>715</v>
      </c>
      <c r="AC423" s="2"/>
      <c r="AD423" t="s">
        <v>7</v>
      </c>
      <c r="AE423" t="s">
        <v>1935</v>
      </c>
    </row>
    <row r="424" spans="1:31" x14ac:dyDescent="0.3">
      <c r="A424" s="17">
        <v>90739624000118</v>
      </c>
      <c r="B424" t="s">
        <v>58</v>
      </c>
      <c r="C424">
        <v>26122</v>
      </c>
      <c r="D424" t="s">
        <v>102</v>
      </c>
      <c r="E424" t="s">
        <v>2</v>
      </c>
      <c r="F424">
        <v>269308</v>
      </c>
      <c r="G424" s="1" t="s">
        <v>1936</v>
      </c>
      <c r="H424">
        <v>24998121</v>
      </c>
      <c r="I424">
        <v>11596</v>
      </c>
      <c r="J424" t="s">
        <v>360</v>
      </c>
      <c r="K424" s="17">
        <v>7473735006201</v>
      </c>
      <c r="L424" s="17">
        <v>90739624002323</v>
      </c>
      <c r="M424" s="9">
        <v>315.04000000000002</v>
      </c>
      <c r="N424" t="s">
        <v>43</v>
      </c>
      <c r="Q424" s="2"/>
      <c r="R424" s="9"/>
      <c r="S424" t="s">
        <v>44</v>
      </c>
      <c r="T424" t="s">
        <v>45</v>
      </c>
      <c r="U424" s="2" t="s">
        <v>581</v>
      </c>
      <c r="V424" s="9" t="s">
        <v>1937</v>
      </c>
      <c r="W424">
        <v>4.3260807473734999E+43</v>
      </c>
      <c r="X424" t="s">
        <v>46</v>
      </c>
      <c r="Y424" s="2" t="s">
        <v>717</v>
      </c>
      <c r="Z424" s="2" t="s">
        <v>718</v>
      </c>
      <c r="AA424" s="9" t="s">
        <v>715</v>
      </c>
      <c r="AC424" s="2"/>
      <c r="AD424" t="s">
        <v>7</v>
      </c>
      <c r="AE424" t="s">
        <v>1938</v>
      </c>
    </row>
    <row r="425" spans="1:31" x14ac:dyDescent="0.3">
      <c r="A425" s="17">
        <v>90739624000118</v>
      </c>
      <c r="B425" t="s">
        <v>11</v>
      </c>
      <c r="D425" t="s">
        <v>30</v>
      </c>
      <c r="E425" t="s">
        <v>2</v>
      </c>
      <c r="F425">
        <v>269308</v>
      </c>
      <c r="G425" s="1" t="s">
        <v>1939</v>
      </c>
      <c r="H425">
        <v>24998068</v>
      </c>
      <c r="I425">
        <v>11662</v>
      </c>
      <c r="J425" t="s">
        <v>143</v>
      </c>
      <c r="K425" s="17">
        <v>4505289000151</v>
      </c>
      <c r="L425" s="17">
        <v>90739624001866</v>
      </c>
      <c r="M425" s="9">
        <v>227.45</v>
      </c>
      <c r="N425" t="s">
        <v>43</v>
      </c>
      <c r="Q425" s="2"/>
      <c r="R425" s="9"/>
      <c r="S425" t="s">
        <v>44</v>
      </c>
      <c r="T425" t="s">
        <v>45</v>
      </c>
      <c r="U425" s="2" t="s">
        <v>581</v>
      </c>
      <c r="V425" s="9" t="s">
        <v>1000</v>
      </c>
      <c r="W425">
        <v>5.1260804505289001E+43</v>
      </c>
      <c r="X425" t="s">
        <v>46</v>
      </c>
      <c r="Y425" s="2" t="s">
        <v>717</v>
      </c>
      <c r="Z425" s="2" t="s">
        <v>718</v>
      </c>
      <c r="AA425" s="9" t="s">
        <v>715</v>
      </c>
      <c r="AC425" s="2"/>
      <c r="AD425" t="s">
        <v>7</v>
      </c>
      <c r="AE425" t="s">
        <v>1940</v>
      </c>
    </row>
    <row r="426" spans="1:31" x14ac:dyDescent="0.3">
      <c r="A426" s="17">
        <v>90739624000118</v>
      </c>
      <c r="B426" t="s">
        <v>100</v>
      </c>
      <c r="D426" t="s">
        <v>135</v>
      </c>
      <c r="E426" t="s">
        <v>2</v>
      </c>
      <c r="F426">
        <v>269308</v>
      </c>
      <c r="G426" s="1" t="s">
        <v>1941</v>
      </c>
      <c r="H426">
        <v>24997957</v>
      </c>
      <c r="I426">
        <v>21686</v>
      </c>
      <c r="J426" t="s">
        <v>136</v>
      </c>
      <c r="K426" s="17">
        <v>33855749000170</v>
      </c>
      <c r="L426" s="17">
        <v>90739624001866</v>
      </c>
      <c r="M426" s="9">
        <v>317.77</v>
      </c>
      <c r="N426" t="s">
        <v>43</v>
      </c>
      <c r="Q426" s="2"/>
      <c r="R426" s="9"/>
      <c r="S426" t="s">
        <v>44</v>
      </c>
      <c r="T426" t="s">
        <v>45</v>
      </c>
      <c r="U426" s="2" t="s">
        <v>581</v>
      </c>
      <c r="V426" s="9" t="s">
        <v>1942</v>
      </c>
      <c r="W426">
        <v>5.1260833855749002E+43</v>
      </c>
      <c r="X426" t="s">
        <v>46</v>
      </c>
      <c r="Y426" s="2" t="s">
        <v>717</v>
      </c>
      <c r="Z426" s="2" t="s">
        <v>718</v>
      </c>
      <c r="AA426" s="9" t="s">
        <v>715</v>
      </c>
      <c r="AC426" s="2"/>
      <c r="AD426" t="s">
        <v>7</v>
      </c>
      <c r="AE426" t="s">
        <v>1943</v>
      </c>
    </row>
    <row r="427" spans="1:31" x14ac:dyDescent="0.3">
      <c r="A427" s="17">
        <v>90739624000118</v>
      </c>
      <c r="B427" t="s">
        <v>100</v>
      </c>
      <c r="C427">
        <v>23395</v>
      </c>
      <c r="D427" t="s">
        <v>188</v>
      </c>
      <c r="E427" t="s">
        <v>2</v>
      </c>
      <c r="F427">
        <v>269308</v>
      </c>
      <c r="G427" s="1" t="s">
        <v>1944</v>
      </c>
      <c r="H427">
        <v>24997922</v>
      </c>
      <c r="I427">
        <v>10251</v>
      </c>
      <c r="J427" t="s">
        <v>189</v>
      </c>
      <c r="K427" s="17">
        <v>50128357000551</v>
      </c>
      <c r="L427" s="17">
        <v>90739624001866</v>
      </c>
      <c r="M427" s="9">
        <v>242.49</v>
      </c>
      <c r="N427" t="s">
        <v>43</v>
      </c>
      <c r="Q427" s="2"/>
      <c r="R427" s="9"/>
      <c r="S427" t="s">
        <v>44</v>
      </c>
      <c r="T427" t="s">
        <v>45</v>
      </c>
      <c r="U427" s="2" t="s">
        <v>581</v>
      </c>
      <c r="V427" s="9" t="s">
        <v>1945</v>
      </c>
      <c r="W427">
        <v>5.1260850128356998E+43</v>
      </c>
      <c r="X427" t="s">
        <v>46</v>
      </c>
      <c r="Y427" s="2" t="s">
        <v>717</v>
      </c>
      <c r="Z427" s="2" t="s">
        <v>718</v>
      </c>
      <c r="AA427" s="9" t="s">
        <v>715</v>
      </c>
      <c r="AC427" s="2"/>
      <c r="AD427" t="s">
        <v>7</v>
      </c>
      <c r="AE427" t="s">
        <v>1946</v>
      </c>
    </row>
    <row r="428" spans="1:31" x14ac:dyDescent="0.3">
      <c r="A428" s="17">
        <v>90739624000118</v>
      </c>
      <c r="B428" t="s">
        <v>61</v>
      </c>
      <c r="D428" t="s">
        <v>128</v>
      </c>
      <c r="E428" t="s">
        <v>2</v>
      </c>
      <c r="F428">
        <v>269308</v>
      </c>
      <c r="G428" s="1" t="s">
        <v>1947</v>
      </c>
      <c r="H428">
        <v>24997907</v>
      </c>
      <c r="I428">
        <v>820537</v>
      </c>
      <c r="J428" t="s">
        <v>62</v>
      </c>
      <c r="K428" s="17">
        <v>79964177000591</v>
      </c>
      <c r="L428" s="17">
        <v>9576274000106</v>
      </c>
      <c r="M428" s="9">
        <v>1673.55</v>
      </c>
      <c r="N428" t="s">
        <v>43</v>
      </c>
      <c r="Q428" s="2"/>
      <c r="R428" s="9"/>
      <c r="S428" t="s">
        <v>44</v>
      </c>
      <c r="T428" t="s">
        <v>45</v>
      </c>
      <c r="U428" s="2" t="s">
        <v>581</v>
      </c>
      <c r="V428" s="9" t="s">
        <v>1948</v>
      </c>
      <c r="W428">
        <v>4.1260879964176998E+43</v>
      </c>
      <c r="X428" t="s">
        <v>46</v>
      </c>
      <c r="Y428" s="2" t="s">
        <v>717</v>
      </c>
      <c r="Z428" s="2" t="s">
        <v>718</v>
      </c>
      <c r="AA428" s="9" t="s">
        <v>715</v>
      </c>
      <c r="AC428" s="2"/>
      <c r="AD428" t="s">
        <v>7</v>
      </c>
      <c r="AE428" t="s">
        <v>1949</v>
      </c>
    </row>
    <row r="429" spans="1:31" x14ac:dyDescent="0.3">
      <c r="A429" s="17">
        <v>90739624000118</v>
      </c>
      <c r="B429" t="s">
        <v>28</v>
      </c>
      <c r="C429">
        <v>21637</v>
      </c>
      <c r="D429" t="s">
        <v>549</v>
      </c>
      <c r="E429" t="s">
        <v>2</v>
      </c>
      <c r="F429">
        <v>269308</v>
      </c>
      <c r="G429" s="1" t="s">
        <v>1950</v>
      </c>
      <c r="H429">
        <v>24997868</v>
      </c>
      <c r="I429">
        <v>4210</v>
      </c>
      <c r="J429" t="s">
        <v>186</v>
      </c>
      <c r="K429" s="17">
        <v>7822636000168</v>
      </c>
      <c r="L429" s="17">
        <v>90739624004458</v>
      </c>
      <c r="M429" s="9">
        <v>392.52</v>
      </c>
      <c r="N429" t="s">
        <v>43</v>
      </c>
      <c r="Q429" s="2"/>
      <c r="R429" s="9"/>
      <c r="S429" t="s">
        <v>44</v>
      </c>
      <c r="T429" t="s">
        <v>45</v>
      </c>
      <c r="U429" s="2" t="s">
        <v>581</v>
      </c>
      <c r="V429" s="9" t="s">
        <v>1951</v>
      </c>
      <c r="W429">
        <v>5.3260807822636003E+43</v>
      </c>
      <c r="X429" t="s">
        <v>46</v>
      </c>
      <c r="Y429" s="2" t="s">
        <v>717</v>
      </c>
      <c r="Z429" s="2" t="s">
        <v>718</v>
      </c>
      <c r="AA429" s="9" t="s">
        <v>715</v>
      </c>
      <c r="AC429" s="2"/>
      <c r="AD429" t="s">
        <v>7</v>
      </c>
      <c r="AE429" t="s">
        <v>1952</v>
      </c>
    </row>
    <row r="430" spans="1:31" x14ac:dyDescent="0.3">
      <c r="A430" s="17">
        <v>90739624000118</v>
      </c>
      <c r="B430" t="s">
        <v>25</v>
      </c>
      <c r="D430" t="s">
        <v>131</v>
      </c>
      <c r="E430" t="s">
        <v>2</v>
      </c>
      <c r="F430">
        <v>269308</v>
      </c>
      <c r="G430" s="1" t="s">
        <v>1953</v>
      </c>
      <c r="H430">
        <v>24997854</v>
      </c>
      <c r="I430">
        <v>33995</v>
      </c>
      <c r="J430" t="s">
        <v>132</v>
      </c>
      <c r="K430" s="17">
        <v>10588554000105</v>
      </c>
      <c r="L430" s="17">
        <v>90739624003486</v>
      </c>
      <c r="M430" s="9">
        <v>126.28</v>
      </c>
      <c r="N430" t="s">
        <v>43</v>
      </c>
      <c r="Q430" s="2"/>
      <c r="R430" s="9"/>
      <c r="S430" t="s">
        <v>44</v>
      </c>
      <c r="T430" t="s">
        <v>45</v>
      </c>
      <c r="U430" s="2" t="s">
        <v>581</v>
      </c>
      <c r="V430" s="9" t="s">
        <v>1954</v>
      </c>
      <c r="W430">
        <v>5.1260810588554005E+43</v>
      </c>
      <c r="X430" t="s">
        <v>46</v>
      </c>
      <c r="Y430" s="2" t="s">
        <v>717</v>
      </c>
      <c r="Z430" s="2" t="s">
        <v>718</v>
      </c>
      <c r="AA430" s="9" t="s">
        <v>715</v>
      </c>
      <c r="AC430" s="2"/>
      <c r="AD430" t="s">
        <v>7</v>
      </c>
      <c r="AE430" t="s">
        <v>1955</v>
      </c>
    </row>
    <row r="431" spans="1:31" x14ac:dyDescent="0.3">
      <c r="A431" s="17">
        <v>90739624000118</v>
      </c>
      <c r="B431" t="s">
        <v>36</v>
      </c>
      <c r="D431" t="s">
        <v>510</v>
      </c>
      <c r="E431" t="s">
        <v>2</v>
      </c>
      <c r="F431">
        <v>269308</v>
      </c>
      <c r="G431" s="1" t="s">
        <v>1956</v>
      </c>
      <c r="H431">
        <v>24997727</v>
      </c>
      <c r="J431" t="s">
        <v>37</v>
      </c>
      <c r="K431" s="17">
        <v>35257918000103</v>
      </c>
      <c r="L431" s="17"/>
      <c r="M431" s="9">
        <v>119.89</v>
      </c>
      <c r="N431" t="s">
        <v>43</v>
      </c>
      <c r="Q431" s="2"/>
      <c r="R431" s="9"/>
      <c r="S431" t="s">
        <v>87</v>
      </c>
      <c r="U431" s="2"/>
      <c r="V431" s="9"/>
      <c r="X431" t="s">
        <v>88</v>
      </c>
      <c r="Y431" s="2" t="s">
        <v>717</v>
      </c>
      <c r="Z431" s="2" t="s">
        <v>718</v>
      </c>
      <c r="AA431" s="9" t="s">
        <v>715</v>
      </c>
      <c r="AC431" s="2"/>
      <c r="AD431" t="s">
        <v>7</v>
      </c>
    </row>
    <row r="432" spans="1:31" x14ac:dyDescent="0.3">
      <c r="A432" s="17">
        <v>90739624000118</v>
      </c>
      <c r="B432" t="s">
        <v>120</v>
      </c>
      <c r="C432">
        <v>23838</v>
      </c>
      <c r="D432" t="s">
        <v>121</v>
      </c>
      <c r="E432" t="s">
        <v>2</v>
      </c>
      <c r="F432">
        <v>269308</v>
      </c>
      <c r="G432" s="1" t="s">
        <v>1958</v>
      </c>
      <c r="H432">
        <v>24997547</v>
      </c>
      <c r="J432" t="s">
        <v>1959</v>
      </c>
      <c r="K432" s="17">
        <v>5313833000126</v>
      </c>
      <c r="L432" s="17"/>
      <c r="M432" s="9">
        <v>221.24</v>
      </c>
      <c r="N432" t="s">
        <v>43</v>
      </c>
      <c r="Q432" s="2"/>
      <c r="R432" s="9"/>
      <c r="S432" t="s">
        <v>87</v>
      </c>
      <c r="U432" s="2"/>
      <c r="V432" s="9"/>
      <c r="X432" t="s">
        <v>88</v>
      </c>
      <c r="Y432" s="2" t="s">
        <v>717</v>
      </c>
      <c r="Z432" s="2" t="s">
        <v>718</v>
      </c>
      <c r="AA432" s="9" t="s">
        <v>715</v>
      </c>
      <c r="AC432" s="2"/>
      <c r="AD432" t="s">
        <v>7</v>
      </c>
    </row>
    <row r="433" spans="1:31" x14ac:dyDescent="0.3">
      <c r="A433" s="17">
        <v>90739624000118</v>
      </c>
      <c r="B433" t="s">
        <v>25</v>
      </c>
      <c r="D433" t="s">
        <v>703</v>
      </c>
      <c r="E433" t="s">
        <v>2</v>
      </c>
      <c r="F433">
        <v>269308</v>
      </c>
      <c r="G433" s="1" t="s">
        <v>1961</v>
      </c>
      <c r="H433">
        <v>24997533</v>
      </c>
      <c r="I433">
        <v>144935</v>
      </c>
      <c r="J433" t="s">
        <v>206</v>
      </c>
      <c r="K433" s="17">
        <v>50128357000128</v>
      </c>
      <c r="L433" s="17">
        <v>90739624003486</v>
      </c>
      <c r="M433" s="9">
        <v>287.25</v>
      </c>
      <c r="N433" t="s">
        <v>43</v>
      </c>
      <c r="Q433" s="2"/>
      <c r="R433" s="9"/>
      <c r="S433" t="s">
        <v>44</v>
      </c>
      <c r="T433" t="s">
        <v>45</v>
      </c>
      <c r="U433" s="2" t="s">
        <v>581</v>
      </c>
      <c r="V433" s="9" t="s">
        <v>1962</v>
      </c>
      <c r="W433">
        <v>5.1260850128356998E+43</v>
      </c>
      <c r="X433" t="s">
        <v>46</v>
      </c>
      <c r="Y433" s="2" t="s">
        <v>717</v>
      </c>
      <c r="Z433" s="2" t="s">
        <v>718</v>
      </c>
      <c r="AA433" s="9" t="s">
        <v>715</v>
      </c>
      <c r="AC433" s="2"/>
      <c r="AD433" t="s">
        <v>7</v>
      </c>
      <c r="AE433" t="s">
        <v>1963</v>
      </c>
    </row>
    <row r="434" spans="1:31" x14ac:dyDescent="0.3">
      <c r="A434" s="17">
        <v>90739624000118</v>
      </c>
      <c r="B434" t="s">
        <v>100</v>
      </c>
      <c r="D434" t="s">
        <v>101</v>
      </c>
      <c r="E434" t="s">
        <v>2</v>
      </c>
      <c r="F434">
        <v>269308</v>
      </c>
      <c r="G434" s="1" t="s">
        <v>1964</v>
      </c>
      <c r="H434">
        <v>24996830</v>
      </c>
      <c r="I434">
        <v>137988</v>
      </c>
      <c r="J434" t="s">
        <v>27</v>
      </c>
      <c r="K434" s="17">
        <v>2031363000110</v>
      </c>
      <c r="L434" s="17">
        <v>90739624001947</v>
      </c>
      <c r="M434" s="9">
        <v>214.06</v>
      </c>
      <c r="N434" t="s">
        <v>43</v>
      </c>
      <c r="Q434" s="2"/>
      <c r="R434" s="9"/>
      <c r="S434" t="s">
        <v>44</v>
      </c>
      <c r="T434" t="s">
        <v>45</v>
      </c>
      <c r="U434" s="2" t="s">
        <v>581</v>
      </c>
      <c r="V434" s="9" t="s">
        <v>1965</v>
      </c>
      <c r="W434">
        <v>5.2260802031363001E+43</v>
      </c>
      <c r="X434" t="s">
        <v>46</v>
      </c>
      <c r="Y434" s="2" t="s">
        <v>717</v>
      </c>
      <c r="Z434" s="2" t="s">
        <v>718</v>
      </c>
      <c r="AA434" s="9" t="s">
        <v>715</v>
      </c>
      <c r="AC434" s="2"/>
      <c r="AD434" t="s">
        <v>7</v>
      </c>
      <c r="AE434" t="s">
        <v>1966</v>
      </c>
    </row>
    <row r="435" spans="1:31" x14ac:dyDescent="0.3">
      <c r="A435" s="17">
        <v>90739624000118</v>
      </c>
      <c r="B435" t="s">
        <v>31</v>
      </c>
      <c r="C435">
        <v>21312</v>
      </c>
      <c r="D435" t="s">
        <v>368</v>
      </c>
      <c r="E435" t="s">
        <v>2</v>
      </c>
      <c r="F435">
        <v>269308</v>
      </c>
      <c r="G435" s="1" t="s">
        <v>1967</v>
      </c>
      <c r="H435">
        <v>24996796</v>
      </c>
      <c r="I435">
        <v>54811</v>
      </c>
      <c r="J435" t="s">
        <v>56</v>
      </c>
      <c r="K435" s="17">
        <v>8603562000212</v>
      </c>
      <c r="L435" s="17">
        <v>90739624001866</v>
      </c>
      <c r="M435" s="9">
        <v>122.08</v>
      </c>
      <c r="N435" t="s">
        <v>43</v>
      </c>
      <c r="Q435" s="2"/>
      <c r="R435" s="9"/>
      <c r="S435" t="s">
        <v>44</v>
      </c>
      <c r="T435" t="s">
        <v>45</v>
      </c>
      <c r="U435" s="2" t="s">
        <v>581</v>
      </c>
      <c r="V435" s="9" t="s">
        <v>1968</v>
      </c>
      <c r="W435">
        <v>5.1260808603562005E+43</v>
      </c>
      <c r="X435" t="s">
        <v>46</v>
      </c>
      <c r="Y435" s="2" t="s">
        <v>717</v>
      </c>
      <c r="Z435" s="2" t="s">
        <v>718</v>
      </c>
      <c r="AA435" s="9" t="s">
        <v>715</v>
      </c>
      <c r="AC435" s="2"/>
      <c r="AD435" t="s">
        <v>7</v>
      </c>
      <c r="AE435" t="s">
        <v>1969</v>
      </c>
    </row>
    <row r="436" spans="1:31" x14ac:dyDescent="0.3">
      <c r="A436" s="17">
        <v>90739624000118</v>
      </c>
      <c r="B436" t="s">
        <v>8</v>
      </c>
      <c r="C436">
        <v>22460</v>
      </c>
      <c r="D436" t="s">
        <v>154</v>
      </c>
      <c r="E436" t="s">
        <v>2</v>
      </c>
      <c r="F436">
        <v>269308</v>
      </c>
      <c r="G436" s="1" t="s">
        <v>1970</v>
      </c>
      <c r="H436">
        <v>24996110</v>
      </c>
      <c r="I436">
        <v>10608</v>
      </c>
      <c r="J436" t="s">
        <v>144</v>
      </c>
      <c r="K436" s="17">
        <v>37607755000169</v>
      </c>
      <c r="L436" s="17">
        <v>9576274000106</v>
      </c>
      <c r="M436" s="9">
        <v>184.67</v>
      </c>
      <c r="N436" t="s">
        <v>43</v>
      </c>
      <c r="Q436" s="2"/>
      <c r="R436" s="9"/>
      <c r="S436" t="s">
        <v>44</v>
      </c>
      <c r="T436" t="s">
        <v>45</v>
      </c>
      <c r="U436" s="2" t="s">
        <v>581</v>
      </c>
      <c r="V436" s="9" t="s">
        <v>1971</v>
      </c>
      <c r="W436">
        <v>4.1260837607755001E+43</v>
      </c>
      <c r="X436" t="s">
        <v>46</v>
      </c>
      <c r="Y436" s="2" t="s">
        <v>717</v>
      </c>
      <c r="Z436" s="2" t="s">
        <v>718</v>
      </c>
      <c r="AA436" s="9" t="s">
        <v>715</v>
      </c>
      <c r="AC436" s="2"/>
      <c r="AD436" t="s">
        <v>7</v>
      </c>
      <c r="AE436" t="s">
        <v>1972</v>
      </c>
    </row>
    <row r="437" spans="1:31" x14ac:dyDescent="0.3">
      <c r="A437" s="17">
        <v>90739624000118</v>
      </c>
      <c r="B437" t="s">
        <v>28</v>
      </c>
      <c r="C437">
        <v>22485</v>
      </c>
      <c r="D437" t="s">
        <v>296</v>
      </c>
      <c r="E437" t="s">
        <v>2</v>
      </c>
      <c r="F437">
        <v>269308</v>
      </c>
      <c r="G437" s="1" t="s">
        <v>1973</v>
      </c>
      <c r="H437">
        <v>24995256</v>
      </c>
      <c r="I437">
        <v>236524</v>
      </c>
      <c r="J437" t="s">
        <v>1974</v>
      </c>
      <c r="K437" s="17">
        <v>5658776000117</v>
      </c>
      <c r="L437" s="17">
        <v>90739624001947</v>
      </c>
      <c r="M437" s="9">
        <v>239.1</v>
      </c>
      <c r="N437" t="s">
        <v>43</v>
      </c>
      <c r="Q437" s="2"/>
      <c r="R437" s="9"/>
      <c r="S437" t="s">
        <v>44</v>
      </c>
      <c r="T437" t="s">
        <v>45</v>
      </c>
      <c r="U437" s="2" t="s">
        <v>602</v>
      </c>
      <c r="V437" s="9" t="s">
        <v>1975</v>
      </c>
      <c r="W437">
        <v>5.2260805658776003E+43</v>
      </c>
      <c r="X437" t="s">
        <v>46</v>
      </c>
      <c r="Y437" s="2" t="s">
        <v>717</v>
      </c>
      <c r="Z437" s="2" t="s">
        <v>718</v>
      </c>
      <c r="AA437" s="9" t="s">
        <v>715</v>
      </c>
      <c r="AC437" s="2"/>
      <c r="AD437" t="s">
        <v>7</v>
      </c>
      <c r="AE437" t="s">
        <v>1976</v>
      </c>
    </row>
    <row r="438" spans="1:31" x14ac:dyDescent="0.3">
      <c r="A438" s="17">
        <v>90739624000118</v>
      </c>
      <c r="B438" t="s">
        <v>28</v>
      </c>
      <c r="C438">
        <v>22480</v>
      </c>
      <c r="D438" t="s">
        <v>322</v>
      </c>
      <c r="E438" t="s">
        <v>2</v>
      </c>
      <c r="F438">
        <v>269308</v>
      </c>
      <c r="G438" s="1" t="s">
        <v>1977</v>
      </c>
      <c r="H438">
        <v>24995224</v>
      </c>
      <c r="I438">
        <v>124985</v>
      </c>
      <c r="J438" t="s">
        <v>487</v>
      </c>
      <c r="K438" s="17">
        <v>148072000180</v>
      </c>
      <c r="L438" s="17">
        <v>90739624001947</v>
      </c>
      <c r="M438" s="9">
        <v>175.95</v>
      </c>
      <c r="N438" t="s">
        <v>43</v>
      </c>
      <c r="Q438" s="2"/>
      <c r="R438" s="9"/>
      <c r="S438" t="s">
        <v>44</v>
      </c>
      <c r="T438" t="s">
        <v>45</v>
      </c>
      <c r="U438" s="2" t="s">
        <v>583</v>
      </c>
      <c r="V438" s="9" t="s">
        <v>1978</v>
      </c>
      <c r="W438">
        <v>5.2260800148072004E+43</v>
      </c>
      <c r="X438" t="s">
        <v>46</v>
      </c>
      <c r="Y438" s="2" t="s">
        <v>717</v>
      </c>
      <c r="Z438" s="2" t="s">
        <v>718</v>
      </c>
      <c r="AA438" s="9" t="s">
        <v>715</v>
      </c>
      <c r="AC438" s="2"/>
      <c r="AD438" t="s">
        <v>7</v>
      </c>
      <c r="AE438" t="s">
        <v>1979</v>
      </c>
    </row>
    <row r="439" spans="1:31" x14ac:dyDescent="0.3">
      <c r="A439" s="17">
        <v>90739624000118</v>
      </c>
      <c r="B439" t="s">
        <v>61</v>
      </c>
      <c r="D439" t="s">
        <v>141</v>
      </c>
      <c r="E439" t="s">
        <v>2</v>
      </c>
      <c r="F439">
        <v>269308</v>
      </c>
      <c r="G439" s="1" t="s">
        <v>1980</v>
      </c>
      <c r="H439">
        <v>24994900</v>
      </c>
      <c r="I439">
        <v>820526</v>
      </c>
      <c r="J439" t="s">
        <v>62</v>
      </c>
      <c r="K439" s="17">
        <v>79964177000591</v>
      </c>
      <c r="L439" s="17">
        <v>9576274000106</v>
      </c>
      <c r="M439" s="9">
        <v>521.04999999999995</v>
      </c>
      <c r="N439" t="s">
        <v>43</v>
      </c>
      <c r="Q439" s="2"/>
      <c r="R439" s="9"/>
      <c r="S439" t="s">
        <v>44</v>
      </c>
      <c r="T439" t="s">
        <v>45</v>
      </c>
      <c r="U439" s="2" t="s">
        <v>581</v>
      </c>
      <c r="V439" s="9" t="s">
        <v>582</v>
      </c>
      <c r="W439">
        <v>4.1260879964176998E+43</v>
      </c>
      <c r="X439" t="s">
        <v>46</v>
      </c>
      <c r="Y439" s="2" t="s">
        <v>717</v>
      </c>
      <c r="Z439" s="2" t="s">
        <v>718</v>
      </c>
      <c r="AA439" s="9" t="s">
        <v>715</v>
      </c>
      <c r="AC439" s="2"/>
      <c r="AD439" t="s">
        <v>7</v>
      </c>
      <c r="AE439" t="s">
        <v>1981</v>
      </c>
    </row>
    <row r="440" spans="1:31" x14ac:dyDescent="0.3">
      <c r="A440" s="17">
        <v>90739624000118</v>
      </c>
      <c r="B440" t="s">
        <v>61</v>
      </c>
      <c r="D440" t="s">
        <v>293</v>
      </c>
      <c r="E440" t="s">
        <v>2</v>
      </c>
      <c r="F440">
        <v>269308</v>
      </c>
      <c r="G440" s="1" t="s">
        <v>1982</v>
      </c>
      <c r="H440">
        <v>24994720</v>
      </c>
      <c r="I440">
        <v>820525</v>
      </c>
      <c r="J440" t="s">
        <v>62</v>
      </c>
      <c r="K440" s="17">
        <v>79964177000591</v>
      </c>
      <c r="L440" s="17">
        <v>9576274000106</v>
      </c>
      <c r="M440" s="9">
        <v>2630.01</v>
      </c>
      <c r="N440" t="s">
        <v>43</v>
      </c>
      <c r="Q440" s="2"/>
      <c r="R440" s="9"/>
      <c r="S440" t="s">
        <v>44</v>
      </c>
      <c r="T440" t="s">
        <v>45</v>
      </c>
      <c r="U440" s="2" t="s">
        <v>581</v>
      </c>
      <c r="V440" s="9" t="s">
        <v>1983</v>
      </c>
      <c r="W440">
        <v>4.1260879964176998E+43</v>
      </c>
      <c r="X440" t="s">
        <v>46</v>
      </c>
      <c r="Y440" s="2" t="s">
        <v>717</v>
      </c>
      <c r="Z440" s="2" t="s">
        <v>718</v>
      </c>
      <c r="AA440" s="9" t="s">
        <v>715</v>
      </c>
      <c r="AC440" s="2"/>
      <c r="AD440" t="s">
        <v>7</v>
      </c>
      <c r="AE440" t="s">
        <v>1984</v>
      </c>
    </row>
    <row r="441" spans="1:31" x14ac:dyDescent="0.3">
      <c r="A441" s="17">
        <v>90739624000118</v>
      </c>
      <c r="B441" t="s">
        <v>170</v>
      </c>
      <c r="D441" t="s">
        <v>519</v>
      </c>
      <c r="E441" t="s">
        <v>2</v>
      </c>
      <c r="F441">
        <v>269308</v>
      </c>
      <c r="G441" s="1" t="s">
        <v>1985</v>
      </c>
      <c r="H441">
        <v>24994678</v>
      </c>
      <c r="I441">
        <v>129728</v>
      </c>
      <c r="J441" t="s">
        <v>178</v>
      </c>
      <c r="K441" s="17">
        <v>83392050000199</v>
      </c>
      <c r="L441" s="17">
        <v>90739624001432</v>
      </c>
      <c r="M441" s="9">
        <v>566.38</v>
      </c>
      <c r="N441" t="s">
        <v>43</v>
      </c>
      <c r="Q441" s="2"/>
      <c r="R441" s="9"/>
      <c r="S441" t="s">
        <v>44</v>
      </c>
      <c r="T441" t="s">
        <v>45</v>
      </c>
      <c r="U441" s="2" t="s">
        <v>581</v>
      </c>
      <c r="V441" s="9" t="s">
        <v>1986</v>
      </c>
      <c r="W441">
        <v>4.2260883392050001E+43</v>
      </c>
      <c r="X441" t="s">
        <v>46</v>
      </c>
      <c r="Y441" s="2" t="s">
        <v>717</v>
      </c>
      <c r="Z441" s="2" t="s">
        <v>718</v>
      </c>
      <c r="AA441" s="9" t="s">
        <v>715</v>
      </c>
      <c r="AC441" s="2"/>
      <c r="AD441" t="s">
        <v>7</v>
      </c>
      <c r="AE441" t="s">
        <v>1987</v>
      </c>
    </row>
    <row r="442" spans="1:31" x14ac:dyDescent="0.3">
      <c r="A442" s="17">
        <v>90739624000118</v>
      </c>
      <c r="B442" t="s">
        <v>0</v>
      </c>
      <c r="D442" t="s">
        <v>284</v>
      </c>
      <c r="E442" t="s">
        <v>2</v>
      </c>
      <c r="F442">
        <v>269308</v>
      </c>
      <c r="G442" s="1" t="s">
        <v>1988</v>
      </c>
      <c r="H442">
        <v>24994132</v>
      </c>
      <c r="I442">
        <v>35491</v>
      </c>
      <c r="J442" t="s">
        <v>200</v>
      </c>
      <c r="K442" s="17">
        <v>4308884000520</v>
      </c>
      <c r="L442" s="17">
        <v>90739624001432</v>
      </c>
      <c r="M442" s="9">
        <v>1764.38</v>
      </c>
      <c r="N442" t="s">
        <v>43</v>
      </c>
      <c r="Q442" s="2"/>
      <c r="R442" s="9"/>
      <c r="S442" t="s">
        <v>44</v>
      </c>
      <c r="T442" t="s">
        <v>45</v>
      </c>
      <c r="U442" s="2" t="s">
        <v>581</v>
      </c>
      <c r="V442" s="9" t="s">
        <v>1989</v>
      </c>
      <c r="W442">
        <v>4.2260804308884001E+43</v>
      </c>
      <c r="X442" t="s">
        <v>46</v>
      </c>
      <c r="Y442" s="2" t="s">
        <v>717</v>
      </c>
      <c r="Z442" s="2" t="s">
        <v>718</v>
      </c>
      <c r="AA442" s="9" t="s">
        <v>715</v>
      </c>
      <c r="AC442" s="2"/>
      <c r="AD442" t="s">
        <v>7</v>
      </c>
      <c r="AE442" t="s">
        <v>1990</v>
      </c>
    </row>
    <row r="443" spans="1:31" x14ac:dyDescent="0.3">
      <c r="A443" s="17">
        <v>90739624000118</v>
      </c>
      <c r="B443" t="s">
        <v>170</v>
      </c>
      <c r="C443">
        <v>22448</v>
      </c>
      <c r="D443" t="s">
        <v>381</v>
      </c>
      <c r="E443" t="s">
        <v>2</v>
      </c>
      <c r="F443">
        <v>269308</v>
      </c>
      <c r="G443" s="1" t="s">
        <v>1991</v>
      </c>
      <c r="H443">
        <v>24994120</v>
      </c>
      <c r="I443">
        <v>129725</v>
      </c>
      <c r="J443" t="s">
        <v>178</v>
      </c>
      <c r="K443" s="17">
        <v>83392050000199</v>
      </c>
      <c r="L443" s="17">
        <v>90739624001432</v>
      </c>
      <c r="M443" s="9">
        <v>149.05000000000001</v>
      </c>
      <c r="N443" t="s">
        <v>43</v>
      </c>
      <c r="Q443" s="2"/>
      <c r="R443" s="9"/>
      <c r="S443" t="s">
        <v>44</v>
      </c>
      <c r="T443" t="s">
        <v>45</v>
      </c>
      <c r="U443" s="2" t="s">
        <v>581</v>
      </c>
      <c r="V443" s="9" t="s">
        <v>1992</v>
      </c>
      <c r="W443">
        <v>4.2260883392050001E+43</v>
      </c>
      <c r="X443" t="s">
        <v>46</v>
      </c>
      <c r="Y443" s="2" t="s">
        <v>717</v>
      </c>
      <c r="Z443" s="2" t="s">
        <v>718</v>
      </c>
      <c r="AA443" s="9" t="s">
        <v>715</v>
      </c>
      <c r="AC443" s="2"/>
      <c r="AD443" t="s">
        <v>7</v>
      </c>
      <c r="AE443" t="s">
        <v>1993</v>
      </c>
    </row>
    <row r="444" spans="1:31" x14ac:dyDescent="0.3">
      <c r="A444" s="17">
        <v>90739624000118</v>
      </c>
      <c r="B444" t="s">
        <v>58</v>
      </c>
      <c r="D444" t="s">
        <v>153</v>
      </c>
      <c r="E444" t="s">
        <v>2</v>
      </c>
      <c r="F444">
        <v>269308</v>
      </c>
      <c r="G444" s="1" t="s">
        <v>1994</v>
      </c>
      <c r="H444">
        <v>24992894</v>
      </c>
      <c r="I444">
        <v>111076</v>
      </c>
      <c r="J444" t="s">
        <v>106</v>
      </c>
      <c r="K444" s="17">
        <v>7473735015103</v>
      </c>
      <c r="L444" s="17">
        <v>90739624002323</v>
      </c>
      <c r="M444" s="9">
        <v>63.74</v>
      </c>
      <c r="N444" t="s">
        <v>43</v>
      </c>
      <c r="Q444" s="2"/>
      <c r="R444" s="9"/>
      <c r="S444" t="s">
        <v>44</v>
      </c>
      <c r="T444" t="s">
        <v>45</v>
      </c>
      <c r="U444" s="2" t="s">
        <v>581</v>
      </c>
      <c r="V444" s="9" t="s">
        <v>1995</v>
      </c>
      <c r="W444">
        <v>4.3260807473734999E+43</v>
      </c>
      <c r="X444" t="s">
        <v>46</v>
      </c>
      <c r="Y444" s="2" t="s">
        <v>717</v>
      </c>
      <c r="Z444" s="2" t="s">
        <v>718</v>
      </c>
      <c r="AA444" s="9" t="s">
        <v>715</v>
      </c>
      <c r="AC444" s="2"/>
      <c r="AD444" t="s">
        <v>7</v>
      </c>
      <c r="AE444" t="s">
        <v>1996</v>
      </c>
    </row>
    <row r="445" spans="1:31" x14ac:dyDescent="0.3">
      <c r="A445" s="17">
        <v>90739624000118</v>
      </c>
      <c r="B445" t="s">
        <v>31</v>
      </c>
      <c r="D445" t="s">
        <v>273</v>
      </c>
      <c r="E445" t="s">
        <v>2</v>
      </c>
      <c r="F445">
        <v>269308</v>
      </c>
      <c r="G445" s="1" t="s">
        <v>1997</v>
      </c>
      <c r="H445">
        <v>24992851</v>
      </c>
      <c r="I445">
        <v>54807</v>
      </c>
      <c r="J445" t="s">
        <v>56</v>
      </c>
      <c r="K445" s="17">
        <v>8603562000212</v>
      </c>
      <c r="L445" s="17">
        <v>90739624001866</v>
      </c>
      <c r="M445" s="9">
        <v>130.82</v>
      </c>
      <c r="N445" t="s">
        <v>43</v>
      </c>
      <c r="Q445" s="2"/>
      <c r="R445" s="9"/>
      <c r="S445" t="s">
        <v>44</v>
      </c>
      <c r="T445" t="s">
        <v>45</v>
      </c>
      <c r="U445" s="2" t="s">
        <v>581</v>
      </c>
      <c r="V445" s="9" t="s">
        <v>1998</v>
      </c>
      <c r="W445">
        <v>5.1260808603562005E+43</v>
      </c>
      <c r="X445" t="s">
        <v>46</v>
      </c>
      <c r="Y445" s="2" t="s">
        <v>717</v>
      </c>
      <c r="Z445" s="2" t="s">
        <v>718</v>
      </c>
      <c r="AA445" s="9" t="s">
        <v>715</v>
      </c>
      <c r="AC445" s="2"/>
      <c r="AD445" t="s">
        <v>7</v>
      </c>
      <c r="AE445" t="s">
        <v>1999</v>
      </c>
    </row>
    <row r="446" spans="1:31" x14ac:dyDescent="0.3">
      <c r="A446" s="17">
        <v>90739624000118</v>
      </c>
      <c r="B446" t="s">
        <v>11</v>
      </c>
      <c r="D446" t="s">
        <v>89</v>
      </c>
      <c r="E446" t="s">
        <v>2</v>
      </c>
      <c r="F446">
        <v>269308</v>
      </c>
      <c r="G446" s="1" t="s">
        <v>2000</v>
      </c>
      <c r="H446">
        <v>24992690</v>
      </c>
      <c r="I446">
        <v>4420</v>
      </c>
      <c r="J446" t="s">
        <v>95</v>
      </c>
      <c r="K446" s="17">
        <v>37489429000102</v>
      </c>
      <c r="L446" s="17">
        <v>90739624001947</v>
      </c>
      <c r="M446" s="9">
        <v>75.989999999999995</v>
      </c>
      <c r="N446" t="s">
        <v>43</v>
      </c>
      <c r="Q446" s="2"/>
      <c r="R446" s="9"/>
      <c r="S446" t="s">
        <v>44</v>
      </c>
      <c r="T446" t="s">
        <v>45</v>
      </c>
      <c r="U446" s="2" t="s">
        <v>581</v>
      </c>
      <c r="V446" s="9" t="s">
        <v>2001</v>
      </c>
      <c r="W446">
        <v>5.2260837489428997E+43</v>
      </c>
      <c r="X446" t="s">
        <v>46</v>
      </c>
      <c r="Y446" s="2" t="s">
        <v>717</v>
      </c>
      <c r="Z446" s="2" t="s">
        <v>718</v>
      </c>
      <c r="AA446" s="9" t="s">
        <v>715</v>
      </c>
      <c r="AC446" s="2"/>
      <c r="AD446" t="s">
        <v>7</v>
      </c>
      <c r="AE446" t="s">
        <v>2002</v>
      </c>
    </row>
    <row r="447" spans="1:31" x14ac:dyDescent="0.3">
      <c r="A447" s="17">
        <v>90739624000118</v>
      </c>
      <c r="B447" t="s">
        <v>49</v>
      </c>
      <c r="C447">
        <v>22497</v>
      </c>
      <c r="D447" t="s">
        <v>298</v>
      </c>
      <c r="E447" t="s">
        <v>2</v>
      </c>
      <c r="F447">
        <v>269308</v>
      </c>
      <c r="G447" s="1" t="s">
        <v>2003</v>
      </c>
      <c r="H447">
        <v>24992093</v>
      </c>
      <c r="I447">
        <v>103666</v>
      </c>
      <c r="J447" t="s">
        <v>299</v>
      </c>
      <c r="K447" s="17">
        <v>7388800000170</v>
      </c>
      <c r="L447" s="17">
        <v>9576274000106</v>
      </c>
      <c r="M447" s="9">
        <v>715.08</v>
      </c>
      <c r="N447" t="s">
        <v>43</v>
      </c>
      <c r="Q447" s="2"/>
      <c r="R447" s="9"/>
      <c r="S447" t="s">
        <v>44</v>
      </c>
      <c r="T447" t="s">
        <v>45</v>
      </c>
      <c r="U447" s="2" t="s">
        <v>581</v>
      </c>
      <c r="V447" s="9" t="s">
        <v>2004</v>
      </c>
      <c r="W447">
        <v>4.1260807388800002E+43</v>
      </c>
      <c r="X447" t="s">
        <v>46</v>
      </c>
      <c r="Y447" s="2" t="s">
        <v>717</v>
      </c>
      <c r="Z447" s="2" t="s">
        <v>718</v>
      </c>
      <c r="AA447" s="9" t="s">
        <v>715</v>
      </c>
      <c r="AC447" s="2"/>
      <c r="AD447" t="s">
        <v>7</v>
      </c>
      <c r="AE447" t="s">
        <v>2005</v>
      </c>
    </row>
    <row r="448" spans="1:31" x14ac:dyDescent="0.3">
      <c r="A448" s="17">
        <v>90739624000118</v>
      </c>
      <c r="B448" t="s">
        <v>61</v>
      </c>
      <c r="D448" t="s">
        <v>351</v>
      </c>
      <c r="E448" t="s">
        <v>2</v>
      </c>
      <c r="F448">
        <v>269308</v>
      </c>
      <c r="G448" s="1" t="s">
        <v>2006</v>
      </c>
      <c r="H448">
        <v>24991756</v>
      </c>
      <c r="I448">
        <v>2523</v>
      </c>
      <c r="J448" t="s">
        <v>85</v>
      </c>
      <c r="K448" s="17">
        <v>1975878000105</v>
      </c>
      <c r="L448" s="17">
        <v>9576274000106</v>
      </c>
      <c r="M448" s="9">
        <v>291.98</v>
      </c>
      <c r="N448" t="s">
        <v>43</v>
      </c>
      <c r="Q448" s="2"/>
      <c r="R448" s="9"/>
      <c r="S448" t="s">
        <v>44</v>
      </c>
      <c r="T448" t="s">
        <v>45</v>
      </c>
      <c r="U448" s="2" t="s">
        <v>581</v>
      </c>
      <c r="V448" s="9" t="s">
        <v>2008</v>
      </c>
      <c r="W448">
        <v>4.1260801975878E+43</v>
      </c>
      <c r="X448" t="s">
        <v>46</v>
      </c>
      <c r="Y448" s="2" t="s">
        <v>717</v>
      </c>
      <c r="Z448" s="2" t="s">
        <v>718</v>
      </c>
      <c r="AA448" s="9" t="s">
        <v>715</v>
      </c>
      <c r="AC448" s="2"/>
      <c r="AD448" t="s">
        <v>7</v>
      </c>
      <c r="AE448" t="s">
        <v>2009</v>
      </c>
    </row>
    <row r="449" spans="1:31" x14ac:dyDescent="0.3">
      <c r="A449" s="17">
        <v>90739624000118</v>
      </c>
      <c r="B449" t="s">
        <v>31</v>
      </c>
      <c r="D449" t="s">
        <v>110</v>
      </c>
      <c r="E449" t="s">
        <v>2</v>
      </c>
      <c r="F449">
        <v>269308</v>
      </c>
      <c r="G449" s="1" t="s">
        <v>2010</v>
      </c>
      <c r="H449">
        <v>24991752</v>
      </c>
      <c r="I449">
        <v>16041</v>
      </c>
      <c r="J449" t="s">
        <v>142</v>
      </c>
      <c r="K449" s="17">
        <v>54494203000100</v>
      </c>
      <c r="L449" s="17">
        <v>90739624001866</v>
      </c>
      <c r="M449" s="9">
        <v>215.87</v>
      </c>
      <c r="N449" t="s">
        <v>43</v>
      </c>
      <c r="Q449" s="2"/>
      <c r="R449" s="9"/>
      <c r="S449" t="s">
        <v>44</v>
      </c>
      <c r="T449" t="s">
        <v>45</v>
      </c>
      <c r="U449" s="2" t="s">
        <v>1039</v>
      </c>
      <c r="V449" s="9" t="s">
        <v>2011</v>
      </c>
      <c r="W449">
        <v>5.1260854494202996E+43</v>
      </c>
      <c r="X449" t="s">
        <v>46</v>
      </c>
      <c r="Y449" s="2" t="s">
        <v>717</v>
      </c>
      <c r="Z449" s="2" t="s">
        <v>718</v>
      </c>
      <c r="AA449" s="9" t="s">
        <v>715</v>
      </c>
      <c r="AC449" s="2"/>
      <c r="AD449" t="s">
        <v>7</v>
      </c>
      <c r="AE449" t="s">
        <v>2012</v>
      </c>
    </row>
    <row r="450" spans="1:31" x14ac:dyDescent="0.3">
      <c r="A450" s="17">
        <v>90739624000118</v>
      </c>
      <c r="B450" t="s">
        <v>63</v>
      </c>
      <c r="D450" t="s">
        <v>1309</v>
      </c>
      <c r="E450" t="s">
        <v>2</v>
      </c>
      <c r="F450">
        <v>269308</v>
      </c>
      <c r="G450" s="1" t="s">
        <v>2013</v>
      </c>
      <c r="H450">
        <v>24991637</v>
      </c>
      <c r="I450">
        <v>59131</v>
      </c>
      <c r="J450" t="s">
        <v>919</v>
      </c>
      <c r="K450" s="17">
        <v>20630766000167</v>
      </c>
      <c r="L450" s="17">
        <v>90739624001432</v>
      </c>
      <c r="M450" s="9">
        <v>201.12</v>
      </c>
      <c r="N450" t="s">
        <v>43</v>
      </c>
      <c r="Q450" s="2"/>
      <c r="R450" s="9"/>
      <c r="S450" t="s">
        <v>44</v>
      </c>
      <c r="T450" t="s">
        <v>45</v>
      </c>
      <c r="U450" s="2" t="s">
        <v>581</v>
      </c>
      <c r="V450" s="9" t="s">
        <v>2014</v>
      </c>
      <c r="W450">
        <v>4.2260820630766001E+43</v>
      </c>
      <c r="X450" t="s">
        <v>46</v>
      </c>
      <c r="Y450" s="2" t="s">
        <v>717</v>
      </c>
      <c r="Z450" s="2" t="s">
        <v>718</v>
      </c>
      <c r="AA450" s="9" t="s">
        <v>715</v>
      </c>
      <c r="AC450" s="2"/>
      <c r="AD450" t="s">
        <v>7</v>
      </c>
      <c r="AE450" t="s">
        <v>2015</v>
      </c>
    </row>
    <row r="451" spans="1:31" x14ac:dyDescent="0.3">
      <c r="A451" s="17">
        <v>90739624000118</v>
      </c>
      <c r="B451" t="s">
        <v>99</v>
      </c>
      <c r="C451">
        <v>22634</v>
      </c>
      <c r="D451" t="s">
        <v>641</v>
      </c>
      <c r="E451" t="s">
        <v>2</v>
      </c>
      <c r="F451">
        <v>269308</v>
      </c>
      <c r="G451" s="1" t="s">
        <v>2016</v>
      </c>
      <c r="H451">
        <v>24991595</v>
      </c>
      <c r="I451">
        <v>50566</v>
      </c>
      <c r="J451" t="s">
        <v>507</v>
      </c>
      <c r="K451" s="17">
        <v>3626094001330</v>
      </c>
      <c r="L451" s="17">
        <v>9576274000106</v>
      </c>
      <c r="M451" s="9">
        <v>245.17</v>
      </c>
      <c r="N451" t="s">
        <v>43</v>
      </c>
      <c r="Q451" s="2"/>
      <c r="R451" s="9"/>
      <c r="S451" t="s">
        <v>44</v>
      </c>
      <c r="T451" t="s">
        <v>45</v>
      </c>
      <c r="U451" s="2" t="s">
        <v>581</v>
      </c>
      <c r="V451" s="9" t="s">
        <v>2017</v>
      </c>
      <c r="W451">
        <v>4.1260803626093998E+43</v>
      </c>
      <c r="X451" t="s">
        <v>46</v>
      </c>
      <c r="Y451" s="2" t="s">
        <v>717</v>
      </c>
      <c r="Z451" s="2" t="s">
        <v>718</v>
      </c>
      <c r="AA451" s="9" t="s">
        <v>715</v>
      </c>
      <c r="AC451" s="2"/>
      <c r="AD451" t="s">
        <v>7</v>
      </c>
      <c r="AE451" t="s">
        <v>2018</v>
      </c>
    </row>
    <row r="452" spans="1:31" x14ac:dyDescent="0.3">
      <c r="A452" s="17">
        <v>90739624000118</v>
      </c>
      <c r="B452" t="s">
        <v>58</v>
      </c>
      <c r="C452">
        <v>19595</v>
      </c>
      <c r="D452" t="s">
        <v>657</v>
      </c>
      <c r="E452" t="s">
        <v>2</v>
      </c>
      <c r="F452">
        <v>269308</v>
      </c>
      <c r="G452" s="1" t="s">
        <v>2019</v>
      </c>
      <c r="H452">
        <v>24991582</v>
      </c>
      <c r="I452">
        <v>101048</v>
      </c>
      <c r="J452" t="s">
        <v>1530</v>
      </c>
      <c r="K452" s="17">
        <v>7473735007941</v>
      </c>
      <c r="L452" s="17">
        <v>90739624002323</v>
      </c>
      <c r="M452" s="9">
        <v>360.35</v>
      </c>
      <c r="N452" t="s">
        <v>43</v>
      </c>
      <c r="Q452" s="2"/>
      <c r="R452" s="9"/>
      <c r="S452" t="s">
        <v>44</v>
      </c>
      <c r="T452" t="s">
        <v>45</v>
      </c>
      <c r="U452" s="2" t="s">
        <v>581</v>
      </c>
      <c r="V452" s="9" t="s">
        <v>2020</v>
      </c>
      <c r="W452">
        <v>4.3260807473734999E+43</v>
      </c>
      <c r="X452" t="s">
        <v>46</v>
      </c>
      <c r="Y452" s="2" t="s">
        <v>717</v>
      </c>
      <c r="Z452" s="2" t="s">
        <v>718</v>
      </c>
      <c r="AA452" s="9" t="s">
        <v>715</v>
      </c>
      <c r="AC452" s="2"/>
      <c r="AD452" t="s">
        <v>7</v>
      </c>
      <c r="AE452" t="s">
        <v>2021</v>
      </c>
    </row>
    <row r="453" spans="1:31" x14ac:dyDescent="0.3">
      <c r="A453" s="17">
        <v>90739624000118</v>
      </c>
      <c r="B453" t="s">
        <v>31</v>
      </c>
      <c r="C453">
        <v>21309</v>
      </c>
      <c r="D453" t="s">
        <v>125</v>
      </c>
      <c r="E453" t="s">
        <v>2</v>
      </c>
      <c r="F453">
        <v>269308</v>
      </c>
      <c r="G453" s="1" t="s">
        <v>2022</v>
      </c>
      <c r="H453">
        <v>24991430</v>
      </c>
      <c r="I453">
        <v>54804</v>
      </c>
      <c r="J453" t="s">
        <v>56</v>
      </c>
      <c r="K453" s="17">
        <v>8603562000212</v>
      </c>
      <c r="L453" s="17">
        <v>90739624001866</v>
      </c>
      <c r="M453" s="9">
        <v>148.25</v>
      </c>
      <c r="N453" t="s">
        <v>43</v>
      </c>
      <c r="Q453" s="2"/>
      <c r="R453" s="9"/>
      <c r="S453" t="s">
        <v>44</v>
      </c>
      <c r="T453" t="s">
        <v>45</v>
      </c>
      <c r="U453" s="2" t="s">
        <v>581</v>
      </c>
      <c r="V453" s="9" t="s">
        <v>2023</v>
      </c>
      <c r="W453">
        <v>5.1260808603562005E+43</v>
      </c>
      <c r="X453" t="s">
        <v>46</v>
      </c>
      <c r="Y453" s="2" t="s">
        <v>717</v>
      </c>
      <c r="Z453" s="2" t="s">
        <v>718</v>
      </c>
      <c r="AA453" s="9" t="s">
        <v>715</v>
      </c>
      <c r="AC453" s="2"/>
      <c r="AD453" t="s">
        <v>7</v>
      </c>
      <c r="AE453" t="s">
        <v>2024</v>
      </c>
    </row>
    <row r="454" spans="1:31" x14ac:dyDescent="0.3">
      <c r="A454" s="17">
        <v>90739624000118</v>
      </c>
      <c r="B454" t="s">
        <v>28</v>
      </c>
      <c r="D454" t="s">
        <v>212</v>
      </c>
      <c r="E454" t="s">
        <v>2</v>
      </c>
      <c r="F454">
        <v>269308</v>
      </c>
      <c r="G454" s="1" t="s">
        <v>2025</v>
      </c>
      <c r="H454">
        <v>24991428</v>
      </c>
      <c r="I454">
        <v>81321</v>
      </c>
      <c r="J454" t="s">
        <v>48</v>
      </c>
      <c r="K454" s="17">
        <v>1272434001002</v>
      </c>
      <c r="L454" s="17">
        <v>90739624001947</v>
      </c>
      <c r="M454" s="9">
        <v>244.28</v>
      </c>
      <c r="N454" t="s">
        <v>43</v>
      </c>
      <c r="Q454" s="2"/>
      <c r="R454" s="9"/>
      <c r="S454" t="s">
        <v>44</v>
      </c>
      <c r="T454" t="s">
        <v>45</v>
      </c>
      <c r="U454" s="2" t="s">
        <v>581</v>
      </c>
      <c r="V454" s="9" t="s">
        <v>2026</v>
      </c>
      <c r="W454">
        <v>5.2260801272433996E+43</v>
      </c>
      <c r="X454" t="s">
        <v>46</v>
      </c>
      <c r="Y454" s="2" t="s">
        <v>717</v>
      </c>
      <c r="Z454" s="2" t="s">
        <v>718</v>
      </c>
      <c r="AA454" s="9" t="s">
        <v>715</v>
      </c>
      <c r="AC454" s="2"/>
      <c r="AD454" t="s">
        <v>7</v>
      </c>
      <c r="AE454" t="s">
        <v>2027</v>
      </c>
    </row>
    <row r="455" spans="1:31" x14ac:dyDescent="0.3">
      <c r="A455" s="17">
        <v>90739624000118</v>
      </c>
      <c r="B455" t="s">
        <v>0</v>
      </c>
      <c r="D455" t="s">
        <v>2028</v>
      </c>
      <c r="E455" t="s">
        <v>2</v>
      </c>
      <c r="F455">
        <v>269308</v>
      </c>
      <c r="G455" s="1" t="s">
        <v>2029</v>
      </c>
      <c r="H455">
        <v>24991408</v>
      </c>
      <c r="I455">
        <v>101284</v>
      </c>
      <c r="J455" t="s">
        <v>134</v>
      </c>
      <c r="K455" s="17">
        <v>81326258000770</v>
      </c>
      <c r="L455" s="17">
        <v>90739624001432</v>
      </c>
      <c r="M455" s="9">
        <v>177.23</v>
      </c>
      <c r="N455" t="s">
        <v>43</v>
      </c>
      <c r="Q455" s="2"/>
      <c r="R455" s="9"/>
      <c r="S455" t="s">
        <v>44</v>
      </c>
      <c r="T455" t="s">
        <v>45</v>
      </c>
      <c r="U455" s="2" t="s">
        <v>581</v>
      </c>
      <c r="V455" s="9" t="s">
        <v>2030</v>
      </c>
      <c r="W455">
        <v>4.2260881326258001E+43</v>
      </c>
      <c r="X455" t="s">
        <v>46</v>
      </c>
      <c r="Y455" s="2" t="s">
        <v>717</v>
      </c>
      <c r="Z455" s="2" t="s">
        <v>718</v>
      </c>
      <c r="AA455" s="9" t="s">
        <v>715</v>
      </c>
      <c r="AC455" s="2"/>
      <c r="AD455" t="s">
        <v>7</v>
      </c>
      <c r="AE455" t="s">
        <v>2031</v>
      </c>
    </row>
    <row r="456" spans="1:31" x14ac:dyDescent="0.3">
      <c r="A456" s="17">
        <v>90739624000118</v>
      </c>
      <c r="B456" t="s">
        <v>61</v>
      </c>
      <c r="C456">
        <v>15984</v>
      </c>
      <c r="D456" t="s">
        <v>163</v>
      </c>
      <c r="E456" t="s">
        <v>2</v>
      </c>
      <c r="F456">
        <v>269308</v>
      </c>
      <c r="G456" s="1" t="s">
        <v>2032</v>
      </c>
      <c r="H456">
        <v>24991277</v>
      </c>
      <c r="I456">
        <v>820516</v>
      </c>
      <c r="J456" t="s">
        <v>62</v>
      </c>
      <c r="K456" s="17">
        <v>79964177000591</v>
      </c>
      <c r="L456" s="17">
        <v>9576274000106</v>
      </c>
      <c r="M456" s="9">
        <v>1790.08</v>
      </c>
      <c r="N456" t="s">
        <v>43</v>
      </c>
      <c r="Q456" s="2"/>
      <c r="R456" s="9"/>
      <c r="S456" t="s">
        <v>44</v>
      </c>
      <c r="T456" t="s">
        <v>45</v>
      </c>
      <c r="U456" s="2" t="s">
        <v>581</v>
      </c>
      <c r="V456" s="9" t="s">
        <v>2033</v>
      </c>
      <c r="W456">
        <v>4.1260879964176998E+43</v>
      </c>
      <c r="X456" t="s">
        <v>46</v>
      </c>
      <c r="Y456" s="2" t="s">
        <v>717</v>
      </c>
      <c r="Z456" s="2" t="s">
        <v>718</v>
      </c>
      <c r="AA456" s="9" t="s">
        <v>715</v>
      </c>
      <c r="AC456" s="2"/>
      <c r="AD456" t="s">
        <v>7</v>
      </c>
      <c r="AE456" t="s">
        <v>2034</v>
      </c>
    </row>
    <row r="457" spans="1:31" x14ac:dyDescent="0.3">
      <c r="A457" s="17">
        <v>90739624000118</v>
      </c>
      <c r="B457" t="s">
        <v>8</v>
      </c>
      <c r="C457">
        <v>21719</v>
      </c>
      <c r="D457" t="s">
        <v>145</v>
      </c>
      <c r="E457" t="s">
        <v>2</v>
      </c>
      <c r="F457">
        <v>269308</v>
      </c>
      <c r="G457" s="1" t="s">
        <v>2035</v>
      </c>
      <c r="H457">
        <v>24991069</v>
      </c>
      <c r="I457">
        <v>10450</v>
      </c>
      <c r="J457" t="s">
        <v>10</v>
      </c>
      <c r="K457" s="17">
        <v>33286065000102</v>
      </c>
      <c r="L457" s="17">
        <v>9576274000106</v>
      </c>
      <c r="M457" s="9">
        <v>259.8</v>
      </c>
      <c r="N457" t="s">
        <v>43</v>
      </c>
      <c r="Q457" s="2"/>
      <c r="R457" s="9"/>
      <c r="S457" t="s">
        <v>44</v>
      </c>
      <c r="T457" t="s">
        <v>45</v>
      </c>
      <c r="U457" s="2" t="s">
        <v>581</v>
      </c>
      <c r="V457" s="9" t="s">
        <v>2036</v>
      </c>
      <c r="W457">
        <v>4.1260833286065001E+43</v>
      </c>
      <c r="X457" t="s">
        <v>46</v>
      </c>
      <c r="Y457" s="2" t="s">
        <v>717</v>
      </c>
      <c r="Z457" s="2" t="s">
        <v>718</v>
      </c>
      <c r="AA457" s="9" t="s">
        <v>715</v>
      </c>
      <c r="AC457" s="2"/>
      <c r="AD457" t="s">
        <v>7</v>
      </c>
      <c r="AE457" t="s">
        <v>2037</v>
      </c>
    </row>
    <row r="458" spans="1:31" x14ac:dyDescent="0.3">
      <c r="A458" s="17">
        <v>90739624000118</v>
      </c>
      <c r="B458" t="s">
        <v>65</v>
      </c>
      <c r="D458" t="s">
        <v>242</v>
      </c>
      <c r="E458" t="s">
        <v>2</v>
      </c>
      <c r="F458">
        <v>269308</v>
      </c>
      <c r="G458" s="1" t="s">
        <v>2038</v>
      </c>
      <c r="H458">
        <v>24991032</v>
      </c>
      <c r="I458">
        <v>63411</v>
      </c>
      <c r="J458" t="s">
        <v>2039</v>
      </c>
      <c r="K458" s="17">
        <v>7473735010578</v>
      </c>
      <c r="L458" s="17">
        <v>90739624002323</v>
      </c>
      <c r="M458" s="9">
        <v>293.73</v>
      </c>
      <c r="N458" t="s">
        <v>43</v>
      </c>
      <c r="Q458" s="2"/>
      <c r="R458" s="9"/>
      <c r="S458" t="s">
        <v>44</v>
      </c>
      <c r="T458" t="s">
        <v>45</v>
      </c>
      <c r="U458" s="2" t="s">
        <v>581</v>
      </c>
      <c r="V458" s="9" t="s">
        <v>2040</v>
      </c>
      <c r="W458">
        <v>4.3260807473734999E+43</v>
      </c>
      <c r="X458" t="s">
        <v>46</v>
      </c>
      <c r="Y458" s="2" t="s">
        <v>717</v>
      </c>
      <c r="Z458" s="2" t="s">
        <v>718</v>
      </c>
      <c r="AA458" s="9" t="s">
        <v>715</v>
      </c>
      <c r="AC458" s="2"/>
      <c r="AD458" t="s">
        <v>7</v>
      </c>
      <c r="AE458" t="s">
        <v>2041</v>
      </c>
    </row>
    <row r="459" spans="1:31" x14ac:dyDescent="0.3">
      <c r="A459" s="17">
        <v>90739624000118</v>
      </c>
      <c r="B459" t="s">
        <v>31</v>
      </c>
      <c r="D459" t="s">
        <v>55</v>
      </c>
      <c r="E459" t="s">
        <v>2</v>
      </c>
      <c r="F459">
        <v>269308</v>
      </c>
      <c r="G459" s="1" t="s">
        <v>2042</v>
      </c>
      <c r="H459">
        <v>24990878</v>
      </c>
      <c r="J459" t="s">
        <v>184</v>
      </c>
      <c r="K459" s="17">
        <v>8399617000303</v>
      </c>
      <c r="L459" s="17"/>
      <c r="M459" s="9">
        <v>89.31</v>
      </c>
      <c r="N459" t="s">
        <v>43</v>
      </c>
      <c r="Q459" s="2"/>
      <c r="R459" s="9"/>
      <c r="S459" t="s">
        <v>87</v>
      </c>
      <c r="U459" s="2"/>
      <c r="V459" s="9"/>
      <c r="X459" t="s">
        <v>88</v>
      </c>
      <c r="Y459" s="2" t="s">
        <v>717</v>
      </c>
      <c r="Z459" s="2" t="s">
        <v>718</v>
      </c>
      <c r="AA459" s="9" t="s">
        <v>715</v>
      </c>
      <c r="AC459" s="2"/>
      <c r="AD459" t="s">
        <v>7</v>
      </c>
    </row>
    <row r="460" spans="1:31" x14ac:dyDescent="0.3">
      <c r="A460" s="17">
        <v>90739624000118</v>
      </c>
      <c r="B460" t="s">
        <v>11</v>
      </c>
      <c r="D460" t="s">
        <v>116</v>
      </c>
      <c r="E460" t="s">
        <v>2</v>
      </c>
      <c r="F460">
        <v>269308</v>
      </c>
      <c r="G460" s="1" t="s">
        <v>2044</v>
      </c>
      <c r="H460">
        <v>24990873</v>
      </c>
      <c r="I460">
        <v>4419</v>
      </c>
      <c r="J460" t="s">
        <v>95</v>
      </c>
      <c r="K460" s="17">
        <v>37489429000102</v>
      </c>
      <c r="L460" s="17">
        <v>90739624001947</v>
      </c>
      <c r="M460" s="9">
        <v>152.51</v>
      </c>
      <c r="N460" t="s">
        <v>43</v>
      </c>
      <c r="Q460" s="2"/>
      <c r="R460" s="9"/>
      <c r="S460" t="s">
        <v>44</v>
      </c>
      <c r="T460" t="s">
        <v>45</v>
      </c>
      <c r="U460" s="2" t="s">
        <v>581</v>
      </c>
      <c r="V460" s="9" t="s">
        <v>2045</v>
      </c>
      <c r="W460">
        <v>5.2260837489428997E+43</v>
      </c>
      <c r="X460" t="s">
        <v>46</v>
      </c>
      <c r="Y460" s="2" t="s">
        <v>717</v>
      </c>
      <c r="Z460" s="2" t="s">
        <v>718</v>
      </c>
      <c r="AA460" s="9" t="s">
        <v>715</v>
      </c>
      <c r="AC460" s="2"/>
      <c r="AD460" t="s">
        <v>7</v>
      </c>
      <c r="AE460" t="s">
        <v>2046</v>
      </c>
    </row>
    <row r="461" spans="1:31" x14ac:dyDescent="0.3">
      <c r="A461" s="17">
        <v>90739624000118</v>
      </c>
      <c r="B461" t="s">
        <v>8</v>
      </c>
      <c r="C461">
        <v>23617</v>
      </c>
      <c r="D461" t="s">
        <v>358</v>
      </c>
      <c r="E461" t="s">
        <v>2</v>
      </c>
      <c r="F461">
        <v>269308</v>
      </c>
      <c r="G461" s="1" t="s">
        <v>2047</v>
      </c>
      <c r="H461">
        <v>24990854</v>
      </c>
      <c r="I461">
        <v>10600</v>
      </c>
      <c r="J461" t="s">
        <v>144</v>
      </c>
      <c r="K461" s="17">
        <v>37607755000169</v>
      </c>
      <c r="L461" s="17">
        <v>9576274000106</v>
      </c>
      <c r="M461" s="9">
        <v>371.23</v>
      </c>
      <c r="N461" t="s">
        <v>43</v>
      </c>
      <c r="Q461" s="2"/>
      <c r="R461" s="9"/>
      <c r="S461" t="s">
        <v>44</v>
      </c>
      <c r="T461" t="s">
        <v>45</v>
      </c>
      <c r="U461" s="2" t="s">
        <v>581</v>
      </c>
      <c r="V461" s="9" t="s">
        <v>2048</v>
      </c>
      <c r="W461">
        <v>4.1260837607755001E+43</v>
      </c>
      <c r="X461" t="s">
        <v>46</v>
      </c>
      <c r="Y461" s="2" t="s">
        <v>717</v>
      </c>
      <c r="Z461" s="2" t="s">
        <v>718</v>
      </c>
      <c r="AA461" s="9" t="s">
        <v>715</v>
      </c>
      <c r="AC461" s="2"/>
      <c r="AD461" t="s">
        <v>7</v>
      </c>
      <c r="AE461" t="s">
        <v>2049</v>
      </c>
    </row>
    <row r="462" spans="1:31" x14ac:dyDescent="0.3">
      <c r="A462" s="17">
        <v>90739624000118</v>
      </c>
      <c r="B462" t="s">
        <v>11</v>
      </c>
      <c r="D462" t="s">
        <v>341</v>
      </c>
      <c r="E462" t="s">
        <v>2</v>
      </c>
      <c r="F462">
        <v>269308</v>
      </c>
      <c r="G462" s="1" t="s">
        <v>2050</v>
      </c>
      <c r="H462">
        <v>24990841</v>
      </c>
      <c r="I462">
        <v>4418</v>
      </c>
      <c r="J462" t="s">
        <v>95</v>
      </c>
      <c r="K462" s="17">
        <v>37489429000102</v>
      </c>
      <c r="L462" s="17">
        <v>90739624001947</v>
      </c>
      <c r="M462" s="9">
        <v>302.41000000000003</v>
      </c>
      <c r="N462" t="s">
        <v>43</v>
      </c>
      <c r="Q462" s="2"/>
      <c r="R462" s="9"/>
      <c r="S462" t="s">
        <v>44</v>
      </c>
      <c r="T462" t="s">
        <v>45</v>
      </c>
      <c r="U462" s="2" t="s">
        <v>581</v>
      </c>
      <c r="V462" s="9" t="s">
        <v>2051</v>
      </c>
      <c r="W462">
        <v>5.2260837489428997E+43</v>
      </c>
      <c r="X462" t="s">
        <v>46</v>
      </c>
      <c r="Y462" s="2" t="s">
        <v>717</v>
      </c>
      <c r="Z462" s="2" t="s">
        <v>718</v>
      </c>
      <c r="AA462" s="9" t="s">
        <v>715</v>
      </c>
      <c r="AC462" s="2"/>
      <c r="AD462" t="s">
        <v>7</v>
      </c>
      <c r="AE462" t="s">
        <v>2052</v>
      </c>
    </row>
    <row r="463" spans="1:31" x14ac:dyDescent="0.3">
      <c r="A463" s="17">
        <v>90739624000118</v>
      </c>
      <c r="B463" t="s">
        <v>33</v>
      </c>
      <c r="D463" t="s">
        <v>472</v>
      </c>
      <c r="E463" t="s">
        <v>2</v>
      </c>
      <c r="F463">
        <v>269308</v>
      </c>
      <c r="G463" s="1" t="s">
        <v>2053</v>
      </c>
      <c r="H463">
        <v>24990776</v>
      </c>
      <c r="I463">
        <v>1138</v>
      </c>
      <c r="J463" t="s">
        <v>35</v>
      </c>
      <c r="K463" s="17">
        <v>27933025000102</v>
      </c>
      <c r="L463" s="17">
        <v>9576274000106</v>
      </c>
      <c r="M463" s="9">
        <v>109.26</v>
      </c>
      <c r="N463" t="s">
        <v>43</v>
      </c>
      <c r="Q463" s="2"/>
      <c r="R463" s="9"/>
      <c r="S463" t="s">
        <v>44</v>
      </c>
      <c r="T463" t="s">
        <v>45</v>
      </c>
      <c r="U463" s="2" t="s">
        <v>796</v>
      </c>
      <c r="V463" s="9" t="s">
        <v>2054</v>
      </c>
      <c r="W463">
        <v>4.1260827933025001E+43</v>
      </c>
      <c r="X463" t="s">
        <v>46</v>
      </c>
      <c r="Y463" s="2" t="s">
        <v>717</v>
      </c>
      <c r="Z463" s="2" t="s">
        <v>718</v>
      </c>
      <c r="AA463" s="9" t="s">
        <v>715</v>
      </c>
      <c r="AC463" s="2"/>
      <c r="AD463" t="s">
        <v>7</v>
      </c>
      <c r="AE463" t="s">
        <v>2055</v>
      </c>
    </row>
    <row r="464" spans="1:31" x14ac:dyDescent="0.3">
      <c r="A464" s="17">
        <v>90739624000118</v>
      </c>
      <c r="B464" t="s">
        <v>58</v>
      </c>
      <c r="D464" t="s">
        <v>396</v>
      </c>
      <c r="E464" t="s">
        <v>2</v>
      </c>
      <c r="F464">
        <v>269308</v>
      </c>
      <c r="G464" s="1" t="s">
        <v>2056</v>
      </c>
      <c r="H464">
        <v>24990752</v>
      </c>
      <c r="J464" t="s">
        <v>167</v>
      </c>
      <c r="K464" s="17">
        <v>7473735016266</v>
      </c>
      <c r="L464" s="17"/>
      <c r="M464" s="9">
        <v>282.7</v>
      </c>
      <c r="N464" t="s">
        <v>43</v>
      </c>
      <c r="Q464" s="2"/>
      <c r="R464" s="9"/>
      <c r="S464" t="s">
        <v>87</v>
      </c>
      <c r="U464" s="2"/>
      <c r="V464" s="9"/>
      <c r="X464" t="s">
        <v>88</v>
      </c>
      <c r="Y464" s="2" t="s">
        <v>717</v>
      </c>
      <c r="Z464" s="2" t="s">
        <v>718</v>
      </c>
      <c r="AA464" s="9" t="s">
        <v>715</v>
      </c>
      <c r="AC464" s="2"/>
      <c r="AD464" t="s">
        <v>7</v>
      </c>
    </row>
    <row r="465" spans="1:31" x14ac:dyDescent="0.3">
      <c r="A465" s="17">
        <v>90739624000118</v>
      </c>
      <c r="B465" t="s">
        <v>13</v>
      </c>
      <c r="C465">
        <v>24603</v>
      </c>
      <c r="D465" t="s">
        <v>691</v>
      </c>
      <c r="E465" t="s">
        <v>2</v>
      </c>
      <c r="F465">
        <v>269308</v>
      </c>
      <c r="G465" s="1" t="s">
        <v>2058</v>
      </c>
      <c r="H465">
        <v>24990727</v>
      </c>
      <c r="J465" t="s">
        <v>15</v>
      </c>
      <c r="K465" s="17">
        <v>30432373000100</v>
      </c>
      <c r="L465" s="17"/>
      <c r="M465" s="9">
        <v>850.36</v>
      </c>
      <c r="N465" t="s">
        <v>43</v>
      </c>
      <c r="Q465" s="2"/>
      <c r="R465" s="9"/>
      <c r="S465" t="s">
        <v>87</v>
      </c>
      <c r="U465" s="2"/>
      <c r="V465" s="9"/>
      <c r="X465" t="s">
        <v>88</v>
      </c>
      <c r="Y465" s="2" t="s">
        <v>717</v>
      </c>
      <c r="Z465" s="2" t="s">
        <v>718</v>
      </c>
      <c r="AA465" s="9" t="s">
        <v>715</v>
      </c>
      <c r="AC465" s="2"/>
      <c r="AD465" t="s">
        <v>7</v>
      </c>
    </row>
    <row r="466" spans="1:31" x14ac:dyDescent="0.3">
      <c r="A466" s="17">
        <v>90739624000118</v>
      </c>
      <c r="B466" t="s">
        <v>13</v>
      </c>
      <c r="C466">
        <v>26010</v>
      </c>
      <c r="D466" t="s">
        <v>336</v>
      </c>
      <c r="E466" t="s">
        <v>2</v>
      </c>
      <c r="F466">
        <v>269308</v>
      </c>
      <c r="G466" s="1" t="s">
        <v>2060</v>
      </c>
      <c r="H466">
        <v>24990615</v>
      </c>
      <c r="I466">
        <v>16071</v>
      </c>
      <c r="J466" t="s">
        <v>315</v>
      </c>
      <c r="K466" s="17">
        <v>2322969000104</v>
      </c>
      <c r="L466" s="17">
        <v>90739624001190</v>
      </c>
      <c r="M466" s="9">
        <v>209.06</v>
      </c>
      <c r="N466" t="s">
        <v>43</v>
      </c>
      <c r="Q466" s="2"/>
      <c r="R466" s="9"/>
      <c r="S466" t="s">
        <v>44</v>
      </c>
      <c r="T466" t="s">
        <v>45</v>
      </c>
      <c r="U466" s="2" t="s">
        <v>581</v>
      </c>
      <c r="V466" s="9" t="s">
        <v>2061</v>
      </c>
      <c r="W466">
        <v>5.0260802322968997E+43</v>
      </c>
      <c r="X466" t="s">
        <v>46</v>
      </c>
      <c r="Y466" s="2" t="s">
        <v>717</v>
      </c>
      <c r="Z466" s="2" t="s">
        <v>718</v>
      </c>
      <c r="AA466" s="9" t="s">
        <v>715</v>
      </c>
      <c r="AC466" s="2"/>
      <c r="AD466" t="s">
        <v>7</v>
      </c>
      <c r="AE466" t="s">
        <v>2062</v>
      </c>
    </row>
    <row r="467" spans="1:31" x14ac:dyDescent="0.3">
      <c r="A467" s="17">
        <v>90739624000118</v>
      </c>
      <c r="B467" t="s">
        <v>170</v>
      </c>
      <c r="D467" t="s">
        <v>177</v>
      </c>
      <c r="E467" t="s">
        <v>2</v>
      </c>
      <c r="F467">
        <v>269308</v>
      </c>
      <c r="G467" s="1" t="s">
        <v>2063</v>
      </c>
      <c r="H467">
        <v>24990473</v>
      </c>
      <c r="I467">
        <v>47657</v>
      </c>
      <c r="J467" t="s">
        <v>171</v>
      </c>
      <c r="K467" s="17">
        <v>14631967000186</v>
      </c>
      <c r="L467" s="17">
        <v>90739624001432</v>
      </c>
      <c r="M467" s="9">
        <v>173.1</v>
      </c>
      <c r="N467" t="s">
        <v>43</v>
      </c>
      <c r="Q467" s="2"/>
      <c r="R467" s="9"/>
      <c r="S467" t="s">
        <v>44</v>
      </c>
      <c r="T467" t="s">
        <v>45</v>
      </c>
      <c r="U467" s="2" t="s">
        <v>581</v>
      </c>
      <c r="V467" s="9" t="s">
        <v>2064</v>
      </c>
      <c r="W467">
        <v>4.2260814631966998E+43</v>
      </c>
      <c r="X467" t="s">
        <v>46</v>
      </c>
      <c r="Y467" s="2" t="s">
        <v>717</v>
      </c>
      <c r="Z467" s="2" t="s">
        <v>718</v>
      </c>
      <c r="AA467" s="9" t="s">
        <v>715</v>
      </c>
      <c r="AC467" s="2"/>
      <c r="AD467" t="s">
        <v>7</v>
      </c>
      <c r="AE467" t="s">
        <v>2065</v>
      </c>
    </row>
    <row r="468" spans="1:31" x14ac:dyDescent="0.3">
      <c r="A468" s="17">
        <v>90739624000118</v>
      </c>
      <c r="B468" t="s">
        <v>170</v>
      </c>
      <c r="C468">
        <v>26115</v>
      </c>
      <c r="D468" t="s">
        <v>323</v>
      </c>
      <c r="E468" t="s">
        <v>2</v>
      </c>
      <c r="F468">
        <v>269308</v>
      </c>
      <c r="G468" s="1" t="s">
        <v>2066</v>
      </c>
      <c r="H468">
        <v>24990448</v>
      </c>
      <c r="I468">
        <v>129700</v>
      </c>
      <c r="J468" t="s">
        <v>178</v>
      </c>
      <c r="K468" s="17">
        <v>83392050000199</v>
      </c>
      <c r="L468" s="17">
        <v>90739624001432</v>
      </c>
      <c r="M468" s="9">
        <v>302.58</v>
      </c>
      <c r="N468" t="s">
        <v>43</v>
      </c>
      <c r="Q468" s="2"/>
      <c r="R468" s="9"/>
      <c r="S468" t="s">
        <v>44</v>
      </c>
      <c r="T468" t="s">
        <v>45</v>
      </c>
      <c r="U468" s="2" t="s">
        <v>581</v>
      </c>
      <c r="V468" s="9" t="s">
        <v>2067</v>
      </c>
      <c r="W468">
        <v>4.2260883392050001E+43</v>
      </c>
      <c r="X468" t="s">
        <v>46</v>
      </c>
      <c r="Y468" s="2" t="s">
        <v>717</v>
      </c>
      <c r="Z468" s="2" t="s">
        <v>718</v>
      </c>
      <c r="AA468" s="9" t="s">
        <v>715</v>
      </c>
      <c r="AC468" s="2"/>
      <c r="AD468" t="s">
        <v>7</v>
      </c>
      <c r="AE468" t="s">
        <v>2068</v>
      </c>
    </row>
    <row r="469" spans="1:31" x14ac:dyDescent="0.3">
      <c r="A469" s="17">
        <v>90739624000118</v>
      </c>
      <c r="B469" t="s">
        <v>31</v>
      </c>
      <c r="D469" t="s">
        <v>118</v>
      </c>
      <c r="E469" t="s">
        <v>2</v>
      </c>
      <c r="F469">
        <v>269308</v>
      </c>
      <c r="G469" s="1" t="s">
        <v>2069</v>
      </c>
      <c r="H469">
        <v>24990416</v>
      </c>
      <c r="I469">
        <v>171819</v>
      </c>
      <c r="J469" t="s">
        <v>233</v>
      </c>
      <c r="K469" s="17">
        <v>22611652000103</v>
      </c>
      <c r="L469" s="17">
        <v>90739624001866</v>
      </c>
      <c r="M469" s="9">
        <v>153.6</v>
      </c>
      <c r="N469" t="s">
        <v>43</v>
      </c>
      <c r="Q469" s="2"/>
      <c r="R469" s="9"/>
      <c r="S469" t="s">
        <v>44</v>
      </c>
      <c r="T469" t="s">
        <v>45</v>
      </c>
      <c r="U469" s="2" t="s">
        <v>581</v>
      </c>
      <c r="V469" s="9" t="s">
        <v>2070</v>
      </c>
      <c r="W469">
        <v>5.1260822611652001E+43</v>
      </c>
      <c r="X469" t="s">
        <v>46</v>
      </c>
      <c r="Y469" s="2" t="s">
        <v>717</v>
      </c>
      <c r="Z469" s="2" t="s">
        <v>718</v>
      </c>
      <c r="AA469" s="9" t="s">
        <v>715</v>
      </c>
      <c r="AC469" s="2"/>
      <c r="AD469" t="s">
        <v>7</v>
      </c>
      <c r="AE469" t="s">
        <v>2071</v>
      </c>
    </row>
    <row r="470" spans="1:31" x14ac:dyDescent="0.3">
      <c r="A470" s="17">
        <v>90739624000118</v>
      </c>
      <c r="B470" t="s">
        <v>61</v>
      </c>
      <c r="D470" t="s">
        <v>243</v>
      </c>
      <c r="E470" t="s">
        <v>2</v>
      </c>
      <c r="F470">
        <v>269308</v>
      </c>
      <c r="G470" s="1" t="s">
        <v>2072</v>
      </c>
      <c r="H470">
        <v>24990406</v>
      </c>
      <c r="I470">
        <v>2522</v>
      </c>
      <c r="J470" t="s">
        <v>85</v>
      </c>
      <c r="K470" s="17">
        <v>1975878000105</v>
      </c>
      <c r="L470" s="17">
        <v>9576274000106</v>
      </c>
      <c r="M470" s="9">
        <v>226.99</v>
      </c>
      <c r="N470" t="s">
        <v>43</v>
      </c>
      <c r="Q470" s="2"/>
      <c r="R470" s="9"/>
      <c r="S470" t="s">
        <v>44</v>
      </c>
      <c r="T470" t="s">
        <v>45</v>
      </c>
      <c r="U470" s="2" t="s">
        <v>581</v>
      </c>
      <c r="V470" s="9" t="s">
        <v>2073</v>
      </c>
      <c r="W470">
        <v>4.1260801975878E+43</v>
      </c>
      <c r="X470" t="s">
        <v>46</v>
      </c>
      <c r="Y470" s="2" t="s">
        <v>717</v>
      </c>
      <c r="Z470" s="2" t="s">
        <v>718</v>
      </c>
      <c r="AA470" s="9" t="s">
        <v>715</v>
      </c>
      <c r="AC470" s="2"/>
      <c r="AD470" t="s">
        <v>7</v>
      </c>
      <c r="AE470" t="s">
        <v>2074</v>
      </c>
    </row>
    <row r="471" spans="1:31" x14ac:dyDescent="0.3">
      <c r="A471" s="17">
        <v>90739624000118</v>
      </c>
      <c r="B471" t="s">
        <v>28</v>
      </c>
      <c r="C471">
        <v>23725</v>
      </c>
      <c r="D471" t="s">
        <v>560</v>
      </c>
      <c r="E471" t="s">
        <v>2</v>
      </c>
      <c r="F471">
        <v>269308</v>
      </c>
      <c r="G471" s="1" t="s">
        <v>2075</v>
      </c>
      <c r="H471">
        <v>24990396</v>
      </c>
      <c r="I471">
        <v>81316</v>
      </c>
      <c r="J471" t="s">
        <v>48</v>
      </c>
      <c r="K471" s="17">
        <v>1272434001002</v>
      </c>
      <c r="L471" s="17">
        <v>90739624001947</v>
      </c>
      <c r="M471" s="9">
        <v>146.88</v>
      </c>
      <c r="N471" t="s">
        <v>43</v>
      </c>
      <c r="Q471" s="2"/>
      <c r="R471" s="9"/>
      <c r="S471" t="s">
        <v>44</v>
      </c>
      <c r="T471" t="s">
        <v>45</v>
      </c>
      <c r="U471" s="2" t="s">
        <v>581</v>
      </c>
      <c r="V471" s="9" t="s">
        <v>2076</v>
      </c>
      <c r="W471">
        <v>5.2260801272433996E+43</v>
      </c>
      <c r="X471" t="s">
        <v>46</v>
      </c>
      <c r="Y471" s="2" t="s">
        <v>717</v>
      </c>
      <c r="Z471" s="2" t="s">
        <v>718</v>
      </c>
      <c r="AA471" s="9" t="s">
        <v>715</v>
      </c>
      <c r="AC471" s="2"/>
      <c r="AD471" t="s">
        <v>7</v>
      </c>
      <c r="AE471" t="s">
        <v>2077</v>
      </c>
    </row>
    <row r="472" spans="1:31" x14ac:dyDescent="0.3">
      <c r="A472" s="17">
        <v>90739624000118</v>
      </c>
      <c r="B472" t="s">
        <v>61</v>
      </c>
      <c r="D472" t="s">
        <v>383</v>
      </c>
      <c r="E472" t="s">
        <v>2</v>
      </c>
      <c r="F472">
        <v>269308</v>
      </c>
      <c r="G472" s="1" t="s">
        <v>2078</v>
      </c>
      <c r="H472">
        <v>24990381</v>
      </c>
      <c r="I472">
        <v>2521</v>
      </c>
      <c r="J472" t="s">
        <v>85</v>
      </c>
      <c r="K472" s="17">
        <v>1975878000105</v>
      </c>
      <c r="L472" s="17">
        <v>9576274000106</v>
      </c>
      <c r="M472" s="9">
        <v>191.49</v>
      </c>
      <c r="N472" t="s">
        <v>43</v>
      </c>
      <c r="Q472" s="2"/>
      <c r="R472" s="9"/>
      <c r="S472" t="s">
        <v>44</v>
      </c>
      <c r="T472" t="s">
        <v>45</v>
      </c>
      <c r="U472" s="2" t="s">
        <v>581</v>
      </c>
      <c r="V472" s="9" t="s">
        <v>2079</v>
      </c>
      <c r="W472">
        <v>4.1260801975878E+43</v>
      </c>
      <c r="X472" t="s">
        <v>46</v>
      </c>
      <c r="Y472" s="2" t="s">
        <v>717</v>
      </c>
      <c r="Z472" s="2" t="s">
        <v>718</v>
      </c>
      <c r="AA472" s="9" t="s">
        <v>715</v>
      </c>
      <c r="AC472" s="2"/>
      <c r="AD472" t="s">
        <v>7</v>
      </c>
      <c r="AE472" t="s">
        <v>2080</v>
      </c>
    </row>
    <row r="473" spans="1:31" x14ac:dyDescent="0.3">
      <c r="A473" s="17">
        <v>90739624000118</v>
      </c>
      <c r="B473" t="s">
        <v>73</v>
      </c>
      <c r="D473" t="s">
        <v>506</v>
      </c>
      <c r="E473" t="s">
        <v>2</v>
      </c>
      <c r="F473">
        <v>269308</v>
      </c>
      <c r="G473" s="1" t="s">
        <v>2081</v>
      </c>
      <c r="H473">
        <v>24990333</v>
      </c>
      <c r="I473">
        <v>39062</v>
      </c>
      <c r="J473" t="s">
        <v>578</v>
      </c>
      <c r="K473" s="17">
        <v>7473735004250</v>
      </c>
      <c r="L473" s="17">
        <v>90739624002323</v>
      </c>
      <c r="M473" s="9">
        <v>98.06</v>
      </c>
      <c r="N473" t="s">
        <v>43</v>
      </c>
      <c r="Q473" s="2"/>
      <c r="R473" s="9"/>
      <c r="S473" t="s">
        <v>44</v>
      </c>
      <c r="T473" t="s">
        <v>45</v>
      </c>
      <c r="U473" s="2" t="s">
        <v>581</v>
      </c>
      <c r="V473" s="9" t="s">
        <v>2082</v>
      </c>
      <c r="W473">
        <v>4.3260807473734999E+43</v>
      </c>
      <c r="X473" t="s">
        <v>46</v>
      </c>
      <c r="Y473" s="2" t="s">
        <v>717</v>
      </c>
      <c r="Z473" s="2" t="s">
        <v>718</v>
      </c>
      <c r="AA473" s="9" t="s">
        <v>715</v>
      </c>
      <c r="AC473" s="2"/>
      <c r="AD473" t="s">
        <v>7</v>
      </c>
      <c r="AE473" t="s">
        <v>2083</v>
      </c>
    </row>
    <row r="474" spans="1:31" x14ac:dyDescent="0.3">
      <c r="A474" s="17">
        <v>90739624000118</v>
      </c>
      <c r="B474" t="s">
        <v>61</v>
      </c>
      <c r="D474" t="s">
        <v>522</v>
      </c>
      <c r="E474" t="s">
        <v>2</v>
      </c>
      <c r="F474">
        <v>269308</v>
      </c>
      <c r="G474" s="1" t="s">
        <v>2084</v>
      </c>
      <c r="H474">
        <v>24990176</v>
      </c>
      <c r="I474">
        <v>820505</v>
      </c>
      <c r="J474" t="s">
        <v>62</v>
      </c>
      <c r="K474" s="17">
        <v>79964177000591</v>
      </c>
      <c r="L474" s="17">
        <v>9576274000106</v>
      </c>
      <c r="M474" s="9">
        <v>686.56</v>
      </c>
      <c r="N474" t="s">
        <v>43</v>
      </c>
      <c r="Q474" s="2"/>
      <c r="R474" s="9"/>
      <c r="S474" t="s">
        <v>44</v>
      </c>
      <c r="T474" t="s">
        <v>45</v>
      </c>
      <c r="U474" s="2" t="s">
        <v>581</v>
      </c>
      <c r="V474" s="9" t="s">
        <v>2085</v>
      </c>
      <c r="W474">
        <v>4.1260879964176998E+43</v>
      </c>
      <c r="X474" t="s">
        <v>46</v>
      </c>
      <c r="Y474" s="2" t="s">
        <v>717</v>
      </c>
      <c r="Z474" s="2" t="s">
        <v>718</v>
      </c>
      <c r="AA474" s="9" t="s">
        <v>715</v>
      </c>
      <c r="AC474" s="2"/>
      <c r="AD474" t="s">
        <v>7</v>
      </c>
      <c r="AE474" t="s">
        <v>2086</v>
      </c>
    </row>
    <row r="475" spans="1:31" x14ac:dyDescent="0.3">
      <c r="A475" s="17">
        <v>90739624000118</v>
      </c>
      <c r="B475" t="s">
        <v>100</v>
      </c>
      <c r="D475" t="s">
        <v>598</v>
      </c>
      <c r="E475" t="s">
        <v>2</v>
      </c>
      <c r="F475">
        <v>269308</v>
      </c>
      <c r="G475" s="1" t="s">
        <v>2087</v>
      </c>
      <c r="H475">
        <v>24990145</v>
      </c>
      <c r="I475">
        <v>154324</v>
      </c>
      <c r="J475" t="s">
        <v>230</v>
      </c>
      <c r="K475" s="17">
        <v>19770285000178</v>
      </c>
      <c r="L475" s="17">
        <v>90739624001866</v>
      </c>
      <c r="M475" s="9">
        <v>479.03</v>
      </c>
      <c r="N475" t="s">
        <v>43</v>
      </c>
      <c r="Q475" s="2"/>
      <c r="R475" s="9"/>
      <c r="S475" t="s">
        <v>44</v>
      </c>
      <c r="T475" t="s">
        <v>45</v>
      </c>
      <c r="U475" s="2" t="s">
        <v>581</v>
      </c>
      <c r="V475" s="9" t="s">
        <v>2089</v>
      </c>
      <c r="W475">
        <v>5.1260819770285001E+43</v>
      </c>
      <c r="X475" t="s">
        <v>46</v>
      </c>
      <c r="Y475" s="2" t="s">
        <v>717</v>
      </c>
      <c r="Z475" s="2" t="s">
        <v>718</v>
      </c>
      <c r="AA475" s="9" t="s">
        <v>715</v>
      </c>
      <c r="AC475" s="2"/>
      <c r="AD475" t="s">
        <v>7</v>
      </c>
      <c r="AE475" t="s">
        <v>2090</v>
      </c>
    </row>
    <row r="476" spans="1:31" x14ac:dyDescent="0.3">
      <c r="A476" s="17">
        <v>90739624000118</v>
      </c>
      <c r="B476" t="s">
        <v>36</v>
      </c>
      <c r="C476">
        <v>22446</v>
      </c>
      <c r="D476" t="s">
        <v>196</v>
      </c>
      <c r="E476" t="s">
        <v>2</v>
      </c>
      <c r="F476">
        <v>269308</v>
      </c>
      <c r="G476" s="1" t="s">
        <v>2091</v>
      </c>
      <c r="H476">
        <v>24990011</v>
      </c>
      <c r="I476">
        <v>4206</v>
      </c>
      <c r="J476" t="s">
        <v>186</v>
      </c>
      <c r="K476" s="17">
        <v>7822636000168</v>
      </c>
      <c r="L476" s="17">
        <v>90739624004458</v>
      </c>
      <c r="M476" s="9">
        <v>149.21</v>
      </c>
      <c r="N476" t="s">
        <v>43</v>
      </c>
      <c r="Q476" s="2"/>
      <c r="R476" s="9"/>
      <c r="S476" t="s">
        <v>44</v>
      </c>
      <c r="T476" t="s">
        <v>45</v>
      </c>
      <c r="U476" s="2" t="s">
        <v>581</v>
      </c>
      <c r="V476" s="9" t="s">
        <v>2092</v>
      </c>
      <c r="W476">
        <v>5.3260807822636003E+43</v>
      </c>
      <c r="X476" t="s">
        <v>46</v>
      </c>
      <c r="Y476" s="2" t="s">
        <v>717</v>
      </c>
      <c r="Z476" s="2" t="s">
        <v>718</v>
      </c>
      <c r="AA476" s="9" t="s">
        <v>715</v>
      </c>
      <c r="AC476" s="2"/>
      <c r="AD476" t="s">
        <v>7</v>
      </c>
      <c r="AE476" t="s">
        <v>2093</v>
      </c>
    </row>
    <row r="477" spans="1:31" x14ac:dyDescent="0.3">
      <c r="A477" s="17">
        <v>90739624000118</v>
      </c>
      <c r="B477" t="s">
        <v>58</v>
      </c>
      <c r="C477">
        <v>19596</v>
      </c>
      <c r="D477" t="s">
        <v>527</v>
      </c>
      <c r="E477" t="s">
        <v>2</v>
      </c>
      <c r="F477">
        <v>269308</v>
      </c>
      <c r="G477" s="1" t="s">
        <v>2094</v>
      </c>
      <c r="H477">
        <v>24989953</v>
      </c>
      <c r="I477">
        <v>13766</v>
      </c>
      <c r="J477" t="s">
        <v>192</v>
      </c>
      <c r="K477" s="17">
        <v>7473735022312</v>
      </c>
      <c r="L477" s="17">
        <v>90739624002323</v>
      </c>
      <c r="M477" s="9">
        <v>350.43</v>
      </c>
      <c r="N477" t="s">
        <v>43</v>
      </c>
      <c r="Q477" s="2"/>
      <c r="R477" s="9"/>
      <c r="S477" t="s">
        <v>44</v>
      </c>
      <c r="T477" t="s">
        <v>45</v>
      </c>
      <c r="U477" s="2" t="s">
        <v>581</v>
      </c>
      <c r="V477" s="9" t="s">
        <v>2095</v>
      </c>
      <c r="W477">
        <v>4.3260807473734999E+43</v>
      </c>
      <c r="X477" t="s">
        <v>46</v>
      </c>
      <c r="Y477" s="2" t="s">
        <v>717</v>
      </c>
      <c r="Z477" s="2" t="s">
        <v>718</v>
      </c>
      <c r="AA477" s="9" t="s">
        <v>715</v>
      </c>
      <c r="AC477" s="2"/>
      <c r="AD477" t="s">
        <v>7</v>
      </c>
      <c r="AE477" t="s">
        <v>2096</v>
      </c>
    </row>
    <row r="478" spans="1:31" x14ac:dyDescent="0.3">
      <c r="A478" s="17">
        <v>90739624000118</v>
      </c>
      <c r="B478" t="s">
        <v>63</v>
      </c>
      <c r="D478" t="s">
        <v>466</v>
      </c>
      <c r="E478" t="s">
        <v>2</v>
      </c>
      <c r="F478">
        <v>269308</v>
      </c>
      <c r="G478" s="1" t="s">
        <v>2097</v>
      </c>
      <c r="H478">
        <v>24989799</v>
      </c>
      <c r="I478">
        <v>179292</v>
      </c>
      <c r="J478" t="s">
        <v>64</v>
      </c>
      <c r="K478" s="17">
        <v>23448964001921</v>
      </c>
      <c r="L478" s="17">
        <v>90739624001432</v>
      </c>
      <c r="M478" s="9">
        <v>119.72</v>
      </c>
      <c r="N478" t="s">
        <v>43</v>
      </c>
      <c r="Q478" s="2"/>
      <c r="R478" s="9"/>
      <c r="S478" t="s">
        <v>44</v>
      </c>
      <c r="T478" t="s">
        <v>45</v>
      </c>
      <c r="U478" s="2" t="s">
        <v>581</v>
      </c>
      <c r="V478" s="9" t="s">
        <v>2098</v>
      </c>
      <c r="W478">
        <v>4.2260823448963998E+43</v>
      </c>
      <c r="X478" t="s">
        <v>46</v>
      </c>
      <c r="Y478" s="2" t="s">
        <v>717</v>
      </c>
      <c r="Z478" s="2" t="s">
        <v>718</v>
      </c>
      <c r="AA478" s="9" t="s">
        <v>715</v>
      </c>
      <c r="AC478" s="2"/>
      <c r="AD478" t="s">
        <v>7</v>
      </c>
      <c r="AE478" t="s">
        <v>2099</v>
      </c>
    </row>
    <row r="479" spans="1:31" x14ac:dyDescent="0.3">
      <c r="A479" s="17">
        <v>90739624000118</v>
      </c>
      <c r="B479" t="s">
        <v>52</v>
      </c>
      <c r="D479" t="s">
        <v>455</v>
      </c>
      <c r="E479" t="s">
        <v>2</v>
      </c>
      <c r="F479">
        <v>269308</v>
      </c>
      <c r="G479" s="1" t="s">
        <v>2100</v>
      </c>
      <c r="H479">
        <v>24989755</v>
      </c>
      <c r="I479">
        <v>40972</v>
      </c>
      <c r="J479" t="s">
        <v>545</v>
      </c>
      <c r="K479" s="17">
        <v>30429333000282</v>
      </c>
      <c r="L479" s="17">
        <v>9576274000106</v>
      </c>
      <c r="M479" s="9">
        <v>270.26</v>
      </c>
      <c r="N479" t="s">
        <v>43</v>
      </c>
      <c r="Q479" s="2"/>
      <c r="R479" s="9"/>
      <c r="S479" t="s">
        <v>44</v>
      </c>
      <c r="T479" t="s">
        <v>45</v>
      </c>
      <c r="U479" s="2" t="s">
        <v>581</v>
      </c>
      <c r="V479" s="9" t="s">
        <v>2101</v>
      </c>
      <c r="W479">
        <v>4.1260830429333002E+43</v>
      </c>
      <c r="X479" t="s">
        <v>46</v>
      </c>
      <c r="Y479" s="2" t="s">
        <v>717</v>
      </c>
      <c r="Z479" s="2" t="s">
        <v>718</v>
      </c>
      <c r="AA479" s="9" t="s">
        <v>715</v>
      </c>
      <c r="AC479" s="2"/>
      <c r="AD479" t="s">
        <v>7</v>
      </c>
      <c r="AE479" t="s">
        <v>2102</v>
      </c>
    </row>
    <row r="480" spans="1:31" x14ac:dyDescent="0.3">
      <c r="A480" s="17">
        <v>90739624000118</v>
      </c>
      <c r="B480" t="s">
        <v>58</v>
      </c>
      <c r="D480" t="s">
        <v>535</v>
      </c>
      <c r="E480" t="s">
        <v>2</v>
      </c>
      <c r="F480">
        <v>269308</v>
      </c>
      <c r="G480" s="1" t="s">
        <v>2103</v>
      </c>
      <c r="H480">
        <v>24989747</v>
      </c>
      <c r="I480">
        <v>13765</v>
      </c>
      <c r="J480" t="s">
        <v>192</v>
      </c>
      <c r="K480" s="17">
        <v>7473735022312</v>
      </c>
      <c r="L480" s="17">
        <v>90739624002323</v>
      </c>
      <c r="M480" s="9">
        <v>372.33</v>
      </c>
      <c r="N480" t="s">
        <v>43</v>
      </c>
      <c r="Q480" s="2"/>
      <c r="R480" s="9"/>
      <c r="S480" t="s">
        <v>44</v>
      </c>
      <c r="T480" t="s">
        <v>45</v>
      </c>
      <c r="U480" s="2" t="s">
        <v>581</v>
      </c>
      <c r="V480" s="9" t="s">
        <v>2104</v>
      </c>
      <c r="W480">
        <v>4.3260807473734999E+43</v>
      </c>
      <c r="X480" t="s">
        <v>46</v>
      </c>
      <c r="Y480" s="2" t="s">
        <v>717</v>
      </c>
      <c r="Z480" s="2" t="s">
        <v>718</v>
      </c>
      <c r="AA480" s="9" t="s">
        <v>715</v>
      </c>
      <c r="AC480" s="2"/>
      <c r="AD480" t="s">
        <v>7</v>
      </c>
      <c r="AE480" t="s">
        <v>2105</v>
      </c>
    </row>
    <row r="481" spans="1:31" x14ac:dyDescent="0.3">
      <c r="A481" s="17">
        <v>90739624000118</v>
      </c>
      <c r="B481" t="s">
        <v>170</v>
      </c>
      <c r="C481">
        <v>24444</v>
      </c>
      <c r="D481" t="s">
        <v>281</v>
      </c>
      <c r="E481" t="s">
        <v>2</v>
      </c>
      <c r="F481">
        <v>269308</v>
      </c>
      <c r="G481" s="1" t="s">
        <v>2106</v>
      </c>
      <c r="H481">
        <v>24989684</v>
      </c>
      <c r="I481">
        <v>47652</v>
      </c>
      <c r="J481" t="s">
        <v>171</v>
      </c>
      <c r="K481" s="17">
        <v>14631967000186</v>
      </c>
      <c r="L481" s="17">
        <v>90739624001432</v>
      </c>
      <c r="M481" s="9">
        <v>129.59</v>
      </c>
      <c r="N481" t="s">
        <v>43</v>
      </c>
      <c r="Q481" s="2"/>
      <c r="R481" s="9"/>
      <c r="S481" t="s">
        <v>44</v>
      </c>
      <c r="T481" t="s">
        <v>45</v>
      </c>
      <c r="U481" s="2" t="s">
        <v>581</v>
      </c>
      <c r="V481" s="9" t="s">
        <v>2107</v>
      </c>
      <c r="W481">
        <v>4.2260814631966998E+43</v>
      </c>
      <c r="X481" t="s">
        <v>46</v>
      </c>
      <c r="Y481" s="2" t="s">
        <v>717</v>
      </c>
      <c r="Z481" s="2" t="s">
        <v>718</v>
      </c>
      <c r="AA481" s="9" t="s">
        <v>715</v>
      </c>
      <c r="AC481" s="2"/>
      <c r="AD481" t="s">
        <v>7</v>
      </c>
      <c r="AE481" t="s">
        <v>2108</v>
      </c>
    </row>
    <row r="482" spans="1:31" x14ac:dyDescent="0.3">
      <c r="A482" s="17">
        <v>90739624000118</v>
      </c>
      <c r="B482" t="s">
        <v>61</v>
      </c>
      <c r="D482" t="s">
        <v>201</v>
      </c>
      <c r="E482" t="s">
        <v>2</v>
      </c>
      <c r="F482">
        <v>269308</v>
      </c>
      <c r="G482" s="1" t="s">
        <v>2109</v>
      </c>
      <c r="H482">
        <v>24989354</v>
      </c>
      <c r="I482">
        <v>28861</v>
      </c>
      <c r="J482" t="s">
        <v>127</v>
      </c>
      <c r="K482" s="17">
        <v>76493295000147</v>
      </c>
      <c r="L482" s="17">
        <v>9576274000106</v>
      </c>
      <c r="M482" s="9">
        <v>609.44000000000005</v>
      </c>
      <c r="N482" t="s">
        <v>43</v>
      </c>
      <c r="Q482" s="2"/>
      <c r="R482" s="9"/>
      <c r="S482" t="s">
        <v>44</v>
      </c>
      <c r="T482" t="s">
        <v>45</v>
      </c>
      <c r="U482" s="2" t="s">
        <v>581</v>
      </c>
      <c r="V482" s="9" t="s">
        <v>2110</v>
      </c>
      <c r="W482">
        <v>4.1260876493295002E+43</v>
      </c>
      <c r="X482" t="s">
        <v>46</v>
      </c>
      <c r="Y482" s="2" t="s">
        <v>717</v>
      </c>
      <c r="Z482" s="2" t="s">
        <v>718</v>
      </c>
      <c r="AA482" s="9" t="s">
        <v>715</v>
      </c>
      <c r="AC482" s="2"/>
      <c r="AD482" t="s">
        <v>7</v>
      </c>
      <c r="AE482" t="s">
        <v>2111</v>
      </c>
    </row>
    <row r="483" spans="1:31" x14ac:dyDescent="0.3">
      <c r="A483" s="17">
        <v>90739624000118</v>
      </c>
      <c r="B483" t="s">
        <v>63</v>
      </c>
      <c r="D483" t="s">
        <v>276</v>
      </c>
      <c r="E483" t="s">
        <v>2</v>
      </c>
      <c r="F483">
        <v>269308</v>
      </c>
      <c r="G483" s="1" t="s">
        <v>2112</v>
      </c>
      <c r="H483">
        <v>24989190</v>
      </c>
      <c r="I483">
        <v>179282</v>
      </c>
      <c r="J483" t="s">
        <v>64</v>
      </c>
      <c r="K483" s="17">
        <v>23448964001921</v>
      </c>
      <c r="L483" s="17">
        <v>90739624001432</v>
      </c>
      <c r="M483" s="9">
        <v>134.76</v>
      </c>
      <c r="N483" t="s">
        <v>43</v>
      </c>
      <c r="Q483" s="2"/>
      <c r="R483" s="9"/>
      <c r="S483" t="s">
        <v>44</v>
      </c>
      <c r="T483" t="s">
        <v>45</v>
      </c>
      <c r="U483" s="2" t="s">
        <v>581</v>
      </c>
      <c r="V483" s="9" t="s">
        <v>2113</v>
      </c>
      <c r="W483">
        <v>4.2260823448963998E+43</v>
      </c>
      <c r="X483" t="s">
        <v>46</v>
      </c>
      <c r="Y483" s="2" t="s">
        <v>717</v>
      </c>
      <c r="Z483" s="2" t="s">
        <v>718</v>
      </c>
      <c r="AA483" s="9" t="s">
        <v>715</v>
      </c>
      <c r="AC483" s="2"/>
      <c r="AD483" t="s">
        <v>7</v>
      </c>
      <c r="AE483" t="s">
        <v>2114</v>
      </c>
    </row>
    <row r="484" spans="1:31" x14ac:dyDescent="0.3">
      <c r="A484" s="17">
        <v>90739624000118</v>
      </c>
      <c r="B484" t="s">
        <v>52</v>
      </c>
      <c r="C484">
        <v>21147</v>
      </c>
      <c r="D484" t="s">
        <v>485</v>
      </c>
      <c r="E484" t="s">
        <v>2</v>
      </c>
      <c r="F484">
        <v>269308</v>
      </c>
      <c r="G484" s="1" t="s">
        <v>2115</v>
      </c>
      <c r="H484">
        <v>24989031</v>
      </c>
      <c r="I484">
        <v>16821</v>
      </c>
      <c r="J484" t="s">
        <v>54</v>
      </c>
      <c r="K484" s="17">
        <v>79130647000198</v>
      </c>
      <c r="L484" s="17">
        <v>9576274000106</v>
      </c>
      <c r="M484" s="9">
        <v>353.83</v>
      </c>
      <c r="N484" t="s">
        <v>43</v>
      </c>
      <c r="Q484" s="2"/>
      <c r="R484" s="9"/>
      <c r="S484" t="s">
        <v>44</v>
      </c>
      <c r="T484" t="s">
        <v>45</v>
      </c>
      <c r="U484" s="2" t="s">
        <v>581</v>
      </c>
      <c r="V484" s="9" t="s">
        <v>2116</v>
      </c>
      <c r="W484">
        <v>4.1260879130646998E+43</v>
      </c>
      <c r="X484" t="s">
        <v>46</v>
      </c>
      <c r="Y484" s="2" t="s">
        <v>717</v>
      </c>
      <c r="Z484" s="2" t="s">
        <v>718</v>
      </c>
      <c r="AA484" s="9" t="s">
        <v>715</v>
      </c>
      <c r="AC484" s="2"/>
      <c r="AD484" t="s">
        <v>7</v>
      </c>
      <c r="AE484" t="s">
        <v>2117</v>
      </c>
    </row>
    <row r="485" spans="1:31" x14ac:dyDescent="0.3">
      <c r="A485" s="17">
        <v>90739624000118</v>
      </c>
      <c r="B485" t="s">
        <v>36</v>
      </c>
      <c r="D485" t="s">
        <v>197</v>
      </c>
      <c r="E485" t="s">
        <v>2</v>
      </c>
      <c r="F485">
        <v>269308</v>
      </c>
      <c r="G485" s="1" t="s">
        <v>2118</v>
      </c>
      <c r="H485">
        <v>24988940</v>
      </c>
      <c r="I485">
        <v>4203</v>
      </c>
      <c r="J485" t="s">
        <v>186</v>
      </c>
      <c r="K485" s="17">
        <v>7822636000168</v>
      </c>
      <c r="L485" s="17">
        <v>90739624004458</v>
      </c>
      <c r="M485" s="9">
        <v>100.55</v>
      </c>
      <c r="N485" t="s">
        <v>43</v>
      </c>
      <c r="Q485" s="2"/>
      <c r="R485" s="9"/>
      <c r="S485" t="s">
        <v>44</v>
      </c>
      <c r="T485" t="s">
        <v>45</v>
      </c>
      <c r="U485" s="2" t="s">
        <v>581</v>
      </c>
      <c r="V485" s="9" t="s">
        <v>2120</v>
      </c>
      <c r="W485">
        <v>5.3260807822636003E+43</v>
      </c>
      <c r="X485" t="s">
        <v>46</v>
      </c>
      <c r="Y485" s="2" t="s">
        <v>717</v>
      </c>
      <c r="Z485" s="2" t="s">
        <v>718</v>
      </c>
      <c r="AA485" s="9" t="s">
        <v>715</v>
      </c>
      <c r="AC485" s="2"/>
      <c r="AD485" t="s">
        <v>7</v>
      </c>
      <c r="AE485" t="s">
        <v>2121</v>
      </c>
    </row>
    <row r="486" spans="1:31" x14ac:dyDescent="0.3">
      <c r="A486" s="17">
        <v>90739624000118</v>
      </c>
      <c r="B486" t="s">
        <v>36</v>
      </c>
      <c r="D486" t="s">
        <v>510</v>
      </c>
      <c r="E486" t="s">
        <v>2</v>
      </c>
      <c r="F486">
        <v>269308</v>
      </c>
      <c r="G486" s="1" t="s">
        <v>2122</v>
      </c>
      <c r="H486">
        <v>24988930</v>
      </c>
      <c r="I486">
        <v>4202</v>
      </c>
      <c r="J486" t="s">
        <v>186</v>
      </c>
      <c r="K486" s="17">
        <v>7822636000168</v>
      </c>
      <c r="L486" s="17">
        <v>90739624004458</v>
      </c>
      <c r="M486" s="9">
        <v>249.6</v>
      </c>
      <c r="N486" t="s">
        <v>43</v>
      </c>
      <c r="Q486" s="2"/>
      <c r="R486" s="9"/>
      <c r="S486" t="s">
        <v>44</v>
      </c>
      <c r="T486" t="s">
        <v>45</v>
      </c>
      <c r="U486" s="2" t="s">
        <v>581</v>
      </c>
      <c r="V486" s="9" t="s">
        <v>2123</v>
      </c>
      <c r="W486">
        <v>5.3260807822636003E+43</v>
      </c>
      <c r="X486" t="s">
        <v>46</v>
      </c>
      <c r="Y486" s="2" t="s">
        <v>717</v>
      </c>
      <c r="Z486" s="2" t="s">
        <v>718</v>
      </c>
      <c r="AA486" s="9" t="s">
        <v>715</v>
      </c>
      <c r="AC486" s="2"/>
      <c r="AD486" t="s">
        <v>7</v>
      </c>
      <c r="AE486" t="s">
        <v>2124</v>
      </c>
    </row>
    <row r="487" spans="1:31" x14ac:dyDescent="0.3">
      <c r="A487" s="17">
        <v>90739624000118</v>
      </c>
      <c r="B487" t="s">
        <v>61</v>
      </c>
      <c r="D487" t="s">
        <v>140</v>
      </c>
      <c r="E487" t="s">
        <v>2</v>
      </c>
      <c r="F487">
        <v>269308</v>
      </c>
      <c r="G487" s="1" t="s">
        <v>2125</v>
      </c>
      <c r="H487">
        <v>24988866</v>
      </c>
      <c r="I487">
        <v>820483</v>
      </c>
      <c r="J487" t="s">
        <v>62</v>
      </c>
      <c r="K487" s="17">
        <v>79964177000591</v>
      </c>
      <c r="L487" s="17">
        <v>9576274000106</v>
      </c>
      <c r="M487" s="9">
        <v>2286.4899999999998</v>
      </c>
      <c r="N487" t="s">
        <v>43</v>
      </c>
      <c r="Q487" s="2"/>
      <c r="R487" s="9"/>
      <c r="S487" t="s">
        <v>44</v>
      </c>
      <c r="T487" t="s">
        <v>45</v>
      </c>
      <c r="U487" s="2" t="s">
        <v>581</v>
      </c>
      <c r="V487" s="9" t="s">
        <v>2126</v>
      </c>
      <c r="W487">
        <v>4.1260879964176998E+43</v>
      </c>
      <c r="X487" t="s">
        <v>46</v>
      </c>
      <c r="Y487" s="2" t="s">
        <v>717</v>
      </c>
      <c r="Z487" s="2" t="s">
        <v>718</v>
      </c>
      <c r="AA487" s="9" t="s">
        <v>715</v>
      </c>
      <c r="AC487" s="2"/>
      <c r="AD487" t="s">
        <v>7</v>
      </c>
      <c r="AE487" t="s">
        <v>2127</v>
      </c>
    </row>
    <row r="488" spans="1:31" x14ac:dyDescent="0.3">
      <c r="A488" s="17">
        <v>90739624000118</v>
      </c>
      <c r="B488" t="s">
        <v>61</v>
      </c>
      <c r="D488" t="s">
        <v>314</v>
      </c>
      <c r="E488" t="s">
        <v>2</v>
      </c>
      <c r="F488">
        <v>269308</v>
      </c>
      <c r="G488" s="1" t="s">
        <v>2128</v>
      </c>
      <c r="H488">
        <v>24988683</v>
      </c>
      <c r="I488">
        <v>820481</v>
      </c>
      <c r="J488" t="s">
        <v>62</v>
      </c>
      <c r="K488" s="17">
        <v>79964177000591</v>
      </c>
      <c r="L488" s="17">
        <v>9576274000106</v>
      </c>
      <c r="M488" s="9">
        <v>1808.35</v>
      </c>
      <c r="N488" t="s">
        <v>43</v>
      </c>
      <c r="Q488" s="2"/>
      <c r="R488" s="9"/>
      <c r="S488" t="s">
        <v>44</v>
      </c>
      <c r="T488" t="s">
        <v>45</v>
      </c>
      <c r="U488" s="2" t="s">
        <v>581</v>
      </c>
      <c r="V488" s="9" t="s">
        <v>2129</v>
      </c>
      <c r="W488">
        <v>4.1260879964176998E+43</v>
      </c>
      <c r="X488" t="s">
        <v>46</v>
      </c>
      <c r="Y488" s="2" t="s">
        <v>717</v>
      </c>
      <c r="Z488" s="2" t="s">
        <v>718</v>
      </c>
      <c r="AA488" s="9" t="s">
        <v>715</v>
      </c>
      <c r="AC488" s="2"/>
      <c r="AD488" t="s">
        <v>7</v>
      </c>
      <c r="AE488" t="s">
        <v>2130</v>
      </c>
    </row>
    <row r="489" spans="1:31" x14ac:dyDescent="0.3">
      <c r="A489" s="17">
        <v>90739624000118</v>
      </c>
      <c r="B489" t="s">
        <v>170</v>
      </c>
      <c r="D489" t="s">
        <v>291</v>
      </c>
      <c r="E489" t="s">
        <v>2</v>
      </c>
      <c r="F489">
        <v>269308</v>
      </c>
      <c r="G489" s="1" t="s">
        <v>2131</v>
      </c>
      <c r="H489">
        <v>24988501</v>
      </c>
      <c r="I489">
        <v>129672</v>
      </c>
      <c r="J489" t="s">
        <v>178</v>
      </c>
      <c r="K489" s="17">
        <v>83392050000199</v>
      </c>
      <c r="L489" s="17">
        <v>90739624001432</v>
      </c>
      <c r="M489" s="9">
        <v>274.16000000000003</v>
      </c>
      <c r="N489" t="s">
        <v>43</v>
      </c>
      <c r="Q489" s="2"/>
      <c r="R489" s="9"/>
      <c r="S489" t="s">
        <v>44</v>
      </c>
      <c r="T489" t="s">
        <v>45</v>
      </c>
      <c r="U489" s="2" t="s">
        <v>581</v>
      </c>
      <c r="V489" s="9" t="s">
        <v>2132</v>
      </c>
      <c r="W489">
        <v>4.2260883392050001E+43</v>
      </c>
      <c r="X489" t="s">
        <v>46</v>
      </c>
      <c r="Y489" s="2" t="s">
        <v>717</v>
      </c>
      <c r="Z489" s="2" t="s">
        <v>718</v>
      </c>
      <c r="AA489" s="9" t="s">
        <v>715</v>
      </c>
      <c r="AC489" s="2"/>
      <c r="AD489" t="s">
        <v>7</v>
      </c>
      <c r="AE489" t="s">
        <v>2133</v>
      </c>
    </row>
    <row r="490" spans="1:31" x14ac:dyDescent="0.3">
      <c r="A490" s="17">
        <v>90739624000118</v>
      </c>
      <c r="B490" t="s">
        <v>61</v>
      </c>
      <c r="D490" t="s">
        <v>479</v>
      </c>
      <c r="E490" t="s">
        <v>2</v>
      </c>
      <c r="F490">
        <v>269308</v>
      </c>
      <c r="G490" s="1" t="s">
        <v>2134</v>
      </c>
      <c r="H490">
        <v>24988491</v>
      </c>
      <c r="I490">
        <v>28857</v>
      </c>
      <c r="J490" t="s">
        <v>127</v>
      </c>
      <c r="K490" s="17">
        <v>76493295000147</v>
      </c>
      <c r="L490" s="17">
        <v>9576274000106</v>
      </c>
      <c r="M490" s="9">
        <v>685.09</v>
      </c>
      <c r="N490" t="s">
        <v>43</v>
      </c>
      <c r="Q490" s="2"/>
      <c r="R490" s="9"/>
      <c r="S490" t="s">
        <v>44</v>
      </c>
      <c r="T490" t="s">
        <v>45</v>
      </c>
      <c r="U490" s="2" t="s">
        <v>581</v>
      </c>
      <c r="V490" s="9" t="s">
        <v>2135</v>
      </c>
      <c r="W490">
        <v>4.1260876493295002E+43</v>
      </c>
      <c r="X490" t="s">
        <v>46</v>
      </c>
      <c r="Y490" s="2" t="s">
        <v>717</v>
      </c>
      <c r="Z490" s="2" t="s">
        <v>718</v>
      </c>
      <c r="AA490" s="9" t="s">
        <v>715</v>
      </c>
      <c r="AC490" s="2"/>
      <c r="AD490" t="s">
        <v>7</v>
      </c>
      <c r="AE490" t="s">
        <v>2136</v>
      </c>
    </row>
    <row r="491" spans="1:31" x14ac:dyDescent="0.3">
      <c r="A491" s="17">
        <v>90739624000118</v>
      </c>
      <c r="B491" t="s">
        <v>58</v>
      </c>
      <c r="D491" t="s">
        <v>308</v>
      </c>
      <c r="E491" t="s">
        <v>2</v>
      </c>
      <c r="F491">
        <v>269308</v>
      </c>
      <c r="G491" s="1" t="s">
        <v>2137</v>
      </c>
      <c r="H491">
        <v>24988154</v>
      </c>
      <c r="I491">
        <v>88802</v>
      </c>
      <c r="J491" t="s">
        <v>309</v>
      </c>
      <c r="K491" s="17">
        <v>7473735017661</v>
      </c>
      <c r="L491" s="17">
        <v>90739624002323</v>
      </c>
      <c r="M491" s="9">
        <v>550.54</v>
      </c>
      <c r="N491" t="s">
        <v>43</v>
      </c>
      <c r="Q491" s="2"/>
      <c r="R491" s="9"/>
      <c r="S491" t="s">
        <v>44</v>
      </c>
      <c r="T491" t="s">
        <v>45</v>
      </c>
      <c r="U491" s="2" t="s">
        <v>581</v>
      </c>
      <c r="V491" s="9" t="s">
        <v>2138</v>
      </c>
      <c r="W491">
        <v>4.3260807473734999E+43</v>
      </c>
      <c r="X491" t="s">
        <v>46</v>
      </c>
      <c r="Y491" s="2" t="s">
        <v>717</v>
      </c>
      <c r="Z491" s="2" t="s">
        <v>718</v>
      </c>
      <c r="AA491" s="9" t="s">
        <v>715</v>
      </c>
      <c r="AC491" s="2"/>
      <c r="AD491" t="s">
        <v>7</v>
      </c>
      <c r="AE491" t="s">
        <v>2139</v>
      </c>
    </row>
    <row r="492" spans="1:31" x14ac:dyDescent="0.3">
      <c r="A492" s="17">
        <v>90739624000118</v>
      </c>
      <c r="B492" t="s">
        <v>61</v>
      </c>
      <c r="D492" t="s">
        <v>521</v>
      </c>
      <c r="E492" t="s">
        <v>2</v>
      </c>
      <c r="F492">
        <v>269308</v>
      </c>
      <c r="G492" s="1" t="s">
        <v>2140</v>
      </c>
      <c r="H492">
        <v>24987072</v>
      </c>
      <c r="I492">
        <v>28856</v>
      </c>
      <c r="J492" t="s">
        <v>127</v>
      </c>
      <c r="K492" s="17">
        <v>76493295000147</v>
      </c>
      <c r="L492" s="17">
        <v>9576274000106</v>
      </c>
      <c r="M492" s="9">
        <v>288.25</v>
      </c>
      <c r="N492" t="s">
        <v>43</v>
      </c>
      <c r="Q492" s="2"/>
      <c r="R492" s="9"/>
      <c r="S492" t="s">
        <v>44</v>
      </c>
      <c r="T492" t="s">
        <v>45</v>
      </c>
      <c r="U492" s="2" t="s">
        <v>581</v>
      </c>
      <c r="V492" s="9" t="s">
        <v>2141</v>
      </c>
      <c r="W492">
        <v>4.1260876493295002E+43</v>
      </c>
      <c r="X492" t="s">
        <v>46</v>
      </c>
      <c r="Y492" s="2" t="s">
        <v>717</v>
      </c>
      <c r="Z492" s="2" t="s">
        <v>718</v>
      </c>
      <c r="AA492" s="9" t="s">
        <v>715</v>
      </c>
      <c r="AC492" s="2"/>
      <c r="AD492" t="s">
        <v>7</v>
      </c>
      <c r="AE492" t="s">
        <v>2142</v>
      </c>
    </row>
    <row r="493" spans="1:31" x14ac:dyDescent="0.3">
      <c r="A493" s="17">
        <v>90739624000118</v>
      </c>
      <c r="B493" t="s">
        <v>18</v>
      </c>
      <c r="D493" t="s">
        <v>19</v>
      </c>
      <c r="E493" t="s">
        <v>2</v>
      </c>
      <c r="F493">
        <v>269308</v>
      </c>
      <c r="G493" s="1" t="s">
        <v>2143</v>
      </c>
      <c r="H493">
        <v>24983456</v>
      </c>
      <c r="I493">
        <v>373814</v>
      </c>
      <c r="J493" t="s">
        <v>202</v>
      </c>
      <c r="K493" s="17">
        <v>5065447000162</v>
      </c>
      <c r="L493" s="17">
        <v>90739624000380</v>
      </c>
      <c r="M493" s="9">
        <v>205.14</v>
      </c>
      <c r="N493" t="s">
        <v>43</v>
      </c>
      <c r="Q493" s="2"/>
      <c r="R493" s="9"/>
      <c r="S493" t="s">
        <v>44</v>
      </c>
      <c r="T493" t="s">
        <v>45</v>
      </c>
      <c r="U493" s="2" t="s">
        <v>581</v>
      </c>
      <c r="V493" s="9" t="s">
        <v>2144</v>
      </c>
      <c r="W493">
        <v>3.5260805065447002E+43</v>
      </c>
      <c r="X493" t="s">
        <v>46</v>
      </c>
      <c r="Y493" s="2" t="s">
        <v>717</v>
      </c>
      <c r="Z493" s="2" t="s">
        <v>718</v>
      </c>
      <c r="AA493" s="9" t="s">
        <v>715</v>
      </c>
      <c r="AC493" s="2"/>
      <c r="AD493" t="s">
        <v>7</v>
      </c>
      <c r="AE493" t="s">
        <v>2145</v>
      </c>
    </row>
    <row r="494" spans="1:31" x14ac:dyDescent="0.3">
      <c r="A494" s="17">
        <v>90739624000118</v>
      </c>
      <c r="B494" t="s">
        <v>100</v>
      </c>
      <c r="D494" t="s">
        <v>135</v>
      </c>
      <c r="E494" t="s">
        <v>2</v>
      </c>
      <c r="F494">
        <v>269308</v>
      </c>
      <c r="G494" s="1" t="s">
        <v>2146</v>
      </c>
      <c r="H494">
        <v>24974282</v>
      </c>
      <c r="I494">
        <v>154880</v>
      </c>
      <c r="J494" t="s">
        <v>241</v>
      </c>
      <c r="K494" s="17">
        <v>14948822000103</v>
      </c>
      <c r="L494" s="17">
        <v>90739624001866</v>
      </c>
      <c r="M494" s="9">
        <v>260.24</v>
      </c>
      <c r="N494" t="s">
        <v>43</v>
      </c>
      <c r="Q494" s="2"/>
      <c r="R494" s="9"/>
      <c r="S494" t="s">
        <v>44</v>
      </c>
      <c r="T494" t="s">
        <v>45</v>
      </c>
      <c r="U494" s="2" t="s">
        <v>2148</v>
      </c>
      <c r="V494" s="9" t="s">
        <v>2147</v>
      </c>
      <c r="W494">
        <v>5.1260814948822004E+43</v>
      </c>
      <c r="X494" t="s">
        <v>46</v>
      </c>
      <c r="Y494" s="2" t="s">
        <v>717</v>
      </c>
      <c r="Z494" s="2" t="s">
        <v>718</v>
      </c>
      <c r="AA494" s="9" t="s">
        <v>715</v>
      </c>
      <c r="AC494" s="2"/>
      <c r="AD494" t="s">
        <v>7</v>
      </c>
      <c r="AE494" t="s">
        <v>2149</v>
      </c>
    </row>
    <row r="495" spans="1:31" x14ac:dyDescent="0.3">
      <c r="A495" s="17">
        <v>90739624000118</v>
      </c>
      <c r="B495" t="s">
        <v>36</v>
      </c>
      <c r="D495" t="s">
        <v>197</v>
      </c>
      <c r="E495" t="s">
        <v>2</v>
      </c>
      <c r="F495">
        <v>269308</v>
      </c>
      <c r="G495" s="1" t="s">
        <v>2150</v>
      </c>
      <c r="H495">
        <v>24929773</v>
      </c>
      <c r="I495">
        <v>4197</v>
      </c>
      <c r="J495" t="s">
        <v>186</v>
      </c>
      <c r="K495" s="17">
        <v>7822636000168</v>
      </c>
      <c r="L495" s="17">
        <v>90739624004458</v>
      </c>
      <c r="M495" s="9">
        <v>282.43</v>
      </c>
      <c r="N495" t="s">
        <v>43</v>
      </c>
      <c r="Q495" s="2"/>
      <c r="R495" s="9"/>
      <c r="S495" t="s">
        <v>44</v>
      </c>
      <c r="T495" t="s">
        <v>45</v>
      </c>
      <c r="U495" s="2" t="s">
        <v>590</v>
      </c>
      <c r="V495" s="9" t="s">
        <v>676</v>
      </c>
      <c r="W495">
        <v>5.3260807822636003E+43</v>
      </c>
      <c r="X495" t="s">
        <v>46</v>
      </c>
      <c r="Y495" s="2" t="s">
        <v>717</v>
      </c>
      <c r="Z495" s="2" t="s">
        <v>718</v>
      </c>
      <c r="AA495" s="9" t="s">
        <v>715</v>
      </c>
      <c r="AC495" s="2"/>
      <c r="AD495" t="s">
        <v>7</v>
      </c>
      <c r="AE495" t="s">
        <v>2152</v>
      </c>
    </row>
    <row r="496" spans="1:31" x14ac:dyDescent="0.3">
      <c r="A496" s="17">
        <v>90739624000118</v>
      </c>
      <c r="B496" t="s">
        <v>18</v>
      </c>
      <c r="D496" t="s">
        <v>374</v>
      </c>
      <c r="E496" t="s">
        <v>2</v>
      </c>
      <c r="F496">
        <v>269308</v>
      </c>
      <c r="G496" s="1" t="s">
        <v>2153</v>
      </c>
      <c r="H496">
        <v>24923355</v>
      </c>
      <c r="I496">
        <v>1161</v>
      </c>
      <c r="J496" t="s">
        <v>20</v>
      </c>
      <c r="K496" s="17">
        <v>27751075017640</v>
      </c>
      <c r="L496" s="17">
        <v>90739624000380</v>
      </c>
      <c r="M496" s="9">
        <v>1681.13</v>
      </c>
      <c r="N496" t="s">
        <v>43</v>
      </c>
      <c r="Q496" s="2"/>
      <c r="R496" s="9"/>
      <c r="S496" t="s">
        <v>44</v>
      </c>
      <c r="T496" t="s">
        <v>45</v>
      </c>
      <c r="U496" s="2" t="s">
        <v>590</v>
      </c>
      <c r="V496" s="9" t="s">
        <v>2154</v>
      </c>
      <c r="W496">
        <v>3.5260827751075001E+43</v>
      </c>
      <c r="X496" t="s">
        <v>46</v>
      </c>
      <c r="Y496" s="2" t="s">
        <v>717</v>
      </c>
      <c r="Z496" s="2" t="s">
        <v>718</v>
      </c>
      <c r="AA496" s="9" t="s">
        <v>715</v>
      </c>
      <c r="AC496" s="2"/>
      <c r="AD496" t="s">
        <v>7</v>
      </c>
      <c r="AE496" t="s">
        <v>2155</v>
      </c>
    </row>
    <row r="497" spans="1:31" x14ac:dyDescent="0.3">
      <c r="A497" s="17">
        <v>90739624000118</v>
      </c>
      <c r="B497" t="s">
        <v>18</v>
      </c>
      <c r="D497" t="s">
        <v>19</v>
      </c>
      <c r="E497" t="s">
        <v>2</v>
      </c>
      <c r="F497">
        <v>269308</v>
      </c>
      <c r="G497" s="1" t="s">
        <v>2156</v>
      </c>
      <c r="H497">
        <v>24923237</v>
      </c>
      <c r="I497">
        <v>1160</v>
      </c>
      <c r="J497" t="s">
        <v>20</v>
      </c>
      <c r="K497" s="17">
        <v>27751075017640</v>
      </c>
      <c r="L497" s="17">
        <v>90739624000380</v>
      </c>
      <c r="M497" s="9">
        <v>221.1</v>
      </c>
      <c r="N497" t="s">
        <v>43</v>
      </c>
      <c r="Q497" s="2"/>
      <c r="R497" s="9"/>
      <c r="S497" t="s">
        <v>44</v>
      </c>
      <c r="T497" t="s">
        <v>45</v>
      </c>
      <c r="U497" s="2" t="s">
        <v>590</v>
      </c>
      <c r="V497" s="9" t="s">
        <v>2157</v>
      </c>
      <c r="W497">
        <v>3.5260827751075001E+43</v>
      </c>
      <c r="X497" t="s">
        <v>46</v>
      </c>
      <c r="Y497" s="2" t="s">
        <v>717</v>
      </c>
      <c r="Z497" s="2" t="s">
        <v>718</v>
      </c>
      <c r="AA497" s="9" t="s">
        <v>715</v>
      </c>
      <c r="AC497" s="2"/>
      <c r="AD497" t="s">
        <v>7</v>
      </c>
      <c r="AE497" t="s">
        <v>2158</v>
      </c>
    </row>
    <row r="498" spans="1:31" x14ac:dyDescent="0.3">
      <c r="A498" s="17">
        <v>90739624000118</v>
      </c>
      <c r="B498" t="s">
        <v>99</v>
      </c>
      <c r="C498">
        <v>22479</v>
      </c>
      <c r="D498" t="s">
        <v>114</v>
      </c>
      <c r="E498" t="s">
        <v>2</v>
      </c>
      <c r="F498">
        <v>269308</v>
      </c>
      <c r="G498" s="1" t="s">
        <v>2159</v>
      </c>
      <c r="H498">
        <v>24920307</v>
      </c>
      <c r="I498">
        <v>50552</v>
      </c>
      <c r="J498" t="s">
        <v>507</v>
      </c>
      <c r="K498" s="17">
        <v>3626094001330</v>
      </c>
      <c r="L498" s="17">
        <v>9576274000106</v>
      </c>
      <c r="M498" s="9">
        <v>162.05000000000001</v>
      </c>
      <c r="N498" t="s">
        <v>43</v>
      </c>
      <c r="Q498" s="2"/>
      <c r="R498" s="9"/>
      <c r="S498" t="s">
        <v>44</v>
      </c>
      <c r="T498" t="s">
        <v>45</v>
      </c>
      <c r="U498" s="2" t="s">
        <v>581</v>
      </c>
      <c r="V498" s="9" t="s">
        <v>2160</v>
      </c>
      <c r="W498">
        <v>4.1260803626093998E+43</v>
      </c>
      <c r="X498" t="s">
        <v>46</v>
      </c>
      <c r="Y498" s="2" t="s">
        <v>717</v>
      </c>
      <c r="Z498" s="2" t="s">
        <v>718</v>
      </c>
      <c r="AA498" s="9" t="s">
        <v>715</v>
      </c>
      <c r="AC498" s="2"/>
      <c r="AD498" t="s">
        <v>7</v>
      </c>
      <c r="AE498" t="s">
        <v>2161</v>
      </c>
    </row>
    <row r="499" spans="1:31" x14ac:dyDescent="0.3">
      <c r="A499" s="17">
        <v>90739624000118</v>
      </c>
      <c r="B499" t="s">
        <v>49</v>
      </c>
      <c r="C499">
        <v>20953</v>
      </c>
      <c r="D499" t="s">
        <v>573</v>
      </c>
      <c r="E499" t="s">
        <v>2</v>
      </c>
      <c r="F499">
        <v>269308</v>
      </c>
      <c r="G499" s="1" t="s">
        <v>2162</v>
      </c>
      <c r="H499">
        <v>24914886</v>
      </c>
      <c r="I499">
        <v>1924</v>
      </c>
      <c r="J499" t="s">
        <v>51</v>
      </c>
      <c r="K499" s="17">
        <v>2763612000161</v>
      </c>
      <c r="L499" s="17">
        <v>90739624003133</v>
      </c>
      <c r="M499" s="9">
        <v>90.33</v>
      </c>
      <c r="N499" t="s">
        <v>43</v>
      </c>
      <c r="Q499" s="2"/>
      <c r="R499" s="9"/>
      <c r="S499" t="s">
        <v>44</v>
      </c>
      <c r="T499" t="s">
        <v>45</v>
      </c>
      <c r="U499" s="2" t="s">
        <v>590</v>
      </c>
      <c r="V499" s="9" t="s">
        <v>2163</v>
      </c>
      <c r="W499">
        <v>4.1260802763612002E+43</v>
      </c>
      <c r="X499" t="s">
        <v>46</v>
      </c>
      <c r="Y499" s="2" t="s">
        <v>717</v>
      </c>
      <c r="Z499" s="2" t="s">
        <v>718</v>
      </c>
      <c r="AA499" s="9" t="s">
        <v>715</v>
      </c>
      <c r="AC499" s="2"/>
      <c r="AD499" t="s">
        <v>7</v>
      </c>
      <c r="AE499" t="s">
        <v>2164</v>
      </c>
    </row>
    <row r="500" spans="1:31" x14ac:dyDescent="0.3">
      <c r="A500" s="17">
        <v>90739624000118</v>
      </c>
      <c r="B500" t="s">
        <v>58</v>
      </c>
      <c r="D500" t="s">
        <v>391</v>
      </c>
      <c r="E500" t="s">
        <v>2</v>
      </c>
      <c r="F500">
        <v>269308</v>
      </c>
      <c r="G500" s="1" t="s">
        <v>2165</v>
      </c>
      <c r="H500">
        <v>24913429</v>
      </c>
      <c r="I500">
        <v>111009</v>
      </c>
      <c r="J500" t="s">
        <v>106</v>
      </c>
      <c r="K500" s="17">
        <v>7473735015103</v>
      </c>
      <c r="L500" s="17">
        <v>90739624002323</v>
      </c>
      <c r="M500" s="9">
        <v>114.28</v>
      </c>
      <c r="N500" t="s">
        <v>43</v>
      </c>
      <c r="Q500" s="2"/>
      <c r="R500" s="9"/>
      <c r="S500" t="s">
        <v>44</v>
      </c>
      <c r="T500" t="s">
        <v>45</v>
      </c>
      <c r="U500" s="2" t="s">
        <v>590</v>
      </c>
      <c r="V500" s="9" t="s">
        <v>2166</v>
      </c>
      <c r="W500">
        <v>4.3260807473734999E+43</v>
      </c>
      <c r="X500" t="s">
        <v>46</v>
      </c>
      <c r="Y500" s="2" t="s">
        <v>717</v>
      </c>
      <c r="Z500" s="2" t="s">
        <v>718</v>
      </c>
      <c r="AA500" s="9" t="s">
        <v>715</v>
      </c>
      <c r="AC500" s="2"/>
      <c r="AD500" t="s">
        <v>7</v>
      </c>
      <c r="AE500" t="s">
        <v>2167</v>
      </c>
    </row>
    <row r="501" spans="1:31" x14ac:dyDescent="0.3">
      <c r="A501" s="17">
        <v>90739624000118</v>
      </c>
      <c r="B501" t="s">
        <v>100</v>
      </c>
      <c r="C501">
        <v>23395</v>
      </c>
      <c r="D501" t="s">
        <v>188</v>
      </c>
      <c r="E501" t="s">
        <v>2</v>
      </c>
      <c r="F501">
        <v>269308</v>
      </c>
      <c r="G501" s="1" t="s">
        <v>2168</v>
      </c>
      <c r="H501">
        <v>24912883</v>
      </c>
      <c r="I501">
        <v>10227</v>
      </c>
      <c r="J501" t="s">
        <v>189</v>
      </c>
      <c r="K501" s="17">
        <v>50128357000551</v>
      </c>
      <c r="L501" s="17">
        <v>90739624001866</v>
      </c>
      <c r="M501" s="9">
        <v>215.43</v>
      </c>
      <c r="N501" t="s">
        <v>43</v>
      </c>
      <c r="Q501" s="2"/>
      <c r="R501" s="9"/>
      <c r="S501" t="s">
        <v>44</v>
      </c>
      <c r="T501" t="s">
        <v>45</v>
      </c>
      <c r="U501" s="2" t="s">
        <v>590</v>
      </c>
      <c r="V501" s="9" t="s">
        <v>2169</v>
      </c>
      <c r="W501">
        <v>5.1260850128356998E+43</v>
      </c>
      <c r="X501" t="s">
        <v>46</v>
      </c>
      <c r="Y501" s="2" t="s">
        <v>717</v>
      </c>
      <c r="Z501" s="2" t="s">
        <v>718</v>
      </c>
      <c r="AA501" s="9" t="s">
        <v>715</v>
      </c>
      <c r="AC501" s="2"/>
      <c r="AD501" t="s">
        <v>7</v>
      </c>
      <c r="AE501" t="s">
        <v>2170</v>
      </c>
    </row>
    <row r="502" spans="1:31" x14ac:dyDescent="0.3">
      <c r="A502" s="17">
        <v>90739624000118</v>
      </c>
      <c r="B502" t="s">
        <v>58</v>
      </c>
      <c r="D502" t="s">
        <v>392</v>
      </c>
      <c r="E502" t="s">
        <v>2</v>
      </c>
      <c r="F502">
        <v>269308</v>
      </c>
      <c r="G502" s="1" t="s">
        <v>2171</v>
      </c>
      <c r="H502">
        <v>24912340</v>
      </c>
      <c r="I502">
        <v>111006</v>
      </c>
      <c r="J502" t="s">
        <v>106</v>
      </c>
      <c r="K502" s="17">
        <v>7473735015103</v>
      </c>
      <c r="L502" s="17">
        <v>90739624002323</v>
      </c>
      <c r="M502" s="9">
        <v>238.32</v>
      </c>
      <c r="N502" t="s">
        <v>43</v>
      </c>
      <c r="Q502" s="2"/>
      <c r="R502" s="9"/>
      <c r="S502" t="s">
        <v>44</v>
      </c>
      <c r="T502" t="s">
        <v>45</v>
      </c>
      <c r="U502" s="2" t="s">
        <v>590</v>
      </c>
      <c r="V502" s="9" t="s">
        <v>2172</v>
      </c>
      <c r="W502">
        <v>4.3260807473734999E+43</v>
      </c>
      <c r="X502" t="s">
        <v>46</v>
      </c>
      <c r="Y502" s="2" t="s">
        <v>717</v>
      </c>
      <c r="Z502" s="2" t="s">
        <v>718</v>
      </c>
      <c r="AA502" s="9" t="s">
        <v>715</v>
      </c>
      <c r="AC502" s="2"/>
      <c r="AD502" t="s">
        <v>7</v>
      </c>
      <c r="AE502" t="s">
        <v>2173</v>
      </c>
    </row>
    <row r="503" spans="1:31" x14ac:dyDescent="0.3">
      <c r="A503" s="17">
        <v>90739624000118</v>
      </c>
      <c r="B503" t="s">
        <v>181</v>
      </c>
      <c r="D503" t="s">
        <v>624</v>
      </c>
      <c r="E503" t="s">
        <v>17</v>
      </c>
      <c r="F503">
        <v>269308</v>
      </c>
      <c r="G503" s="1" t="s">
        <v>2174</v>
      </c>
      <c r="H503">
        <v>24911791</v>
      </c>
      <c r="I503">
        <v>119020</v>
      </c>
      <c r="J503" t="s">
        <v>183</v>
      </c>
      <c r="K503" s="17">
        <v>84711084000161</v>
      </c>
      <c r="L503" s="17">
        <v>90739624001432</v>
      </c>
      <c r="M503" s="9">
        <v>47.13</v>
      </c>
      <c r="N503" t="s">
        <v>43</v>
      </c>
      <c r="Q503" s="2"/>
      <c r="R503" s="9"/>
      <c r="S503" t="s">
        <v>44</v>
      </c>
      <c r="T503" t="s">
        <v>45</v>
      </c>
      <c r="U503" s="2" t="s">
        <v>590</v>
      </c>
      <c r="V503" s="9" t="s">
        <v>2175</v>
      </c>
      <c r="W503">
        <v>4.2260884711084001E+43</v>
      </c>
      <c r="X503" t="s">
        <v>46</v>
      </c>
      <c r="Y503" s="2" t="s">
        <v>717</v>
      </c>
      <c r="Z503" s="2" t="s">
        <v>718</v>
      </c>
      <c r="AA503" s="9" t="s">
        <v>715</v>
      </c>
      <c r="AC503" s="2"/>
      <c r="AD503" t="s">
        <v>7</v>
      </c>
      <c r="AE503" t="s">
        <v>2176</v>
      </c>
    </row>
    <row r="504" spans="1:31" x14ac:dyDescent="0.3">
      <c r="A504" s="17">
        <v>90739624000118</v>
      </c>
      <c r="B504" t="s">
        <v>181</v>
      </c>
      <c r="D504" t="s">
        <v>624</v>
      </c>
      <c r="E504" t="s">
        <v>2</v>
      </c>
      <c r="F504">
        <v>269308</v>
      </c>
      <c r="G504" s="1" t="s">
        <v>2177</v>
      </c>
      <c r="H504">
        <v>24911774</v>
      </c>
      <c r="I504">
        <v>119018</v>
      </c>
      <c r="J504" t="s">
        <v>183</v>
      </c>
      <c r="K504" s="17">
        <v>84711084000161</v>
      </c>
      <c r="L504" s="17">
        <v>90739624001432</v>
      </c>
      <c r="M504" s="9">
        <v>492.3</v>
      </c>
      <c r="N504" t="s">
        <v>43</v>
      </c>
      <c r="Q504" s="2"/>
      <c r="R504" s="9"/>
      <c r="S504" t="s">
        <v>44</v>
      </c>
      <c r="T504" t="s">
        <v>45</v>
      </c>
      <c r="U504" s="2" t="s">
        <v>590</v>
      </c>
      <c r="V504" s="9" t="s">
        <v>2178</v>
      </c>
      <c r="W504">
        <v>4.2260884711084001E+43</v>
      </c>
      <c r="X504" t="s">
        <v>46</v>
      </c>
      <c r="Y504" s="2" t="s">
        <v>717</v>
      </c>
      <c r="Z504" s="2" t="s">
        <v>718</v>
      </c>
      <c r="AA504" s="9" t="s">
        <v>715</v>
      </c>
      <c r="AC504" s="2"/>
      <c r="AD504" t="s">
        <v>7</v>
      </c>
      <c r="AE504" t="s">
        <v>2179</v>
      </c>
    </row>
    <row r="505" spans="1:31" x14ac:dyDescent="0.3">
      <c r="A505" s="17">
        <v>90739624000118</v>
      </c>
      <c r="B505" t="s">
        <v>61</v>
      </c>
      <c r="D505" t="s">
        <v>325</v>
      </c>
      <c r="E505" t="s">
        <v>2</v>
      </c>
      <c r="F505">
        <v>269308</v>
      </c>
      <c r="G505" s="1" t="s">
        <v>2180</v>
      </c>
      <c r="H505">
        <v>24907464</v>
      </c>
      <c r="I505">
        <v>2518</v>
      </c>
      <c r="J505" t="s">
        <v>85</v>
      </c>
      <c r="K505" s="17">
        <v>1975878000105</v>
      </c>
      <c r="L505" s="17">
        <v>9576274000106</v>
      </c>
      <c r="M505" s="9">
        <v>196.03</v>
      </c>
      <c r="N505" t="s">
        <v>43</v>
      </c>
      <c r="Q505" s="2"/>
      <c r="R505" s="9"/>
      <c r="S505" t="s">
        <v>44</v>
      </c>
      <c r="T505" t="s">
        <v>45</v>
      </c>
      <c r="U505" s="2" t="s">
        <v>590</v>
      </c>
      <c r="V505" s="9" t="s">
        <v>2181</v>
      </c>
      <c r="W505">
        <v>4.1260801975878E+43</v>
      </c>
      <c r="X505" t="s">
        <v>46</v>
      </c>
      <c r="Y505" s="2" t="s">
        <v>717</v>
      </c>
      <c r="Z505" s="2" t="s">
        <v>718</v>
      </c>
      <c r="AA505" s="9" t="s">
        <v>715</v>
      </c>
      <c r="AC505" s="2"/>
      <c r="AD505" t="s">
        <v>7</v>
      </c>
      <c r="AE505" t="s">
        <v>2182</v>
      </c>
    </row>
    <row r="506" spans="1:31" x14ac:dyDescent="0.3">
      <c r="A506" s="17">
        <v>90739624000118</v>
      </c>
      <c r="B506" t="s">
        <v>70</v>
      </c>
      <c r="C506">
        <v>22342</v>
      </c>
      <c r="D506" t="s">
        <v>260</v>
      </c>
      <c r="E506" t="s">
        <v>2</v>
      </c>
      <c r="F506">
        <v>269308</v>
      </c>
      <c r="G506" s="1" t="s">
        <v>2183</v>
      </c>
      <c r="H506">
        <v>24906707</v>
      </c>
      <c r="I506">
        <v>257202</v>
      </c>
      <c r="J506" t="s">
        <v>72</v>
      </c>
      <c r="K506" s="17">
        <v>79964177000168</v>
      </c>
      <c r="L506" s="17">
        <v>9576274000106</v>
      </c>
      <c r="M506" s="9">
        <v>139.22999999999999</v>
      </c>
      <c r="N506" t="s">
        <v>43</v>
      </c>
      <c r="Q506" s="2"/>
      <c r="R506" s="9"/>
      <c r="S506" t="s">
        <v>44</v>
      </c>
      <c r="T506" t="s">
        <v>45</v>
      </c>
      <c r="U506" s="2" t="s">
        <v>590</v>
      </c>
      <c r="V506" s="9" t="s">
        <v>2184</v>
      </c>
      <c r="W506">
        <v>4.1260879964176998E+43</v>
      </c>
      <c r="X506" t="s">
        <v>46</v>
      </c>
      <c r="Y506" s="2" t="s">
        <v>717</v>
      </c>
      <c r="Z506" s="2" t="s">
        <v>718</v>
      </c>
      <c r="AA506" s="9" t="s">
        <v>715</v>
      </c>
      <c r="AC506" s="2"/>
      <c r="AD506" t="s">
        <v>7</v>
      </c>
      <c r="AE506" t="s">
        <v>2185</v>
      </c>
    </row>
    <row r="507" spans="1:31" x14ac:dyDescent="0.3">
      <c r="A507" s="17">
        <v>90739624000118</v>
      </c>
      <c r="B507" t="s">
        <v>58</v>
      </c>
      <c r="D507" t="s">
        <v>388</v>
      </c>
      <c r="E507" t="s">
        <v>2</v>
      </c>
      <c r="F507">
        <v>269308</v>
      </c>
      <c r="G507" s="1" t="s">
        <v>2186</v>
      </c>
      <c r="H507">
        <v>24906525</v>
      </c>
      <c r="I507">
        <v>111002</v>
      </c>
      <c r="J507" t="s">
        <v>106</v>
      </c>
      <c r="K507" s="17">
        <v>7473735015103</v>
      </c>
      <c r="L507" s="17">
        <v>90739624002323</v>
      </c>
      <c r="M507" s="9">
        <v>121.62</v>
      </c>
      <c r="N507" t="s">
        <v>43</v>
      </c>
      <c r="Q507" s="2"/>
      <c r="R507" s="9"/>
      <c r="S507" t="s">
        <v>44</v>
      </c>
      <c r="T507" t="s">
        <v>45</v>
      </c>
      <c r="U507" s="2" t="s">
        <v>590</v>
      </c>
      <c r="V507" s="9" t="s">
        <v>2187</v>
      </c>
      <c r="W507">
        <v>4.3260807473734999E+43</v>
      </c>
      <c r="X507" t="s">
        <v>46</v>
      </c>
      <c r="Y507" s="2" t="s">
        <v>717</v>
      </c>
      <c r="Z507" s="2" t="s">
        <v>718</v>
      </c>
      <c r="AA507" s="9" t="s">
        <v>715</v>
      </c>
      <c r="AC507" s="2"/>
      <c r="AD507" t="s">
        <v>7</v>
      </c>
      <c r="AE507" t="s">
        <v>2188</v>
      </c>
    </row>
    <row r="508" spans="1:31" x14ac:dyDescent="0.3">
      <c r="A508" s="17">
        <v>90739624000118</v>
      </c>
      <c r="B508" t="s">
        <v>25</v>
      </c>
      <c r="C508">
        <v>24558</v>
      </c>
      <c r="D508" t="s">
        <v>292</v>
      </c>
      <c r="E508" t="s">
        <v>2</v>
      </c>
      <c r="F508">
        <v>269308</v>
      </c>
      <c r="G508" s="1" t="s">
        <v>2189</v>
      </c>
      <c r="H508">
        <v>24905375</v>
      </c>
      <c r="I508">
        <v>54764</v>
      </c>
      <c r="J508" t="s">
        <v>56</v>
      </c>
      <c r="K508" s="17">
        <v>8603562000212</v>
      </c>
      <c r="L508" s="17">
        <v>90739624001866</v>
      </c>
      <c r="M508" s="9">
        <v>338.45</v>
      </c>
      <c r="N508" t="s">
        <v>43</v>
      </c>
      <c r="Q508" s="2"/>
      <c r="R508" s="9"/>
      <c r="S508" t="s">
        <v>44</v>
      </c>
      <c r="T508" t="s">
        <v>45</v>
      </c>
      <c r="U508" s="2" t="s">
        <v>590</v>
      </c>
      <c r="V508" s="9" t="s">
        <v>2190</v>
      </c>
      <c r="W508">
        <v>5.1260808603562005E+43</v>
      </c>
      <c r="X508" t="s">
        <v>46</v>
      </c>
      <c r="Y508" s="2" t="s">
        <v>717</v>
      </c>
      <c r="Z508" s="2" t="s">
        <v>718</v>
      </c>
      <c r="AA508" s="9" t="s">
        <v>715</v>
      </c>
      <c r="AC508" s="2"/>
      <c r="AD508" t="s">
        <v>7</v>
      </c>
      <c r="AE508" t="s">
        <v>2191</v>
      </c>
    </row>
    <row r="509" spans="1:31" x14ac:dyDescent="0.3">
      <c r="A509" s="17">
        <v>90739624000118</v>
      </c>
      <c r="B509" t="s">
        <v>8</v>
      </c>
      <c r="C509">
        <v>24883</v>
      </c>
      <c r="D509" t="s">
        <v>250</v>
      </c>
      <c r="E509" t="s">
        <v>2</v>
      </c>
      <c r="F509">
        <v>269308</v>
      </c>
      <c r="G509" s="1" t="s">
        <v>2192</v>
      </c>
      <c r="H509">
        <v>24905125</v>
      </c>
      <c r="I509">
        <v>6379</v>
      </c>
      <c r="J509" t="s">
        <v>221</v>
      </c>
      <c r="K509" s="17">
        <v>8810726000100</v>
      </c>
      <c r="L509" s="17">
        <v>9576274000106</v>
      </c>
      <c r="M509" s="9">
        <v>591.45000000000005</v>
      </c>
      <c r="N509" t="s">
        <v>43</v>
      </c>
      <c r="Q509" s="2"/>
      <c r="R509" s="9"/>
      <c r="S509" t="s">
        <v>44</v>
      </c>
      <c r="T509" t="s">
        <v>45</v>
      </c>
      <c r="U509" s="2" t="s">
        <v>590</v>
      </c>
      <c r="V509" s="9" t="s">
        <v>2193</v>
      </c>
      <c r="W509">
        <v>4.1260808810725998E+43</v>
      </c>
      <c r="X509" t="s">
        <v>46</v>
      </c>
      <c r="Y509" s="2" t="s">
        <v>717</v>
      </c>
      <c r="Z509" s="2" t="s">
        <v>718</v>
      </c>
      <c r="AA509" s="9" t="s">
        <v>715</v>
      </c>
      <c r="AC509" s="2"/>
      <c r="AD509" t="s">
        <v>7</v>
      </c>
      <c r="AE509" t="s">
        <v>2194</v>
      </c>
    </row>
    <row r="510" spans="1:31" x14ac:dyDescent="0.3">
      <c r="A510" s="17">
        <v>90739624000118</v>
      </c>
      <c r="B510" t="s">
        <v>58</v>
      </c>
      <c r="D510" t="s">
        <v>389</v>
      </c>
      <c r="E510" t="s">
        <v>2</v>
      </c>
      <c r="F510">
        <v>269308</v>
      </c>
      <c r="G510" s="1" t="s">
        <v>2195</v>
      </c>
      <c r="H510">
        <v>24904555</v>
      </c>
      <c r="I510">
        <v>110996</v>
      </c>
      <c r="J510" t="s">
        <v>106</v>
      </c>
      <c r="K510" s="17">
        <v>7473735015103</v>
      </c>
      <c r="L510" s="17">
        <v>90739624002323</v>
      </c>
      <c r="M510" s="9">
        <v>197.17</v>
      </c>
      <c r="N510" t="s">
        <v>43</v>
      </c>
      <c r="Q510" s="2"/>
      <c r="R510" s="9"/>
      <c r="S510" t="s">
        <v>44</v>
      </c>
      <c r="T510" t="s">
        <v>45</v>
      </c>
      <c r="U510" s="2" t="s">
        <v>590</v>
      </c>
      <c r="V510" s="9" t="s">
        <v>2196</v>
      </c>
      <c r="W510">
        <v>4.3260807473734999E+43</v>
      </c>
      <c r="X510" t="s">
        <v>46</v>
      </c>
      <c r="Y510" s="2" t="s">
        <v>717</v>
      </c>
      <c r="Z510" s="2" t="s">
        <v>718</v>
      </c>
      <c r="AA510" s="9" t="s">
        <v>715</v>
      </c>
      <c r="AC510" s="2"/>
      <c r="AD510" t="s">
        <v>7</v>
      </c>
      <c r="AE510" t="s">
        <v>2197</v>
      </c>
    </row>
    <row r="511" spans="1:31" x14ac:dyDescent="0.3">
      <c r="A511" s="17">
        <v>90739624000118</v>
      </c>
      <c r="B511" t="s">
        <v>8</v>
      </c>
      <c r="D511" t="s">
        <v>220</v>
      </c>
      <c r="E511" t="s">
        <v>2</v>
      </c>
      <c r="F511">
        <v>269308</v>
      </c>
      <c r="G511" s="1" t="s">
        <v>2198</v>
      </c>
      <c r="H511">
        <v>24903927</v>
      </c>
      <c r="I511">
        <v>6378</v>
      </c>
      <c r="J511" t="s">
        <v>221</v>
      </c>
      <c r="K511" s="17">
        <v>8810726000100</v>
      </c>
      <c r="L511" s="17">
        <v>9576274000106</v>
      </c>
      <c r="M511" s="9">
        <v>500.93</v>
      </c>
      <c r="N511" t="s">
        <v>43</v>
      </c>
      <c r="Q511" s="2"/>
      <c r="R511" s="9"/>
      <c r="S511" t="s">
        <v>44</v>
      </c>
      <c r="T511" t="s">
        <v>45</v>
      </c>
      <c r="U511" s="2" t="s">
        <v>590</v>
      </c>
      <c r="V511" s="9" t="s">
        <v>2199</v>
      </c>
      <c r="W511">
        <v>4.1260808810725998E+43</v>
      </c>
      <c r="X511" t="s">
        <v>46</v>
      </c>
      <c r="Y511" s="2" t="s">
        <v>717</v>
      </c>
      <c r="Z511" s="2" t="s">
        <v>718</v>
      </c>
      <c r="AA511" s="9" t="s">
        <v>715</v>
      </c>
      <c r="AC511" s="2"/>
      <c r="AD511" t="s">
        <v>7</v>
      </c>
      <c r="AE511" t="s">
        <v>2200</v>
      </c>
    </row>
    <row r="512" spans="1:31" x14ac:dyDescent="0.3">
      <c r="A512" s="17">
        <v>90739624000118</v>
      </c>
      <c r="B512" t="s">
        <v>61</v>
      </c>
      <c r="D512" t="s">
        <v>312</v>
      </c>
      <c r="E512" t="s">
        <v>2</v>
      </c>
      <c r="F512">
        <v>269308</v>
      </c>
      <c r="G512" s="1" t="s">
        <v>2201</v>
      </c>
      <c r="H512">
        <v>24903097</v>
      </c>
      <c r="I512">
        <v>28808</v>
      </c>
      <c r="J512" t="s">
        <v>127</v>
      </c>
      <c r="K512" s="17">
        <v>76493295000147</v>
      </c>
      <c r="L512" s="17">
        <v>9576274000106</v>
      </c>
      <c r="M512" s="9">
        <v>305.83999999999997</v>
      </c>
      <c r="N512" t="s">
        <v>43</v>
      </c>
      <c r="Q512" s="2"/>
      <c r="R512" s="9"/>
      <c r="S512" t="s">
        <v>44</v>
      </c>
      <c r="T512" t="s">
        <v>45</v>
      </c>
      <c r="U512" s="2" t="s">
        <v>590</v>
      </c>
      <c r="V512" s="9" t="s">
        <v>2202</v>
      </c>
      <c r="W512">
        <v>4.1260876493295002E+43</v>
      </c>
      <c r="X512" t="s">
        <v>46</v>
      </c>
      <c r="Y512" s="2" t="s">
        <v>717</v>
      </c>
      <c r="Z512" s="2" t="s">
        <v>718</v>
      </c>
      <c r="AA512" s="9" t="s">
        <v>715</v>
      </c>
      <c r="AC512" s="2"/>
      <c r="AD512" t="s">
        <v>7</v>
      </c>
      <c r="AE512" t="s">
        <v>2203</v>
      </c>
    </row>
    <row r="513" spans="1:31" x14ac:dyDescent="0.3">
      <c r="A513" s="17">
        <v>90739624000118</v>
      </c>
      <c r="B513" t="s">
        <v>61</v>
      </c>
      <c r="D513" t="s">
        <v>198</v>
      </c>
      <c r="E513" t="s">
        <v>2</v>
      </c>
      <c r="F513">
        <v>269308</v>
      </c>
      <c r="G513" s="1" t="s">
        <v>2204</v>
      </c>
      <c r="H513">
        <v>24902842</v>
      </c>
      <c r="I513">
        <v>28806</v>
      </c>
      <c r="J513" t="s">
        <v>127</v>
      </c>
      <c r="K513" s="17">
        <v>76493295000147</v>
      </c>
      <c r="L513" s="17">
        <v>9576274000106</v>
      </c>
      <c r="M513" s="9">
        <v>508.68</v>
      </c>
      <c r="N513" t="s">
        <v>43</v>
      </c>
      <c r="Q513" s="2"/>
      <c r="R513" s="9"/>
      <c r="S513" t="s">
        <v>44</v>
      </c>
      <c r="T513" t="s">
        <v>45</v>
      </c>
      <c r="U513" s="2" t="s">
        <v>590</v>
      </c>
      <c r="V513" s="9" t="s">
        <v>2205</v>
      </c>
      <c r="W513">
        <v>4.1260876493295002E+43</v>
      </c>
      <c r="X513" t="s">
        <v>46</v>
      </c>
      <c r="Y513" s="2" t="s">
        <v>717</v>
      </c>
      <c r="Z513" s="2" t="s">
        <v>718</v>
      </c>
      <c r="AA513" s="9" t="s">
        <v>715</v>
      </c>
      <c r="AC513" s="2"/>
      <c r="AD513" t="s">
        <v>7</v>
      </c>
      <c r="AE513" t="s">
        <v>2206</v>
      </c>
    </row>
    <row r="514" spans="1:31" x14ac:dyDescent="0.3">
      <c r="A514" s="17">
        <v>90739624000118</v>
      </c>
      <c r="B514" t="s">
        <v>58</v>
      </c>
      <c r="D514" t="s">
        <v>391</v>
      </c>
      <c r="E514" t="s">
        <v>2</v>
      </c>
      <c r="F514">
        <v>269308</v>
      </c>
      <c r="G514" s="1" t="s">
        <v>2207</v>
      </c>
      <c r="H514">
        <v>24894946</v>
      </c>
      <c r="I514">
        <v>110973</v>
      </c>
      <c r="J514" t="s">
        <v>106</v>
      </c>
      <c r="K514" s="17">
        <v>7473735015103</v>
      </c>
      <c r="L514" s="17">
        <v>90739624002323</v>
      </c>
      <c r="M514" s="9">
        <v>218.83</v>
      </c>
      <c r="N514" t="s">
        <v>43</v>
      </c>
      <c r="Q514" s="2"/>
      <c r="R514" s="9"/>
      <c r="S514" t="s">
        <v>44</v>
      </c>
      <c r="T514" t="s">
        <v>45</v>
      </c>
      <c r="U514" s="2" t="s">
        <v>590</v>
      </c>
      <c r="V514" s="9" t="s">
        <v>2208</v>
      </c>
      <c r="W514">
        <v>4.3260807473734999E+43</v>
      </c>
      <c r="X514" t="s">
        <v>46</v>
      </c>
      <c r="Y514" s="2" t="s">
        <v>717</v>
      </c>
      <c r="Z514" s="2" t="s">
        <v>718</v>
      </c>
      <c r="AA514" s="9" t="s">
        <v>715</v>
      </c>
      <c r="AC514" s="2"/>
      <c r="AD514" t="s">
        <v>7</v>
      </c>
      <c r="AE514" t="s">
        <v>2209</v>
      </c>
    </row>
    <row r="515" spans="1:31" x14ac:dyDescent="0.3">
      <c r="A515" s="17">
        <v>90739624000118</v>
      </c>
      <c r="B515" t="s">
        <v>22</v>
      </c>
      <c r="D515" t="s">
        <v>23</v>
      </c>
      <c r="E515" t="s">
        <v>2</v>
      </c>
      <c r="F515">
        <v>269308</v>
      </c>
      <c r="G515" s="1" t="s">
        <v>2210</v>
      </c>
      <c r="H515">
        <v>24894243</v>
      </c>
      <c r="I515">
        <v>820276</v>
      </c>
      <c r="J515" t="s">
        <v>62</v>
      </c>
      <c r="K515" s="17">
        <v>79964177000591</v>
      </c>
      <c r="L515" s="17">
        <v>9576274000106</v>
      </c>
      <c r="M515" s="9">
        <v>2110.62</v>
      </c>
      <c r="N515" t="s">
        <v>43</v>
      </c>
      <c r="Q515" s="2"/>
      <c r="R515" s="9"/>
      <c r="S515" t="s">
        <v>44</v>
      </c>
      <c r="T515" t="s">
        <v>45</v>
      </c>
      <c r="U515" s="2" t="s">
        <v>590</v>
      </c>
      <c r="V515" s="9" t="s">
        <v>2211</v>
      </c>
      <c r="W515">
        <v>4.1260879964176998E+43</v>
      </c>
      <c r="X515" t="s">
        <v>46</v>
      </c>
      <c r="Y515" s="2" t="s">
        <v>717</v>
      </c>
      <c r="Z515" s="2" t="s">
        <v>718</v>
      </c>
      <c r="AA515" s="9" t="s">
        <v>715</v>
      </c>
      <c r="AC515" s="2"/>
      <c r="AD515" t="s">
        <v>7</v>
      </c>
      <c r="AE515" t="s">
        <v>2212</v>
      </c>
    </row>
    <row r="516" spans="1:31" x14ac:dyDescent="0.3">
      <c r="A516" s="17">
        <v>90739624000118</v>
      </c>
      <c r="B516" t="s">
        <v>28</v>
      </c>
      <c r="D516" t="s">
        <v>205</v>
      </c>
      <c r="E516" t="s">
        <v>2</v>
      </c>
      <c r="F516">
        <v>269308</v>
      </c>
      <c r="G516" s="1" t="s">
        <v>2213</v>
      </c>
      <c r="H516">
        <v>24893948</v>
      </c>
      <c r="I516">
        <v>81280</v>
      </c>
      <c r="J516" t="s">
        <v>48</v>
      </c>
      <c r="K516" s="17">
        <v>1272434001002</v>
      </c>
      <c r="L516" s="17">
        <v>90739624001947</v>
      </c>
      <c r="M516" s="9">
        <v>507.71</v>
      </c>
      <c r="N516" t="s">
        <v>43</v>
      </c>
      <c r="Q516" s="2"/>
      <c r="R516" s="9"/>
      <c r="S516" t="s">
        <v>44</v>
      </c>
      <c r="T516" t="s">
        <v>45</v>
      </c>
      <c r="U516" s="2" t="s">
        <v>590</v>
      </c>
      <c r="V516" s="9" t="s">
        <v>2214</v>
      </c>
      <c r="W516">
        <v>5.2260801272433996E+43</v>
      </c>
      <c r="X516" t="s">
        <v>46</v>
      </c>
      <c r="Y516" s="2" t="s">
        <v>717</v>
      </c>
      <c r="Z516" s="2" t="s">
        <v>718</v>
      </c>
      <c r="AA516" s="9" t="s">
        <v>715</v>
      </c>
      <c r="AC516" s="2"/>
      <c r="AD516" t="s">
        <v>7</v>
      </c>
      <c r="AE516" t="s">
        <v>2215</v>
      </c>
    </row>
    <row r="517" spans="1:31" x14ac:dyDescent="0.3">
      <c r="A517" s="17">
        <v>90739624000118</v>
      </c>
      <c r="B517" t="s">
        <v>11</v>
      </c>
      <c r="D517" t="s">
        <v>203</v>
      </c>
      <c r="E517" t="s">
        <v>2</v>
      </c>
      <c r="F517">
        <v>269308</v>
      </c>
      <c r="G517" s="1" t="s">
        <v>2216</v>
      </c>
      <c r="H517">
        <v>24889447</v>
      </c>
      <c r="I517">
        <v>311403</v>
      </c>
      <c r="J517" t="s">
        <v>204</v>
      </c>
      <c r="K517" s="17">
        <v>24187119000183</v>
      </c>
      <c r="L517" s="17">
        <v>90739624000118</v>
      </c>
      <c r="M517" s="9">
        <v>314.8</v>
      </c>
      <c r="N517" t="s">
        <v>43</v>
      </c>
      <c r="Q517" s="2"/>
      <c r="R517" s="9"/>
      <c r="S517" t="s">
        <v>44</v>
      </c>
      <c r="T517" t="s">
        <v>45</v>
      </c>
      <c r="U517" s="2" t="s">
        <v>590</v>
      </c>
      <c r="V517" s="9" t="s">
        <v>2217</v>
      </c>
      <c r="W517">
        <v>3.1260824187118999E+43</v>
      </c>
      <c r="X517" t="s">
        <v>46</v>
      </c>
      <c r="Y517" s="2" t="s">
        <v>717</v>
      </c>
      <c r="Z517" s="2" t="s">
        <v>718</v>
      </c>
      <c r="AA517" s="9" t="s">
        <v>715</v>
      </c>
      <c r="AC517" s="2"/>
      <c r="AD517" t="s">
        <v>7</v>
      </c>
      <c r="AE517" t="s">
        <v>2218</v>
      </c>
    </row>
    <row r="518" spans="1:31" x14ac:dyDescent="0.3">
      <c r="A518" s="17">
        <v>90739624000118</v>
      </c>
      <c r="B518" t="s">
        <v>25</v>
      </c>
      <c r="C518">
        <v>24558</v>
      </c>
      <c r="D518" t="s">
        <v>292</v>
      </c>
      <c r="E518" t="s">
        <v>2</v>
      </c>
      <c r="F518">
        <v>269308</v>
      </c>
      <c r="G518" s="1" t="s">
        <v>2219</v>
      </c>
      <c r="H518">
        <v>24889016</v>
      </c>
      <c r="I518">
        <v>144691</v>
      </c>
      <c r="J518" t="s">
        <v>206</v>
      </c>
      <c r="K518" s="17">
        <v>50128357000128</v>
      </c>
      <c r="L518" s="17">
        <v>90739624003486</v>
      </c>
      <c r="M518" s="9">
        <v>377.08</v>
      </c>
      <c r="N518" t="s">
        <v>43</v>
      </c>
      <c r="Q518" s="2"/>
      <c r="R518" s="9"/>
      <c r="S518" t="s">
        <v>44</v>
      </c>
      <c r="T518" t="s">
        <v>45</v>
      </c>
      <c r="U518" s="2" t="s">
        <v>590</v>
      </c>
      <c r="V518" s="9" t="s">
        <v>2220</v>
      </c>
      <c r="W518">
        <v>5.1260850128356998E+43</v>
      </c>
      <c r="X518" t="s">
        <v>46</v>
      </c>
      <c r="Y518" s="2" t="s">
        <v>717</v>
      </c>
      <c r="Z518" s="2" t="s">
        <v>718</v>
      </c>
      <c r="AA518" s="9" t="s">
        <v>715</v>
      </c>
      <c r="AC518" s="2"/>
      <c r="AD518" t="s">
        <v>7</v>
      </c>
      <c r="AE518" t="s">
        <v>2221</v>
      </c>
    </row>
    <row r="519" spans="1:31" x14ac:dyDescent="0.3">
      <c r="A519" s="17">
        <v>90739624000118</v>
      </c>
      <c r="B519" t="s">
        <v>13</v>
      </c>
      <c r="C519">
        <v>26010</v>
      </c>
      <c r="D519" t="s">
        <v>336</v>
      </c>
      <c r="E519" t="s">
        <v>2</v>
      </c>
      <c r="F519">
        <v>269308</v>
      </c>
      <c r="G519" s="1" t="s">
        <v>2222</v>
      </c>
      <c r="H519">
        <v>24888569</v>
      </c>
      <c r="I519">
        <v>48811</v>
      </c>
      <c r="J519" t="s">
        <v>348</v>
      </c>
      <c r="K519" s="17">
        <v>26416003000102</v>
      </c>
      <c r="L519" s="17">
        <v>90739624001190</v>
      </c>
      <c r="M519" s="9">
        <v>285.12</v>
      </c>
      <c r="N519" t="s">
        <v>43</v>
      </c>
      <c r="Q519" s="2"/>
      <c r="R519" s="9"/>
      <c r="S519" t="s">
        <v>44</v>
      </c>
      <c r="T519" t="s">
        <v>45</v>
      </c>
      <c r="U519" s="2" t="s">
        <v>792</v>
      </c>
      <c r="V519" s="9" t="s">
        <v>2223</v>
      </c>
      <c r="W519">
        <v>5.0260826416002996E+43</v>
      </c>
      <c r="X519" t="s">
        <v>46</v>
      </c>
      <c r="Y519" s="2" t="s">
        <v>717</v>
      </c>
      <c r="Z519" s="2" t="s">
        <v>718</v>
      </c>
      <c r="AA519" s="9" t="s">
        <v>715</v>
      </c>
      <c r="AC519" s="2"/>
      <c r="AD519" t="s">
        <v>7</v>
      </c>
      <c r="AE519" t="s">
        <v>2224</v>
      </c>
    </row>
    <row r="520" spans="1:31" x14ac:dyDescent="0.3">
      <c r="A520" s="17">
        <v>90739624000118</v>
      </c>
      <c r="B520" t="s">
        <v>61</v>
      </c>
      <c r="D520" t="s">
        <v>141</v>
      </c>
      <c r="E520" t="s">
        <v>2</v>
      </c>
      <c r="F520">
        <v>269308</v>
      </c>
      <c r="G520" s="1" t="s">
        <v>2225</v>
      </c>
      <c r="H520">
        <v>24884605</v>
      </c>
      <c r="I520">
        <v>316006</v>
      </c>
      <c r="J520" t="s">
        <v>2226</v>
      </c>
      <c r="K520" s="17">
        <v>45587003000101</v>
      </c>
      <c r="L520" s="17">
        <v>90739624000380</v>
      </c>
      <c r="M520" s="9">
        <v>1490.71</v>
      </c>
      <c r="N520" t="s">
        <v>43</v>
      </c>
      <c r="Q520" s="2"/>
      <c r="R520" s="9"/>
      <c r="S520" t="s">
        <v>44</v>
      </c>
      <c r="T520" t="s">
        <v>45</v>
      </c>
      <c r="U520" s="2" t="s">
        <v>590</v>
      </c>
      <c r="V520" s="9" t="s">
        <v>2227</v>
      </c>
      <c r="W520">
        <v>3.5260845587003002E+43</v>
      </c>
      <c r="X520" t="s">
        <v>46</v>
      </c>
      <c r="Y520" s="2" t="s">
        <v>717</v>
      </c>
      <c r="Z520" s="2" t="s">
        <v>718</v>
      </c>
      <c r="AA520" s="9" t="s">
        <v>715</v>
      </c>
      <c r="AC520" s="2"/>
      <c r="AD520" t="s">
        <v>7</v>
      </c>
      <c r="AE520" t="s">
        <v>2228</v>
      </c>
    </row>
    <row r="521" spans="1:31" x14ac:dyDescent="0.3">
      <c r="A521" s="17">
        <v>90739624000118</v>
      </c>
      <c r="B521" t="s">
        <v>18</v>
      </c>
      <c r="C521">
        <v>17670</v>
      </c>
      <c r="D521" t="s">
        <v>394</v>
      </c>
      <c r="E521" t="s">
        <v>2</v>
      </c>
      <c r="F521">
        <v>269308</v>
      </c>
      <c r="G521" s="1" t="s">
        <v>2229</v>
      </c>
      <c r="H521">
        <v>24882385</v>
      </c>
      <c r="I521">
        <v>36846</v>
      </c>
      <c r="J521" t="s">
        <v>395</v>
      </c>
      <c r="K521" s="17">
        <v>5911517000156</v>
      </c>
      <c r="L521" s="17">
        <v>90739624000380</v>
      </c>
      <c r="M521" s="9">
        <v>686.52</v>
      </c>
      <c r="N521" t="s">
        <v>43</v>
      </c>
      <c r="Q521" s="2"/>
      <c r="R521" s="9"/>
      <c r="S521" t="s">
        <v>44</v>
      </c>
      <c r="T521" t="s">
        <v>45</v>
      </c>
      <c r="U521" s="2" t="s">
        <v>581</v>
      </c>
      <c r="V521" s="9" t="s">
        <v>2230</v>
      </c>
      <c r="W521">
        <v>3.5260805911516998E+43</v>
      </c>
      <c r="X521" t="s">
        <v>46</v>
      </c>
      <c r="Y521" s="2" t="s">
        <v>717</v>
      </c>
      <c r="Z521" s="2" t="s">
        <v>718</v>
      </c>
      <c r="AA521" s="9" t="s">
        <v>715</v>
      </c>
      <c r="AC521" s="2"/>
      <c r="AD521" t="s">
        <v>7</v>
      </c>
      <c r="AE521" t="s">
        <v>2231</v>
      </c>
    </row>
    <row r="522" spans="1:31" x14ac:dyDescent="0.3">
      <c r="A522" s="17">
        <v>90739624000118</v>
      </c>
      <c r="B522" t="s">
        <v>174</v>
      </c>
      <c r="D522" t="s">
        <v>543</v>
      </c>
      <c r="E522" t="s">
        <v>2</v>
      </c>
      <c r="F522">
        <v>269308</v>
      </c>
      <c r="G522" s="1" t="s">
        <v>2232</v>
      </c>
      <c r="H522">
        <v>24881949</v>
      </c>
      <c r="I522">
        <v>38307</v>
      </c>
      <c r="J522" t="s">
        <v>209</v>
      </c>
      <c r="K522" s="17">
        <v>33360405000190</v>
      </c>
      <c r="L522" s="17">
        <v>90739624001947</v>
      </c>
      <c r="M522" s="9">
        <v>194.01</v>
      </c>
      <c r="N522" t="s">
        <v>43</v>
      </c>
      <c r="Q522" s="2"/>
      <c r="R522" s="9"/>
      <c r="S522" t="s">
        <v>44</v>
      </c>
      <c r="T522" t="s">
        <v>45</v>
      </c>
      <c r="U522" s="2" t="s">
        <v>695</v>
      </c>
      <c r="V522" s="9" t="s">
        <v>2233</v>
      </c>
      <c r="W522">
        <v>5.2260833360404998E+43</v>
      </c>
      <c r="X522" t="s">
        <v>46</v>
      </c>
      <c r="Y522" s="2" t="s">
        <v>717</v>
      </c>
      <c r="Z522" s="2" t="s">
        <v>718</v>
      </c>
      <c r="AA522" s="9" t="s">
        <v>715</v>
      </c>
      <c r="AC522" s="2"/>
      <c r="AD522" t="s">
        <v>7</v>
      </c>
      <c r="AE522" t="s">
        <v>2234</v>
      </c>
    </row>
    <row r="523" spans="1:31" x14ac:dyDescent="0.3">
      <c r="A523" s="17">
        <v>90739624000118</v>
      </c>
      <c r="B523" t="s">
        <v>11</v>
      </c>
      <c r="D523" t="s">
        <v>203</v>
      </c>
      <c r="E523" t="s">
        <v>2</v>
      </c>
      <c r="F523">
        <v>269308</v>
      </c>
      <c r="G523" s="1" t="s">
        <v>2235</v>
      </c>
      <c r="H523">
        <v>24881682</v>
      </c>
      <c r="I523">
        <v>1050944</v>
      </c>
      <c r="J523" t="s">
        <v>210</v>
      </c>
      <c r="K523" s="17">
        <v>55973291000196</v>
      </c>
      <c r="L523" s="17">
        <v>90739624000380</v>
      </c>
      <c r="M523" s="9">
        <v>165.76</v>
      </c>
      <c r="N523" t="s">
        <v>43</v>
      </c>
      <c r="Q523" s="2"/>
      <c r="R523" s="9"/>
      <c r="S523" t="s">
        <v>44</v>
      </c>
      <c r="T523" t="s">
        <v>45</v>
      </c>
      <c r="U523" s="2" t="s">
        <v>695</v>
      </c>
      <c r="V523" s="9" t="s">
        <v>2236</v>
      </c>
      <c r="W523">
        <v>3.5260855973290999E+43</v>
      </c>
      <c r="X523" t="s">
        <v>46</v>
      </c>
      <c r="Y523" s="2" t="s">
        <v>717</v>
      </c>
      <c r="Z523" s="2" t="s">
        <v>718</v>
      </c>
      <c r="AA523" s="9" t="s">
        <v>715</v>
      </c>
      <c r="AC523" s="2"/>
      <c r="AD523" t="s">
        <v>7</v>
      </c>
      <c r="AE523" t="s">
        <v>2237</v>
      </c>
    </row>
    <row r="524" spans="1:31" x14ac:dyDescent="0.3">
      <c r="A524" s="17">
        <v>90739624000118</v>
      </c>
      <c r="B524" t="s">
        <v>28</v>
      </c>
      <c r="D524" t="s">
        <v>208</v>
      </c>
      <c r="E524" t="s">
        <v>2</v>
      </c>
      <c r="F524">
        <v>269308</v>
      </c>
      <c r="G524" s="1" t="s">
        <v>2238</v>
      </c>
      <c r="H524">
        <v>24881544</v>
      </c>
      <c r="I524">
        <v>38306</v>
      </c>
      <c r="J524" t="s">
        <v>209</v>
      </c>
      <c r="K524" s="17">
        <v>33360405000190</v>
      </c>
      <c r="L524" s="17">
        <v>90739624001947</v>
      </c>
      <c r="M524" s="9">
        <v>234.15</v>
      </c>
      <c r="N524" t="s">
        <v>43</v>
      </c>
      <c r="Q524" s="2"/>
      <c r="R524" s="9"/>
      <c r="S524" t="s">
        <v>44</v>
      </c>
      <c r="T524" t="s">
        <v>45</v>
      </c>
      <c r="U524" s="2" t="s">
        <v>695</v>
      </c>
      <c r="V524" s="9" t="s">
        <v>667</v>
      </c>
      <c r="W524">
        <v>5.2260833360404998E+43</v>
      </c>
      <c r="X524" t="s">
        <v>46</v>
      </c>
      <c r="Y524" s="2" t="s">
        <v>717</v>
      </c>
      <c r="Z524" s="2" t="s">
        <v>718</v>
      </c>
      <c r="AA524" s="9" t="s">
        <v>715</v>
      </c>
      <c r="AC524" s="2"/>
      <c r="AD524" t="s">
        <v>7</v>
      </c>
      <c r="AE524" t="s">
        <v>2239</v>
      </c>
    </row>
    <row r="525" spans="1:31" x14ac:dyDescent="0.3">
      <c r="A525" s="17">
        <v>90739624000118</v>
      </c>
      <c r="B525" t="s">
        <v>18</v>
      </c>
      <c r="C525">
        <v>20022</v>
      </c>
      <c r="D525" t="s">
        <v>349</v>
      </c>
      <c r="E525" t="s">
        <v>2</v>
      </c>
      <c r="F525">
        <v>269308</v>
      </c>
      <c r="G525" s="1" t="s">
        <v>2240</v>
      </c>
      <c r="H525">
        <v>24881289</v>
      </c>
      <c r="I525">
        <v>15523</v>
      </c>
      <c r="J525" t="s">
        <v>57</v>
      </c>
      <c r="K525" s="17">
        <v>50206655000199</v>
      </c>
      <c r="L525" s="17">
        <v>90739624000380</v>
      </c>
      <c r="M525" s="9">
        <v>147.71</v>
      </c>
      <c r="N525" t="s">
        <v>43</v>
      </c>
      <c r="Q525" s="2"/>
      <c r="R525" s="9"/>
      <c r="S525" t="s">
        <v>44</v>
      </c>
      <c r="T525" t="s">
        <v>45</v>
      </c>
      <c r="U525" s="2" t="s">
        <v>581</v>
      </c>
      <c r="V525" s="9" t="s">
        <v>2241</v>
      </c>
      <c r="W525">
        <v>3.5260850206654998E+43</v>
      </c>
      <c r="X525" t="s">
        <v>46</v>
      </c>
      <c r="Y525" s="2" t="s">
        <v>717</v>
      </c>
      <c r="Z525" s="2" t="s">
        <v>718</v>
      </c>
      <c r="AA525" s="9" t="s">
        <v>715</v>
      </c>
      <c r="AC525" s="2"/>
      <c r="AD525" t="s">
        <v>7</v>
      </c>
      <c r="AE525" t="s">
        <v>2242</v>
      </c>
    </row>
    <row r="526" spans="1:31" x14ac:dyDescent="0.3">
      <c r="A526" s="17">
        <v>90739624000118</v>
      </c>
      <c r="B526" t="s">
        <v>11</v>
      </c>
      <c r="D526" t="s">
        <v>138</v>
      </c>
      <c r="E526" t="s">
        <v>2</v>
      </c>
      <c r="F526">
        <v>269308</v>
      </c>
      <c r="G526" s="1" t="s">
        <v>2243</v>
      </c>
      <c r="H526">
        <v>24880890</v>
      </c>
      <c r="I526">
        <v>5302</v>
      </c>
      <c r="J526" t="s">
        <v>310</v>
      </c>
      <c r="K526" s="17">
        <v>42733072000198</v>
      </c>
      <c r="L526" s="17">
        <v>90739624000380</v>
      </c>
      <c r="M526" s="9">
        <v>285.8</v>
      </c>
      <c r="N526" t="s">
        <v>43</v>
      </c>
      <c r="Q526" s="2"/>
      <c r="R526" s="9"/>
      <c r="S526" t="s">
        <v>44</v>
      </c>
      <c r="T526" t="s">
        <v>45</v>
      </c>
      <c r="U526" s="2" t="s">
        <v>581</v>
      </c>
      <c r="V526" s="9" t="s">
        <v>2244</v>
      </c>
      <c r="W526">
        <v>3.5260842733072E+43</v>
      </c>
      <c r="X526" t="s">
        <v>46</v>
      </c>
      <c r="Y526" s="2" t="s">
        <v>717</v>
      </c>
      <c r="Z526" s="2" t="s">
        <v>718</v>
      </c>
      <c r="AA526" s="9" t="s">
        <v>715</v>
      </c>
      <c r="AC526" s="2"/>
      <c r="AD526" t="s">
        <v>7</v>
      </c>
      <c r="AE526" t="s">
        <v>2245</v>
      </c>
    </row>
    <row r="527" spans="1:31" x14ac:dyDescent="0.3">
      <c r="A527" s="17">
        <v>90739624000118</v>
      </c>
      <c r="B527" t="s">
        <v>18</v>
      </c>
      <c r="D527" t="s">
        <v>164</v>
      </c>
      <c r="E527" t="s">
        <v>2</v>
      </c>
      <c r="F527">
        <v>269308</v>
      </c>
      <c r="G527" s="1" t="s">
        <v>2246</v>
      </c>
      <c r="H527">
        <v>24880636</v>
      </c>
      <c r="I527">
        <v>20440</v>
      </c>
      <c r="J527" t="s">
        <v>454</v>
      </c>
      <c r="K527" s="17">
        <v>30479450000170</v>
      </c>
      <c r="L527" s="17">
        <v>90739624000380</v>
      </c>
      <c r="M527" s="9">
        <v>952.39</v>
      </c>
      <c r="N527" t="s">
        <v>43</v>
      </c>
      <c r="Q527" s="2"/>
      <c r="R527" s="9"/>
      <c r="S527" t="s">
        <v>44</v>
      </c>
      <c r="T527" t="s">
        <v>45</v>
      </c>
      <c r="U527" s="2" t="s">
        <v>583</v>
      </c>
      <c r="V527" s="9" t="s">
        <v>2247</v>
      </c>
      <c r="W527">
        <v>3.526083047945E+43</v>
      </c>
      <c r="X527" t="s">
        <v>46</v>
      </c>
      <c r="Y527" s="2" t="s">
        <v>717</v>
      </c>
      <c r="Z527" s="2" t="s">
        <v>718</v>
      </c>
      <c r="AA527" s="9" t="s">
        <v>715</v>
      </c>
      <c r="AC527" s="2"/>
      <c r="AD527" t="s">
        <v>7</v>
      </c>
      <c r="AE527" t="s">
        <v>2248</v>
      </c>
    </row>
    <row r="528" spans="1:31" x14ac:dyDescent="0.3">
      <c r="A528" s="17">
        <v>90739624000118</v>
      </c>
      <c r="B528" t="s">
        <v>61</v>
      </c>
      <c r="C528">
        <v>24761</v>
      </c>
      <c r="D528" t="s">
        <v>554</v>
      </c>
      <c r="E528" t="s">
        <v>2</v>
      </c>
      <c r="F528">
        <v>269308</v>
      </c>
      <c r="G528" s="1" t="s">
        <v>2249</v>
      </c>
      <c r="H528">
        <v>24880620</v>
      </c>
      <c r="I528">
        <v>820254</v>
      </c>
      <c r="J528" t="s">
        <v>62</v>
      </c>
      <c r="K528" s="17">
        <v>79964177000591</v>
      </c>
      <c r="L528" s="17">
        <v>9576274000106</v>
      </c>
      <c r="M528" s="9">
        <v>377.97</v>
      </c>
      <c r="N528" t="s">
        <v>43</v>
      </c>
      <c r="Q528" s="2"/>
      <c r="R528" s="9"/>
      <c r="S528" t="s">
        <v>44</v>
      </c>
      <c r="T528" t="s">
        <v>45</v>
      </c>
      <c r="U528" s="2" t="s">
        <v>695</v>
      </c>
      <c r="V528" s="9" t="s">
        <v>2250</v>
      </c>
      <c r="W528">
        <v>4.1260879964176998E+43</v>
      </c>
      <c r="X528" t="s">
        <v>46</v>
      </c>
      <c r="Y528" s="2" t="s">
        <v>717</v>
      </c>
      <c r="Z528" s="2" t="s">
        <v>718</v>
      </c>
      <c r="AA528" s="9" t="s">
        <v>715</v>
      </c>
      <c r="AC528" s="2"/>
      <c r="AD528" t="s">
        <v>7</v>
      </c>
      <c r="AE528" t="s">
        <v>2251</v>
      </c>
    </row>
    <row r="529" spans="1:31" x14ac:dyDescent="0.3">
      <c r="A529" s="17">
        <v>90739624000118</v>
      </c>
      <c r="B529" t="s">
        <v>28</v>
      </c>
      <c r="D529" t="s">
        <v>224</v>
      </c>
      <c r="E529" t="s">
        <v>17</v>
      </c>
      <c r="F529">
        <v>269308</v>
      </c>
      <c r="G529" s="1" t="s">
        <v>2252</v>
      </c>
      <c r="H529">
        <v>24880606</v>
      </c>
      <c r="I529">
        <v>333449</v>
      </c>
      <c r="J529" t="s">
        <v>684</v>
      </c>
      <c r="K529" s="17">
        <v>20940512000145</v>
      </c>
      <c r="L529" s="17">
        <v>90739624001947</v>
      </c>
      <c r="M529" s="9">
        <v>66.34</v>
      </c>
      <c r="N529" t="s">
        <v>43</v>
      </c>
      <c r="Q529" s="2"/>
      <c r="R529" s="9"/>
      <c r="S529" t="s">
        <v>44</v>
      </c>
      <c r="T529" t="s">
        <v>45</v>
      </c>
      <c r="U529" s="2" t="s">
        <v>695</v>
      </c>
      <c r="V529" s="9" t="s">
        <v>2253</v>
      </c>
      <c r="W529">
        <v>5.2260820940512002E+43</v>
      </c>
      <c r="X529" t="s">
        <v>46</v>
      </c>
      <c r="Y529" s="2" t="s">
        <v>717</v>
      </c>
      <c r="Z529" s="2" t="s">
        <v>718</v>
      </c>
      <c r="AA529" s="9" t="s">
        <v>715</v>
      </c>
      <c r="AC529" s="2"/>
      <c r="AD529" t="s">
        <v>7</v>
      </c>
      <c r="AE529" t="s">
        <v>2254</v>
      </c>
    </row>
    <row r="530" spans="1:31" x14ac:dyDescent="0.3">
      <c r="A530" s="17">
        <v>90739624000118</v>
      </c>
      <c r="B530" t="s">
        <v>70</v>
      </c>
      <c r="C530">
        <v>22342</v>
      </c>
      <c r="D530" t="s">
        <v>260</v>
      </c>
      <c r="E530" t="s">
        <v>2</v>
      </c>
      <c r="F530">
        <v>269308</v>
      </c>
      <c r="G530" s="1" t="s">
        <v>2255</v>
      </c>
      <c r="H530">
        <v>24880006</v>
      </c>
      <c r="I530">
        <v>2516</v>
      </c>
      <c r="J530" t="s">
        <v>85</v>
      </c>
      <c r="K530" s="17">
        <v>1975878000105</v>
      </c>
      <c r="L530" s="17">
        <v>9576274000106</v>
      </c>
      <c r="M530" s="9">
        <v>220</v>
      </c>
      <c r="N530" t="s">
        <v>43</v>
      </c>
      <c r="Q530" s="2"/>
      <c r="R530" s="9"/>
      <c r="S530" t="s">
        <v>44</v>
      </c>
      <c r="T530" t="s">
        <v>45</v>
      </c>
      <c r="U530" s="2" t="s">
        <v>695</v>
      </c>
      <c r="V530" s="9" t="s">
        <v>2256</v>
      </c>
      <c r="W530">
        <v>4.1260801975878E+43</v>
      </c>
      <c r="X530" t="s">
        <v>46</v>
      </c>
      <c r="Y530" s="2" t="s">
        <v>717</v>
      </c>
      <c r="Z530" s="2" t="s">
        <v>718</v>
      </c>
      <c r="AA530" s="9" t="s">
        <v>715</v>
      </c>
      <c r="AC530" s="2"/>
      <c r="AD530" t="s">
        <v>7</v>
      </c>
      <c r="AE530" t="s">
        <v>2257</v>
      </c>
    </row>
    <row r="531" spans="1:31" x14ac:dyDescent="0.3">
      <c r="A531" s="17">
        <v>90739624000118</v>
      </c>
      <c r="B531" t="s">
        <v>18</v>
      </c>
      <c r="D531" t="s">
        <v>19</v>
      </c>
      <c r="E531" t="s">
        <v>2</v>
      </c>
      <c r="F531">
        <v>269308</v>
      </c>
      <c r="G531" s="1" t="s">
        <v>2258</v>
      </c>
      <c r="H531">
        <v>24878655</v>
      </c>
      <c r="I531">
        <v>373424</v>
      </c>
      <c r="J531" t="s">
        <v>202</v>
      </c>
      <c r="K531" s="17">
        <v>5065447000162</v>
      </c>
      <c r="L531" s="17">
        <v>90739624000380</v>
      </c>
      <c r="M531" s="9">
        <v>183.66</v>
      </c>
      <c r="N531" t="s">
        <v>43</v>
      </c>
      <c r="Q531" s="2"/>
      <c r="R531" s="9"/>
      <c r="S531" t="s">
        <v>44</v>
      </c>
      <c r="T531" t="s">
        <v>45</v>
      </c>
      <c r="U531" s="2" t="s">
        <v>695</v>
      </c>
      <c r="V531" s="9" t="s">
        <v>2259</v>
      </c>
      <c r="W531">
        <v>3.5260805065447002E+43</v>
      </c>
      <c r="X531" t="s">
        <v>46</v>
      </c>
      <c r="Y531" s="2" t="s">
        <v>717</v>
      </c>
      <c r="Z531" s="2" t="s">
        <v>718</v>
      </c>
      <c r="AA531" s="9" t="s">
        <v>715</v>
      </c>
      <c r="AC531" s="2"/>
      <c r="AD531" t="s">
        <v>7</v>
      </c>
      <c r="AE531" t="s">
        <v>2260</v>
      </c>
    </row>
    <row r="532" spans="1:31" x14ac:dyDescent="0.3">
      <c r="A532" s="17">
        <v>90739624000118</v>
      </c>
      <c r="B532" t="s">
        <v>160</v>
      </c>
      <c r="D532" t="s">
        <v>161</v>
      </c>
      <c r="E532" t="s">
        <v>2</v>
      </c>
      <c r="F532">
        <v>269308</v>
      </c>
      <c r="G532" s="1" t="s">
        <v>2261</v>
      </c>
      <c r="H532">
        <v>24875773</v>
      </c>
      <c r="I532">
        <v>110408</v>
      </c>
      <c r="J532" t="s">
        <v>2262</v>
      </c>
      <c r="K532" s="17">
        <v>7473735014212</v>
      </c>
      <c r="L532" s="17">
        <v>9576274000106</v>
      </c>
      <c r="M532" s="9">
        <v>136.87</v>
      </c>
      <c r="N532" t="s">
        <v>43</v>
      </c>
      <c r="Q532" s="2"/>
      <c r="R532" s="9"/>
      <c r="S532" t="s">
        <v>44</v>
      </c>
      <c r="T532" t="s">
        <v>45</v>
      </c>
      <c r="U532" s="2" t="s">
        <v>695</v>
      </c>
      <c r="V532" s="9" t="s">
        <v>2263</v>
      </c>
      <c r="W532">
        <v>4.1260807473734999E+43</v>
      </c>
      <c r="X532" t="s">
        <v>46</v>
      </c>
      <c r="Y532" s="2" t="s">
        <v>717</v>
      </c>
      <c r="Z532" s="2" t="s">
        <v>718</v>
      </c>
      <c r="AA532" s="9" t="s">
        <v>715</v>
      </c>
      <c r="AC532" s="2"/>
      <c r="AD532" t="s">
        <v>7</v>
      </c>
      <c r="AE532" t="s">
        <v>2264</v>
      </c>
    </row>
    <row r="533" spans="1:31" x14ac:dyDescent="0.3">
      <c r="A533" s="17">
        <v>90739624000118</v>
      </c>
      <c r="B533" t="s">
        <v>11</v>
      </c>
      <c r="C533">
        <v>17950</v>
      </c>
      <c r="D533" t="s">
        <v>524</v>
      </c>
      <c r="E533" t="s">
        <v>2</v>
      </c>
      <c r="F533">
        <v>269308</v>
      </c>
      <c r="G533" s="1" t="s">
        <v>2265</v>
      </c>
      <c r="H533">
        <v>24874769</v>
      </c>
      <c r="I533">
        <v>4414</v>
      </c>
      <c r="J533" t="s">
        <v>95</v>
      </c>
      <c r="K533" s="17">
        <v>37489429000102</v>
      </c>
      <c r="L533" s="17">
        <v>90739624001947</v>
      </c>
      <c r="M533" s="9">
        <v>152.06</v>
      </c>
      <c r="N533" t="s">
        <v>43</v>
      </c>
      <c r="Q533" s="2"/>
      <c r="R533" s="9"/>
      <c r="S533" t="s">
        <v>44</v>
      </c>
      <c r="T533" t="s">
        <v>45</v>
      </c>
      <c r="U533" s="2" t="s">
        <v>695</v>
      </c>
      <c r="V533" s="9" t="s">
        <v>2266</v>
      </c>
      <c r="W533">
        <v>5.2260837489428997E+43</v>
      </c>
      <c r="X533" t="s">
        <v>46</v>
      </c>
      <c r="Y533" s="2" t="s">
        <v>717</v>
      </c>
      <c r="Z533" s="2" t="s">
        <v>718</v>
      </c>
      <c r="AA533" s="9" t="s">
        <v>715</v>
      </c>
      <c r="AC533" s="2"/>
      <c r="AD533" t="s">
        <v>7</v>
      </c>
      <c r="AE533" t="s">
        <v>2267</v>
      </c>
    </row>
    <row r="534" spans="1:31" x14ac:dyDescent="0.3">
      <c r="A534" s="17">
        <v>90739624000118</v>
      </c>
      <c r="B534" t="s">
        <v>120</v>
      </c>
      <c r="C534">
        <v>26017</v>
      </c>
      <c r="D534" t="s">
        <v>215</v>
      </c>
      <c r="E534" t="s">
        <v>17</v>
      </c>
      <c r="F534">
        <v>269308</v>
      </c>
      <c r="G534" s="1" t="s">
        <v>2268</v>
      </c>
      <c r="H534">
        <v>24874733</v>
      </c>
      <c r="I534">
        <v>61044</v>
      </c>
      <c r="J534" t="s">
        <v>150</v>
      </c>
      <c r="K534" s="17">
        <v>27643038000139</v>
      </c>
      <c r="L534" s="17">
        <v>90739624001432</v>
      </c>
      <c r="M534" s="9">
        <v>63.6</v>
      </c>
      <c r="N534" t="s">
        <v>43</v>
      </c>
      <c r="Q534" s="2"/>
      <c r="R534" s="9"/>
      <c r="S534" t="s">
        <v>44</v>
      </c>
      <c r="T534" t="s">
        <v>45</v>
      </c>
      <c r="U534" s="2" t="s">
        <v>695</v>
      </c>
      <c r="V534" s="9" t="s">
        <v>2269</v>
      </c>
      <c r="W534">
        <v>4.2260827643038002E+43</v>
      </c>
      <c r="X534" t="s">
        <v>46</v>
      </c>
      <c r="Y534" s="2" t="s">
        <v>717</v>
      </c>
      <c r="Z534" s="2" t="s">
        <v>718</v>
      </c>
      <c r="AA534" s="9" t="s">
        <v>715</v>
      </c>
      <c r="AC534" s="2"/>
      <c r="AD534" t="s">
        <v>7</v>
      </c>
      <c r="AE534" t="s">
        <v>2270</v>
      </c>
    </row>
    <row r="535" spans="1:31" x14ac:dyDescent="0.3">
      <c r="A535" s="17">
        <v>90739624000118</v>
      </c>
      <c r="B535" t="s">
        <v>120</v>
      </c>
      <c r="C535">
        <v>26017</v>
      </c>
      <c r="D535" t="s">
        <v>215</v>
      </c>
      <c r="E535" t="s">
        <v>2</v>
      </c>
      <c r="F535">
        <v>269308</v>
      </c>
      <c r="G535" s="1" t="s">
        <v>2271</v>
      </c>
      <c r="H535">
        <v>24874725</v>
      </c>
      <c r="I535">
        <v>61043</v>
      </c>
      <c r="J535" t="s">
        <v>150</v>
      </c>
      <c r="K535" s="17">
        <v>27643038000139</v>
      </c>
      <c r="L535" s="17">
        <v>90739624001432</v>
      </c>
      <c r="M535" s="9">
        <v>678.92</v>
      </c>
      <c r="N535" t="s">
        <v>43</v>
      </c>
      <c r="Q535" s="2"/>
      <c r="R535" s="9"/>
      <c r="S535" t="s">
        <v>44</v>
      </c>
      <c r="T535" t="s">
        <v>45</v>
      </c>
      <c r="U535" s="2" t="s">
        <v>695</v>
      </c>
      <c r="V535" s="9" t="s">
        <v>2272</v>
      </c>
      <c r="W535">
        <v>4.2260827643038002E+43</v>
      </c>
      <c r="X535" t="s">
        <v>46</v>
      </c>
      <c r="Y535" s="2" t="s">
        <v>717</v>
      </c>
      <c r="Z535" s="2" t="s">
        <v>718</v>
      </c>
      <c r="AA535" s="9" t="s">
        <v>715</v>
      </c>
      <c r="AC535" s="2"/>
      <c r="AD535" t="s">
        <v>7</v>
      </c>
      <c r="AE535" t="s">
        <v>2273</v>
      </c>
    </row>
    <row r="536" spans="1:31" x14ac:dyDescent="0.3">
      <c r="A536" s="17">
        <v>90739624000118</v>
      </c>
      <c r="B536" t="s">
        <v>13</v>
      </c>
      <c r="C536">
        <v>26010</v>
      </c>
      <c r="D536" t="s">
        <v>336</v>
      </c>
      <c r="E536" t="s">
        <v>2</v>
      </c>
      <c r="F536">
        <v>269308</v>
      </c>
      <c r="G536" s="1" t="s">
        <v>2274</v>
      </c>
      <c r="H536">
        <v>24874606</v>
      </c>
      <c r="I536">
        <v>35101</v>
      </c>
      <c r="J536" t="s">
        <v>16</v>
      </c>
      <c r="K536" s="17">
        <v>73648610000170</v>
      </c>
      <c r="L536" s="17">
        <v>90739624001190</v>
      </c>
      <c r="M536" s="9">
        <v>447.29</v>
      </c>
      <c r="N536" t="s">
        <v>43</v>
      </c>
      <c r="Q536" s="2"/>
      <c r="R536" s="9"/>
      <c r="S536" t="s">
        <v>44</v>
      </c>
      <c r="T536" t="s">
        <v>45</v>
      </c>
      <c r="U536" s="2" t="s">
        <v>602</v>
      </c>
      <c r="V536" s="9" t="s">
        <v>2275</v>
      </c>
      <c r="W536">
        <v>5.026087364861E+43</v>
      </c>
      <c r="X536" t="s">
        <v>46</v>
      </c>
      <c r="Y536" s="2" t="s">
        <v>717</v>
      </c>
      <c r="Z536" s="2" t="s">
        <v>718</v>
      </c>
      <c r="AA536" s="9" t="s">
        <v>715</v>
      </c>
      <c r="AC536" s="2"/>
      <c r="AD536" t="s">
        <v>7</v>
      </c>
      <c r="AE536" t="s">
        <v>2276</v>
      </c>
    </row>
    <row r="537" spans="1:31" x14ac:dyDescent="0.3">
      <c r="A537" s="17">
        <v>90739624000118</v>
      </c>
      <c r="B537" t="s">
        <v>11</v>
      </c>
      <c r="D537" t="s">
        <v>203</v>
      </c>
      <c r="E537" t="s">
        <v>2</v>
      </c>
      <c r="F537">
        <v>269308</v>
      </c>
      <c r="G537" s="1" t="s">
        <v>2277</v>
      </c>
      <c r="H537">
        <v>24874235</v>
      </c>
      <c r="I537">
        <v>23133</v>
      </c>
      <c r="J537" t="s">
        <v>24</v>
      </c>
      <c r="K537" s="17">
        <v>46472822000176</v>
      </c>
      <c r="L537" s="17">
        <v>90739624000380</v>
      </c>
      <c r="M537" s="9">
        <v>289.45999999999998</v>
      </c>
      <c r="N537" t="s">
        <v>43</v>
      </c>
      <c r="Q537" s="2"/>
      <c r="R537" s="9"/>
      <c r="S537" t="s">
        <v>44</v>
      </c>
      <c r="T537" t="s">
        <v>45</v>
      </c>
      <c r="U537" s="2" t="s">
        <v>581</v>
      </c>
      <c r="V537" s="9" t="s">
        <v>2279</v>
      </c>
      <c r="W537">
        <v>3.5260846472822E+43</v>
      </c>
      <c r="X537" t="s">
        <v>46</v>
      </c>
      <c r="Y537" s="2" t="s">
        <v>717</v>
      </c>
      <c r="Z537" s="2" t="s">
        <v>718</v>
      </c>
      <c r="AA537" s="9" t="s">
        <v>715</v>
      </c>
      <c r="AC537" s="2"/>
      <c r="AD537" t="s">
        <v>7</v>
      </c>
      <c r="AE537" t="s">
        <v>2280</v>
      </c>
    </row>
    <row r="538" spans="1:31" x14ac:dyDescent="0.3">
      <c r="A538" s="17">
        <v>90739624000118</v>
      </c>
      <c r="B538" t="s">
        <v>61</v>
      </c>
      <c r="C538">
        <v>26247</v>
      </c>
      <c r="D538" t="s">
        <v>343</v>
      </c>
      <c r="E538" t="s">
        <v>2</v>
      </c>
      <c r="F538">
        <v>269308</v>
      </c>
      <c r="G538" s="1" t="s">
        <v>2281</v>
      </c>
      <c r="H538">
        <v>24874224</v>
      </c>
      <c r="I538">
        <v>820247</v>
      </c>
      <c r="J538" t="s">
        <v>62</v>
      </c>
      <c r="K538" s="17">
        <v>79964177000591</v>
      </c>
      <c r="L538" s="17">
        <v>9576274000106</v>
      </c>
      <c r="M538" s="9">
        <v>448.65</v>
      </c>
      <c r="N538" t="s">
        <v>43</v>
      </c>
      <c r="Q538" s="2"/>
      <c r="R538" s="9"/>
      <c r="S538" t="s">
        <v>44</v>
      </c>
      <c r="T538" t="s">
        <v>45</v>
      </c>
      <c r="U538" s="2" t="s">
        <v>695</v>
      </c>
      <c r="V538" s="9" t="s">
        <v>2282</v>
      </c>
      <c r="W538">
        <v>4.1260879964176998E+43</v>
      </c>
      <c r="X538" t="s">
        <v>46</v>
      </c>
      <c r="Y538" s="2" t="s">
        <v>717</v>
      </c>
      <c r="Z538" s="2" t="s">
        <v>718</v>
      </c>
      <c r="AA538" s="9" t="s">
        <v>715</v>
      </c>
      <c r="AC538" s="2"/>
      <c r="AD538" t="s">
        <v>7</v>
      </c>
      <c r="AE538" t="s">
        <v>2283</v>
      </c>
    </row>
    <row r="539" spans="1:31" x14ac:dyDescent="0.3">
      <c r="A539" s="17">
        <v>90739624000118</v>
      </c>
      <c r="B539" t="s">
        <v>11</v>
      </c>
      <c r="D539" t="s">
        <v>30</v>
      </c>
      <c r="E539" t="s">
        <v>17</v>
      </c>
      <c r="F539">
        <v>269308</v>
      </c>
      <c r="G539" s="1" t="s">
        <v>2284</v>
      </c>
      <c r="H539">
        <v>24874055</v>
      </c>
      <c r="I539">
        <v>131574</v>
      </c>
      <c r="J539" t="s">
        <v>152</v>
      </c>
      <c r="K539" s="17">
        <v>23891404000118</v>
      </c>
      <c r="L539" s="17">
        <v>90739624001866</v>
      </c>
      <c r="M539" s="9">
        <v>74.81</v>
      </c>
      <c r="N539" t="s">
        <v>43</v>
      </c>
      <c r="Q539" s="2"/>
      <c r="R539" s="9"/>
      <c r="S539" t="s">
        <v>44</v>
      </c>
      <c r="T539" t="s">
        <v>45</v>
      </c>
      <c r="U539" s="2" t="s">
        <v>695</v>
      </c>
      <c r="V539" s="9" t="s">
        <v>2285</v>
      </c>
      <c r="W539">
        <v>5.1260823891404E+43</v>
      </c>
      <c r="X539" t="s">
        <v>46</v>
      </c>
      <c r="Y539" s="2" t="s">
        <v>717</v>
      </c>
      <c r="Z539" s="2" t="s">
        <v>718</v>
      </c>
      <c r="AA539" s="9" t="s">
        <v>715</v>
      </c>
      <c r="AC539" s="2"/>
      <c r="AD539" t="s">
        <v>7</v>
      </c>
      <c r="AE539" t="s">
        <v>2286</v>
      </c>
    </row>
    <row r="540" spans="1:31" x14ac:dyDescent="0.3">
      <c r="A540" s="17">
        <v>90739624000118</v>
      </c>
      <c r="B540" t="s">
        <v>11</v>
      </c>
      <c r="D540" t="s">
        <v>30</v>
      </c>
      <c r="E540" t="s">
        <v>2</v>
      </c>
      <c r="F540">
        <v>269308</v>
      </c>
      <c r="G540" s="1" t="s">
        <v>2287</v>
      </c>
      <c r="H540">
        <v>24874039</v>
      </c>
      <c r="I540">
        <v>131573</v>
      </c>
      <c r="J540" t="s">
        <v>152</v>
      </c>
      <c r="K540" s="17">
        <v>23891404000118</v>
      </c>
      <c r="L540" s="17">
        <v>90739624001866</v>
      </c>
      <c r="M540" s="9">
        <v>285.41000000000003</v>
      </c>
      <c r="N540" t="s">
        <v>43</v>
      </c>
      <c r="Q540" s="2"/>
      <c r="R540" s="9"/>
      <c r="S540" t="s">
        <v>44</v>
      </c>
      <c r="T540" t="s">
        <v>45</v>
      </c>
      <c r="U540" s="2" t="s">
        <v>695</v>
      </c>
      <c r="V540" s="9" t="s">
        <v>2288</v>
      </c>
      <c r="W540">
        <v>5.1260823891404E+43</v>
      </c>
      <c r="X540" t="s">
        <v>46</v>
      </c>
      <c r="Y540" s="2" t="s">
        <v>717</v>
      </c>
      <c r="Z540" s="2" t="s">
        <v>718</v>
      </c>
      <c r="AA540" s="9" t="s">
        <v>715</v>
      </c>
      <c r="AC540" s="2"/>
      <c r="AD540" t="s">
        <v>7</v>
      </c>
      <c r="AE540" t="s">
        <v>2289</v>
      </c>
    </row>
    <row r="541" spans="1:31" x14ac:dyDescent="0.3">
      <c r="A541" s="17">
        <v>90739624000118</v>
      </c>
      <c r="B541" t="s">
        <v>49</v>
      </c>
      <c r="C541">
        <v>25076</v>
      </c>
      <c r="D541" t="s">
        <v>316</v>
      </c>
      <c r="E541" t="s">
        <v>2</v>
      </c>
      <c r="F541">
        <v>269308</v>
      </c>
      <c r="G541" s="1" t="s">
        <v>2290</v>
      </c>
      <c r="H541">
        <v>24874036</v>
      </c>
      <c r="I541">
        <v>162962</v>
      </c>
      <c r="J541" t="s">
        <v>51</v>
      </c>
      <c r="K541" s="17">
        <v>2763612000161</v>
      </c>
      <c r="L541" s="17">
        <v>90739624003133</v>
      </c>
      <c r="M541" s="9">
        <v>335.04</v>
      </c>
      <c r="N541" t="s">
        <v>43</v>
      </c>
      <c r="Q541" s="2"/>
      <c r="R541" s="9"/>
      <c r="S541" t="s">
        <v>44</v>
      </c>
      <c r="T541" t="s">
        <v>45</v>
      </c>
      <c r="U541" s="2" t="s">
        <v>695</v>
      </c>
      <c r="V541" s="9" t="s">
        <v>2291</v>
      </c>
      <c r="W541">
        <v>4.1260802763612002E+43</v>
      </c>
      <c r="X541" t="s">
        <v>46</v>
      </c>
      <c r="Y541" s="2" t="s">
        <v>717</v>
      </c>
      <c r="Z541" s="2" t="s">
        <v>718</v>
      </c>
      <c r="AA541" s="9" t="s">
        <v>715</v>
      </c>
      <c r="AC541" s="2"/>
      <c r="AD541" t="s">
        <v>7</v>
      </c>
      <c r="AE541" t="s">
        <v>2292</v>
      </c>
    </row>
    <row r="542" spans="1:31" x14ac:dyDescent="0.3">
      <c r="A542" s="17">
        <v>90739624000118</v>
      </c>
      <c r="B542" t="s">
        <v>8</v>
      </c>
      <c r="C542">
        <v>24755</v>
      </c>
      <c r="D542" t="s">
        <v>378</v>
      </c>
      <c r="E542" t="s">
        <v>2</v>
      </c>
      <c r="F542">
        <v>269308</v>
      </c>
      <c r="G542" s="1" t="s">
        <v>2293</v>
      </c>
      <c r="H542">
        <v>24874031</v>
      </c>
      <c r="I542">
        <v>6373</v>
      </c>
      <c r="J542" t="s">
        <v>221</v>
      </c>
      <c r="K542" s="17">
        <v>8810726000100</v>
      </c>
      <c r="L542" s="17">
        <v>9576274000106</v>
      </c>
      <c r="M542" s="9">
        <v>437.87</v>
      </c>
      <c r="N542" t="s">
        <v>43</v>
      </c>
      <c r="Q542" s="2"/>
      <c r="R542" s="9"/>
      <c r="S542" t="s">
        <v>44</v>
      </c>
      <c r="T542" t="s">
        <v>45</v>
      </c>
      <c r="U542" s="2" t="s">
        <v>695</v>
      </c>
      <c r="V542" s="9" t="s">
        <v>2294</v>
      </c>
      <c r="W542">
        <v>4.1260808810725998E+43</v>
      </c>
      <c r="X542" t="s">
        <v>46</v>
      </c>
      <c r="Y542" s="2" t="s">
        <v>717</v>
      </c>
      <c r="Z542" s="2" t="s">
        <v>718</v>
      </c>
      <c r="AA542" s="9" t="s">
        <v>715</v>
      </c>
      <c r="AC542" s="2"/>
      <c r="AD542" t="s">
        <v>7</v>
      </c>
      <c r="AE542" t="s">
        <v>2295</v>
      </c>
    </row>
    <row r="543" spans="1:31" x14ac:dyDescent="0.3">
      <c r="A543" s="17">
        <v>90739624000118</v>
      </c>
      <c r="B543" t="s">
        <v>70</v>
      </c>
      <c r="D543" t="s">
        <v>274</v>
      </c>
      <c r="E543" t="s">
        <v>2</v>
      </c>
      <c r="F543">
        <v>269308</v>
      </c>
      <c r="G543" s="1" t="s">
        <v>2296</v>
      </c>
      <c r="H543">
        <v>24874004</v>
      </c>
      <c r="I543">
        <v>257166</v>
      </c>
      <c r="J543" t="s">
        <v>72</v>
      </c>
      <c r="K543" s="17">
        <v>79964177000168</v>
      </c>
      <c r="L543" s="17">
        <v>9576274000106</v>
      </c>
      <c r="M543" s="9">
        <v>229.87</v>
      </c>
      <c r="N543" t="s">
        <v>43</v>
      </c>
      <c r="Q543" s="2"/>
      <c r="R543" s="9"/>
      <c r="S543" t="s">
        <v>44</v>
      </c>
      <c r="T543" t="s">
        <v>45</v>
      </c>
      <c r="U543" s="2" t="s">
        <v>695</v>
      </c>
      <c r="V543" s="9" t="s">
        <v>2297</v>
      </c>
      <c r="W543">
        <v>4.1260879964176998E+43</v>
      </c>
      <c r="X543" t="s">
        <v>46</v>
      </c>
      <c r="Y543" s="2" t="s">
        <v>717</v>
      </c>
      <c r="Z543" s="2" t="s">
        <v>718</v>
      </c>
      <c r="AA543" s="9" t="s">
        <v>715</v>
      </c>
      <c r="AC543" s="2"/>
      <c r="AD543" t="s">
        <v>7</v>
      </c>
      <c r="AE543" t="s">
        <v>2298</v>
      </c>
    </row>
    <row r="544" spans="1:31" x14ac:dyDescent="0.3">
      <c r="A544" s="17">
        <v>90739624000118</v>
      </c>
      <c r="B544" t="s">
        <v>36</v>
      </c>
      <c r="D544" t="s">
        <v>541</v>
      </c>
      <c r="E544" t="s">
        <v>2</v>
      </c>
      <c r="F544">
        <v>269308</v>
      </c>
      <c r="G544" s="1" t="s">
        <v>2299</v>
      </c>
      <c r="H544">
        <v>24873599</v>
      </c>
      <c r="I544">
        <v>4165</v>
      </c>
      <c r="J544" t="s">
        <v>186</v>
      </c>
      <c r="K544" s="17">
        <v>7822636000168</v>
      </c>
      <c r="L544" s="17">
        <v>90739624004458</v>
      </c>
      <c r="M544" s="9">
        <v>328.25</v>
      </c>
      <c r="N544" t="s">
        <v>43</v>
      </c>
      <c r="Q544" s="2"/>
      <c r="R544" s="9"/>
      <c r="S544" t="s">
        <v>44</v>
      </c>
      <c r="T544" t="s">
        <v>45</v>
      </c>
      <c r="U544" s="2" t="s">
        <v>695</v>
      </c>
      <c r="V544" s="9" t="s">
        <v>2301</v>
      </c>
      <c r="W544">
        <v>5.3260807822636003E+43</v>
      </c>
      <c r="X544" t="s">
        <v>46</v>
      </c>
      <c r="Y544" s="2" t="s">
        <v>717</v>
      </c>
      <c r="Z544" s="2" t="s">
        <v>718</v>
      </c>
      <c r="AA544" s="9" t="s">
        <v>715</v>
      </c>
      <c r="AC544" s="2"/>
      <c r="AD544" t="s">
        <v>7</v>
      </c>
      <c r="AE544" t="s">
        <v>2302</v>
      </c>
    </row>
    <row r="545" spans="1:31" x14ac:dyDescent="0.3">
      <c r="A545" s="17">
        <v>90739624000118</v>
      </c>
      <c r="B545" t="s">
        <v>61</v>
      </c>
      <c r="D545" t="s">
        <v>218</v>
      </c>
      <c r="E545" t="s">
        <v>2</v>
      </c>
      <c r="F545">
        <v>269308</v>
      </c>
      <c r="G545" s="1" t="s">
        <v>2303</v>
      </c>
      <c r="H545">
        <v>24873422</v>
      </c>
      <c r="I545">
        <v>2515</v>
      </c>
      <c r="J545" t="s">
        <v>85</v>
      </c>
      <c r="K545" s="17">
        <v>1975878000105</v>
      </c>
      <c r="L545" s="17">
        <v>9576274000106</v>
      </c>
      <c r="M545" s="9">
        <v>475.97</v>
      </c>
      <c r="N545" t="s">
        <v>43</v>
      </c>
      <c r="Q545" s="2"/>
      <c r="R545" s="9"/>
      <c r="S545" t="s">
        <v>44</v>
      </c>
      <c r="T545" t="s">
        <v>45</v>
      </c>
      <c r="U545" s="2" t="s">
        <v>695</v>
      </c>
      <c r="V545" s="9" t="s">
        <v>2304</v>
      </c>
      <c r="W545">
        <v>4.1260801975878E+43</v>
      </c>
      <c r="X545" t="s">
        <v>46</v>
      </c>
      <c r="Y545" s="2" t="s">
        <v>717</v>
      </c>
      <c r="Z545" s="2" t="s">
        <v>718</v>
      </c>
      <c r="AA545" s="9" t="s">
        <v>715</v>
      </c>
      <c r="AC545" s="2"/>
      <c r="AD545" t="s">
        <v>7</v>
      </c>
      <c r="AE545" t="s">
        <v>2305</v>
      </c>
    </row>
    <row r="546" spans="1:31" x14ac:dyDescent="0.3">
      <c r="A546" s="17">
        <v>90739624000118</v>
      </c>
      <c r="B546" t="s">
        <v>28</v>
      </c>
      <c r="D546" t="s">
        <v>224</v>
      </c>
      <c r="E546" t="s">
        <v>2</v>
      </c>
      <c r="F546">
        <v>269308</v>
      </c>
      <c r="G546" s="1" t="s">
        <v>2306</v>
      </c>
      <c r="H546">
        <v>24873402</v>
      </c>
      <c r="I546">
        <v>81277</v>
      </c>
      <c r="J546" t="s">
        <v>48</v>
      </c>
      <c r="K546" s="17">
        <v>1272434001002</v>
      </c>
      <c r="L546" s="17">
        <v>90739624001947</v>
      </c>
      <c r="M546" s="9">
        <v>311.42</v>
      </c>
      <c r="N546" t="s">
        <v>43</v>
      </c>
      <c r="Q546" s="2"/>
      <c r="R546" s="9"/>
      <c r="S546" t="s">
        <v>44</v>
      </c>
      <c r="T546" t="s">
        <v>45</v>
      </c>
      <c r="U546" s="2" t="s">
        <v>695</v>
      </c>
      <c r="V546" s="9" t="s">
        <v>2307</v>
      </c>
      <c r="W546">
        <v>5.2260801272433996E+43</v>
      </c>
      <c r="X546" t="s">
        <v>46</v>
      </c>
      <c r="Y546" s="2" t="s">
        <v>717</v>
      </c>
      <c r="Z546" s="2" t="s">
        <v>718</v>
      </c>
      <c r="AA546" s="9" t="s">
        <v>715</v>
      </c>
      <c r="AC546" s="2"/>
      <c r="AD546" t="s">
        <v>7</v>
      </c>
      <c r="AE546" t="s">
        <v>2308</v>
      </c>
    </row>
    <row r="547" spans="1:31" x14ac:dyDescent="0.3">
      <c r="A547" s="17">
        <v>90739624000118</v>
      </c>
      <c r="B547" t="s">
        <v>25</v>
      </c>
      <c r="D547" t="s">
        <v>563</v>
      </c>
      <c r="E547" t="s">
        <v>2</v>
      </c>
      <c r="F547">
        <v>269308</v>
      </c>
      <c r="G547" s="1" t="s">
        <v>2309</v>
      </c>
      <c r="H547">
        <v>24873197</v>
      </c>
      <c r="I547">
        <v>342279</v>
      </c>
      <c r="J547" t="s">
        <v>236</v>
      </c>
      <c r="K547" s="17">
        <v>17084739000121</v>
      </c>
      <c r="L547" s="17">
        <v>90739624001866</v>
      </c>
      <c r="M547" s="9">
        <v>110.7</v>
      </c>
      <c r="N547" t="s">
        <v>43</v>
      </c>
      <c r="Q547" s="2"/>
      <c r="R547" s="9"/>
      <c r="S547" t="s">
        <v>44</v>
      </c>
      <c r="T547" t="s">
        <v>45</v>
      </c>
      <c r="U547" s="2" t="s">
        <v>695</v>
      </c>
      <c r="V547" s="9" t="s">
        <v>2310</v>
      </c>
      <c r="W547">
        <v>5.1260817084738999E+43</v>
      </c>
      <c r="X547" t="s">
        <v>46</v>
      </c>
      <c r="Y547" s="2" t="s">
        <v>717</v>
      </c>
      <c r="Z547" s="2" t="s">
        <v>718</v>
      </c>
      <c r="AA547" s="9" t="s">
        <v>715</v>
      </c>
      <c r="AC547" s="2"/>
      <c r="AD547" t="s">
        <v>7</v>
      </c>
      <c r="AE547" t="s">
        <v>2311</v>
      </c>
    </row>
    <row r="548" spans="1:31" x14ac:dyDescent="0.3">
      <c r="A548" s="17">
        <v>90739624000118</v>
      </c>
      <c r="B548" t="s">
        <v>28</v>
      </c>
      <c r="D548" t="s">
        <v>214</v>
      </c>
      <c r="E548" t="s">
        <v>2</v>
      </c>
      <c r="F548">
        <v>269308</v>
      </c>
      <c r="G548" s="1" t="s">
        <v>2312</v>
      </c>
      <c r="H548">
        <v>24873150</v>
      </c>
      <c r="I548">
        <v>81273</v>
      </c>
      <c r="J548" t="s">
        <v>48</v>
      </c>
      <c r="K548" s="17">
        <v>1272434001002</v>
      </c>
      <c r="L548" s="17">
        <v>90739624001947</v>
      </c>
      <c r="M548" s="9">
        <v>254.07</v>
      </c>
      <c r="N548" t="s">
        <v>43</v>
      </c>
      <c r="Q548" s="2"/>
      <c r="R548" s="9"/>
      <c r="S548" t="s">
        <v>44</v>
      </c>
      <c r="T548" t="s">
        <v>45</v>
      </c>
      <c r="U548" s="2" t="s">
        <v>695</v>
      </c>
      <c r="V548" s="9" t="s">
        <v>2313</v>
      </c>
      <c r="W548">
        <v>5.2260801272433996E+43</v>
      </c>
      <c r="X548" t="s">
        <v>46</v>
      </c>
      <c r="Y548" s="2" t="s">
        <v>717</v>
      </c>
      <c r="Z548" s="2" t="s">
        <v>718</v>
      </c>
      <c r="AA548" s="9" t="s">
        <v>715</v>
      </c>
      <c r="AC548" s="2"/>
      <c r="AD548" t="s">
        <v>7</v>
      </c>
      <c r="AE548" t="s">
        <v>2314</v>
      </c>
    </row>
    <row r="549" spans="1:31" x14ac:dyDescent="0.3">
      <c r="A549" s="17">
        <v>90739624000118</v>
      </c>
      <c r="B549" t="s">
        <v>28</v>
      </c>
      <c r="D549" t="s">
        <v>91</v>
      </c>
      <c r="E549" t="s">
        <v>2</v>
      </c>
      <c r="F549">
        <v>269308</v>
      </c>
      <c r="G549" s="1" t="s">
        <v>2315</v>
      </c>
      <c r="H549">
        <v>24872955</v>
      </c>
      <c r="J549" t="s">
        <v>254</v>
      </c>
      <c r="K549" s="17">
        <v>13759928000104</v>
      </c>
      <c r="L549" s="17"/>
      <c r="M549" s="9">
        <v>201.51</v>
      </c>
      <c r="N549" t="s">
        <v>43</v>
      </c>
      <c r="Q549" s="2"/>
      <c r="R549" s="9"/>
      <c r="S549" t="s">
        <v>87</v>
      </c>
      <c r="U549" s="2"/>
      <c r="V549" s="9"/>
      <c r="X549" t="s">
        <v>88</v>
      </c>
      <c r="Y549" s="2" t="s">
        <v>717</v>
      </c>
      <c r="Z549" s="2" t="s">
        <v>718</v>
      </c>
      <c r="AA549" s="9" t="s">
        <v>715</v>
      </c>
      <c r="AC549" s="2"/>
      <c r="AD549" t="s">
        <v>7</v>
      </c>
    </row>
    <row r="550" spans="1:31" x14ac:dyDescent="0.3">
      <c r="A550" s="17">
        <v>90739624000118</v>
      </c>
      <c r="B550" t="s">
        <v>40</v>
      </c>
      <c r="C550">
        <v>24143</v>
      </c>
      <c r="D550" t="s">
        <v>232</v>
      </c>
      <c r="E550" t="s">
        <v>2</v>
      </c>
      <c r="F550">
        <v>269308</v>
      </c>
      <c r="G550" s="1" t="s">
        <v>2317</v>
      </c>
      <c r="H550">
        <v>24872829</v>
      </c>
      <c r="I550">
        <v>168403</v>
      </c>
      <c r="J550" t="s">
        <v>42</v>
      </c>
      <c r="K550" s="17">
        <v>82156977000248</v>
      </c>
      <c r="L550" s="17">
        <v>90739624001432</v>
      </c>
      <c r="M550" s="9">
        <v>261.14999999999998</v>
      </c>
      <c r="N550" t="s">
        <v>43</v>
      </c>
      <c r="Q550" s="2"/>
      <c r="R550" s="9"/>
      <c r="S550" t="s">
        <v>44</v>
      </c>
      <c r="T550" t="s">
        <v>45</v>
      </c>
      <c r="U550" s="2" t="s">
        <v>695</v>
      </c>
      <c r="V550" s="9" t="s">
        <v>2318</v>
      </c>
      <c r="W550">
        <v>4.2260882156977001E+43</v>
      </c>
      <c r="X550" t="s">
        <v>46</v>
      </c>
      <c r="Y550" s="2" t="s">
        <v>717</v>
      </c>
      <c r="Z550" s="2" t="s">
        <v>718</v>
      </c>
      <c r="AA550" s="9" t="s">
        <v>715</v>
      </c>
      <c r="AC550" s="2"/>
      <c r="AD550" t="s">
        <v>7</v>
      </c>
      <c r="AE550" t="s">
        <v>2319</v>
      </c>
    </row>
    <row r="551" spans="1:31" x14ac:dyDescent="0.3">
      <c r="A551" s="17">
        <v>90739624000118</v>
      </c>
      <c r="B551" t="s">
        <v>65</v>
      </c>
      <c r="C551">
        <v>26248</v>
      </c>
      <c r="D551" t="s">
        <v>226</v>
      </c>
      <c r="E551" t="s">
        <v>17</v>
      </c>
      <c r="F551">
        <v>269308</v>
      </c>
      <c r="G551" s="1" t="s">
        <v>2320</v>
      </c>
      <c r="H551">
        <v>24872615</v>
      </c>
      <c r="I551">
        <v>75286</v>
      </c>
      <c r="J551" t="s">
        <v>67</v>
      </c>
      <c r="K551" s="17">
        <v>7473735006031</v>
      </c>
      <c r="L551" s="17">
        <v>90739624002323</v>
      </c>
      <c r="M551" s="9">
        <v>33.840000000000003</v>
      </c>
      <c r="N551" t="s">
        <v>43</v>
      </c>
      <c r="Q551" s="2"/>
      <c r="R551" s="9"/>
      <c r="S551" t="s">
        <v>44</v>
      </c>
      <c r="T551" t="s">
        <v>45</v>
      </c>
      <c r="U551" s="2" t="s">
        <v>695</v>
      </c>
      <c r="V551" s="9" t="s">
        <v>2321</v>
      </c>
      <c r="W551">
        <v>4.3260807473734999E+43</v>
      </c>
      <c r="X551" t="s">
        <v>46</v>
      </c>
      <c r="Y551" s="2" t="s">
        <v>717</v>
      </c>
      <c r="Z551" s="2" t="s">
        <v>718</v>
      </c>
      <c r="AA551" s="9" t="s">
        <v>715</v>
      </c>
      <c r="AC551" s="2"/>
      <c r="AD551" t="s">
        <v>7</v>
      </c>
      <c r="AE551" t="s">
        <v>2322</v>
      </c>
    </row>
    <row r="552" spans="1:31" x14ac:dyDescent="0.3">
      <c r="A552" s="17">
        <v>90739624000118</v>
      </c>
      <c r="B552" t="s">
        <v>58</v>
      </c>
      <c r="C552">
        <v>21635</v>
      </c>
      <c r="D552" t="s">
        <v>457</v>
      </c>
      <c r="E552" t="s">
        <v>2</v>
      </c>
      <c r="F552">
        <v>269308</v>
      </c>
      <c r="G552" s="1" t="s">
        <v>2323</v>
      </c>
      <c r="H552">
        <v>24872613</v>
      </c>
      <c r="I552">
        <v>65118</v>
      </c>
      <c r="J552" t="s">
        <v>626</v>
      </c>
      <c r="K552" s="17">
        <v>7473735004845</v>
      </c>
      <c r="L552" s="17">
        <v>90739624002323</v>
      </c>
      <c r="M552" s="9">
        <v>616.35</v>
      </c>
      <c r="N552" t="s">
        <v>43</v>
      </c>
      <c r="Q552" s="2"/>
      <c r="R552" s="9"/>
      <c r="S552" t="s">
        <v>44</v>
      </c>
      <c r="T552" t="s">
        <v>45</v>
      </c>
      <c r="U552" s="2" t="s">
        <v>695</v>
      </c>
      <c r="V552" s="9" t="s">
        <v>2324</v>
      </c>
      <c r="W552">
        <v>4.3260807473734999E+43</v>
      </c>
      <c r="X552" t="s">
        <v>46</v>
      </c>
      <c r="Y552" s="2" t="s">
        <v>717</v>
      </c>
      <c r="Z552" s="2" t="s">
        <v>718</v>
      </c>
      <c r="AA552" s="9" t="s">
        <v>715</v>
      </c>
      <c r="AC552" s="2"/>
      <c r="AD552" t="s">
        <v>7</v>
      </c>
      <c r="AE552" t="s">
        <v>2325</v>
      </c>
    </row>
    <row r="553" spans="1:31" x14ac:dyDescent="0.3">
      <c r="A553" s="17">
        <v>90739624000118</v>
      </c>
      <c r="B553" t="s">
        <v>65</v>
      </c>
      <c r="C553">
        <v>26248</v>
      </c>
      <c r="D553" t="s">
        <v>226</v>
      </c>
      <c r="E553" t="s">
        <v>2</v>
      </c>
      <c r="F553">
        <v>269308</v>
      </c>
      <c r="G553" s="1" t="s">
        <v>2326</v>
      </c>
      <c r="H553">
        <v>24872587</v>
      </c>
      <c r="I553">
        <v>75284</v>
      </c>
      <c r="J553" t="s">
        <v>67</v>
      </c>
      <c r="K553" s="17">
        <v>7473735006031</v>
      </c>
      <c r="L553" s="17">
        <v>90739624002323</v>
      </c>
      <c r="M553" s="9">
        <v>667.94</v>
      </c>
      <c r="N553" t="s">
        <v>43</v>
      </c>
      <c r="Q553" s="2"/>
      <c r="R553" s="9"/>
      <c r="S553" t="s">
        <v>44</v>
      </c>
      <c r="T553" t="s">
        <v>45</v>
      </c>
      <c r="U553" s="2" t="s">
        <v>695</v>
      </c>
      <c r="V553" s="9" t="s">
        <v>2327</v>
      </c>
      <c r="W553">
        <v>4.3260807473734999E+43</v>
      </c>
      <c r="X553" t="s">
        <v>46</v>
      </c>
      <c r="Y553" s="2" t="s">
        <v>717</v>
      </c>
      <c r="Z553" s="2" t="s">
        <v>718</v>
      </c>
      <c r="AA553" s="9" t="s">
        <v>715</v>
      </c>
      <c r="AC553" s="2"/>
      <c r="AD553" t="s">
        <v>7</v>
      </c>
      <c r="AE553" t="s">
        <v>2328</v>
      </c>
    </row>
    <row r="554" spans="1:31" x14ac:dyDescent="0.3">
      <c r="A554" s="17">
        <v>90739624000118</v>
      </c>
      <c r="B554" t="s">
        <v>49</v>
      </c>
      <c r="D554" t="s">
        <v>317</v>
      </c>
      <c r="E554" t="s">
        <v>2</v>
      </c>
      <c r="F554">
        <v>269308</v>
      </c>
      <c r="G554" s="1" t="s">
        <v>2329</v>
      </c>
      <c r="H554">
        <v>24872494</v>
      </c>
      <c r="I554">
        <v>162955</v>
      </c>
      <c r="J554" t="s">
        <v>51</v>
      </c>
      <c r="K554" s="17">
        <v>2763612000161</v>
      </c>
      <c r="L554" s="17">
        <v>90739624003133</v>
      </c>
      <c r="M554" s="9">
        <v>322.08</v>
      </c>
      <c r="N554" t="s">
        <v>43</v>
      </c>
      <c r="Q554" s="2"/>
      <c r="R554" s="9"/>
      <c r="S554" t="s">
        <v>44</v>
      </c>
      <c r="T554" t="s">
        <v>45</v>
      </c>
      <c r="U554" s="2" t="s">
        <v>695</v>
      </c>
      <c r="V554" s="9" t="s">
        <v>2330</v>
      </c>
      <c r="W554">
        <v>4.1260802763612002E+43</v>
      </c>
      <c r="X554" t="s">
        <v>46</v>
      </c>
      <c r="Y554" s="2" t="s">
        <v>717</v>
      </c>
      <c r="Z554" s="2" t="s">
        <v>718</v>
      </c>
      <c r="AA554" s="9" t="s">
        <v>715</v>
      </c>
      <c r="AC554" s="2"/>
      <c r="AD554" t="s">
        <v>7</v>
      </c>
      <c r="AE554" t="s">
        <v>2331</v>
      </c>
    </row>
    <row r="555" spans="1:31" x14ac:dyDescent="0.3">
      <c r="A555" s="17">
        <v>90739624000118</v>
      </c>
      <c r="B555" t="s">
        <v>49</v>
      </c>
      <c r="D555" t="s">
        <v>225</v>
      </c>
      <c r="E555" t="s">
        <v>2</v>
      </c>
      <c r="F555">
        <v>269308</v>
      </c>
      <c r="G555" s="1" t="s">
        <v>2332</v>
      </c>
      <c r="H555">
        <v>24872435</v>
      </c>
      <c r="I555">
        <v>162953</v>
      </c>
      <c r="J555" t="s">
        <v>51</v>
      </c>
      <c r="K555" s="17">
        <v>2763612000161</v>
      </c>
      <c r="L555" s="17">
        <v>90739624003133</v>
      </c>
      <c r="M555" s="9">
        <v>247.85</v>
      </c>
      <c r="N555" t="s">
        <v>43</v>
      </c>
      <c r="Q555" s="2"/>
      <c r="R555" s="9"/>
      <c r="S555" t="s">
        <v>44</v>
      </c>
      <c r="T555" t="s">
        <v>45</v>
      </c>
      <c r="U555" s="2" t="s">
        <v>695</v>
      </c>
      <c r="V555" s="9" t="s">
        <v>2333</v>
      </c>
      <c r="W555">
        <v>4.1260802763612002E+43</v>
      </c>
      <c r="X555" t="s">
        <v>46</v>
      </c>
      <c r="Y555" s="2" t="s">
        <v>717</v>
      </c>
      <c r="Z555" s="2" t="s">
        <v>718</v>
      </c>
      <c r="AA555" s="9" t="s">
        <v>715</v>
      </c>
      <c r="AC555" s="2"/>
      <c r="AD555" t="s">
        <v>7</v>
      </c>
      <c r="AE555" t="s">
        <v>2334</v>
      </c>
    </row>
    <row r="556" spans="1:31" x14ac:dyDescent="0.3">
      <c r="A556" s="17">
        <v>90739624000118</v>
      </c>
      <c r="B556" t="s">
        <v>63</v>
      </c>
      <c r="C556">
        <v>26140</v>
      </c>
      <c r="D556" t="s">
        <v>195</v>
      </c>
      <c r="E556" t="s">
        <v>2</v>
      </c>
      <c r="F556">
        <v>269308</v>
      </c>
      <c r="G556" s="1" t="s">
        <v>2335</v>
      </c>
      <c r="H556">
        <v>24872425</v>
      </c>
      <c r="I556">
        <v>59108</v>
      </c>
      <c r="J556" t="s">
        <v>919</v>
      </c>
      <c r="K556" s="17">
        <v>20630766000167</v>
      </c>
      <c r="L556" s="17">
        <v>90739624001432</v>
      </c>
      <c r="M556" s="9">
        <v>138.15</v>
      </c>
      <c r="N556" t="s">
        <v>43</v>
      </c>
      <c r="Q556" s="2"/>
      <c r="R556" s="9"/>
      <c r="S556" t="s">
        <v>44</v>
      </c>
      <c r="T556" t="s">
        <v>45</v>
      </c>
      <c r="U556" s="2" t="s">
        <v>695</v>
      </c>
      <c r="V556" s="9" t="s">
        <v>2336</v>
      </c>
      <c r="W556">
        <v>4.2260820630766001E+43</v>
      </c>
      <c r="X556" t="s">
        <v>46</v>
      </c>
      <c r="Y556" s="2" t="s">
        <v>717</v>
      </c>
      <c r="Z556" s="2" t="s">
        <v>718</v>
      </c>
      <c r="AA556" s="9" t="s">
        <v>715</v>
      </c>
      <c r="AC556" s="2"/>
      <c r="AD556" t="s">
        <v>7</v>
      </c>
      <c r="AE556" t="s">
        <v>2337</v>
      </c>
    </row>
    <row r="557" spans="1:31" x14ac:dyDescent="0.3">
      <c r="A557" s="17">
        <v>90739624000118</v>
      </c>
      <c r="B557" t="s">
        <v>49</v>
      </c>
      <c r="D557" t="s">
        <v>50</v>
      </c>
      <c r="E557" t="s">
        <v>2</v>
      </c>
      <c r="F557">
        <v>269308</v>
      </c>
      <c r="G557" s="1" t="s">
        <v>2338</v>
      </c>
      <c r="H557">
        <v>24872039</v>
      </c>
      <c r="I557">
        <v>162952</v>
      </c>
      <c r="J557" t="s">
        <v>51</v>
      </c>
      <c r="K557" s="17">
        <v>2763612000161</v>
      </c>
      <c r="L557" s="17">
        <v>90739624003133</v>
      </c>
      <c r="M557" s="9">
        <v>338.57</v>
      </c>
      <c r="N557" t="s">
        <v>43</v>
      </c>
      <c r="Q557" s="2"/>
      <c r="R557" s="9"/>
      <c r="S557" t="s">
        <v>44</v>
      </c>
      <c r="T557" t="s">
        <v>45</v>
      </c>
      <c r="U557" s="2" t="s">
        <v>695</v>
      </c>
      <c r="V557" s="9" t="s">
        <v>2339</v>
      </c>
      <c r="W557">
        <v>4.1260802763612002E+43</v>
      </c>
      <c r="X557" t="s">
        <v>46</v>
      </c>
      <c r="Y557" s="2" t="s">
        <v>717</v>
      </c>
      <c r="Z557" s="2" t="s">
        <v>718</v>
      </c>
      <c r="AA557" s="9" t="s">
        <v>715</v>
      </c>
      <c r="AC557" s="2"/>
      <c r="AD557" t="s">
        <v>7</v>
      </c>
      <c r="AE557" t="s">
        <v>2340</v>
      </c>
    </row>
    <row r="558" spans="1:31" x14ac:dyDescent="0.3">
      <c r="A558" s="17">
        <v>90739624000118</v>
      </c>
      <c r="B558" t="s">
        <v>100</v>
      </c>
      <c r="D558" t="s">
        <v>101</v>
      </c>
      <c r="E558" t="s">
        <v>2</v>
      </c>
      <c r="F558">
        <v>269308</v>
      </c>
      <c r="G558" s="1" t="s">
        <v>2341</v>
      </c>
      <c r="H558">
        <v>24872013</v>
      </c>
      <c r="I558">
        <v>52957</v>
      </c>
      <c r="J558" t="s">
        <v>486</v>
      </c>
      <c r="K558" s="17">
        <v>58446194000133</v>
      </c>
      <c r="L558" s="17">
        <v>90739624001947</v>
      </c>
      <c r="M558" s="9">
        <v>432.26</v>
      </c>
      <c r="N558" t="s">
        <v>43</v>
      </c>
      <c r="Q558" s="2"/>
      <c r="R558" s="9"/>
      <c r="S558" t="s">
        <v>44</v>
      </c>
      <c r="T558" t="s">
        <v>45</v>
      </c>
      <c r="U558" s="2" t="s">
        <v>695</v>
      </c>
      <c r="V558" s="9" t="s">
        <v>2342</v>
      </c>
      <c r="W558">
        <v>5.2260858446193998E+43</v>
      </c>
      <c r="X558" t="s">
        <v>46</v>
      </c>
      <c r="Y558" s="2" t="s">
        <v>717</v>
      </c>
      <c r="Z558" s="2" t="s">
        <v>718</v>
      </c>
      <c r="AA558" s="9" t="s">
        <v>715</v>
      </c>
      <c r="AC558" s="2"/>
      <c r="AD558" t="s">
        <v>7</v>
      </c>
      <c r="AE558" t="s">
        <v>2343</v>
      </c>
    </row>
    <row r="559" spans="1:31" x14ac:dyDescent="0.3">
      <c r="A559" s="17">
        <v>90739624000118</v>
      </c>
      <c r="B559" t="s">
        <v>61</v>
      </c>
      <c r="D559" t="s">
        <v>2344</v>
      </c>
      <c r="E559" t="s">
        <v>2</v>
      </c>
      <c r="F559">
        <v>269308</v>
      </c>
      <c r="G559" s="1" t="s">
        <v>2345</v>
      </c>
      <c r="H559">
        <v>24872012</v>
      </c>
      <c r="I559">
        <v>2514</v>
      </c>
      <c r="J559" t="s">
        <v>85</v>
      </c>
      <c r="K559" s="17">
        <v>1975878000105</v>
      </c>
      <c r="L559" s="17">
        <v>9576274000106</v>
      </c>
      <c r="M559" s="9">
        <v>509.3</v>
      </c>
      <c r="N559" t="s">
        <v>43</v>
      </c>
      <c r="Q559" s="2"/>
      <c r="R559" s="9"/>
      <c r="S559" t="s">
        <v>44</v>
      </c>
      <c r="T559" t="s">
        <v>45</v>
      </c>
      <c r="U559" s="2" t="s">
        <v>695</v>
      </c>
      <c r="V559" s="9" t="s">
        <v>2346</v>
      </c>
      <c r="W559">
        <v>4.1260801975878E+43</v>
      </c>
      <c r="X559" t="s">
        <v>46</v>
      </c>
      <c r="Y559" s="2" t="s">
        <v>717</v>
      </c>
      <c r="Z559" s="2" t="s">
        <v>718</v>
      </c>
      <c r="AA559" s="9" t="s">
        <v>715</v>
      </c>
      <c r="AC559" s="2"/>
      <c r="AD559" t="s">
        <v>7</v>
      </c>
      <c r="AE559" t="s">
        <v>2347</v>
      </c>
    </row>
    <row r="560" spans="1:31" x14ac:dyDescent="0.3">
      <c r="A560" s="17">
        <v>90739624000118</v>
      </c>
      <c r="B560" t="s">
        <v>28</v>
      </c>
      <c r="D560" t="s">
        <v>483</v>
      </c>
      <c r="E560" t="s">
        <v>2</v>
      </c>
      <c r="F560">
        <v>269308</v>
      </c>
      <c r="G560" s="1" t="s">
        <v>2348</v>
      </c>
      <c r="H560">
        <v>24871974</v>
      </c>
      <c r="I560">
        <v>81271</v>
      </c>
      <c r="J560" t="s">
        <v>48</v>
      </c>
      <c r="K560" s="17">
        <v>1272434001002</v>
      </c>
      <c r="L560" s="17">
        <v>90739624001947</v>
      </c>
      <c r="M560" s="9">
        <v>162.74</v>
      </c>
      <c r="N560" t="s">
        <v>43</v>
      </c>
      <c r="Q560" s="2"/>
      <c r="R560" s="9"/>
      <c r="S560" t="s">
        <v>44</v>
      </c>
      <c r="T560" t="s">
        <v>45</v>
      </c>
      <c r="U560" s="2" t="s">
        <v>695</v>
      </c>
      <c r="V560" s="9" t="s">
        <v>2349</v>
      </c>
      <c r="W560">
        <v>5.2260801272433996E+43</v>
      </c>
      <c r="X560" t="s">
        <v>46</v>
      </c>
      <c r="Y560" s="2" t="s">
        <v>717</v>
      </c>
      <c r="Z560" s="2" t="s">
        <v>718</v>
      </c>
      <c r="AA560" s="9" t="s">
        <v>715</v>
      </c>
      <c r="AC560" s="2"/>
      <c r="AD560" t="s">
        <v>7</v>
      </c>
      <c r="AE560" t="s">
        <v>2350</v>
      </c>
    </row>
    <row r="561" spans="1:31" x14ac:dyDescent="0.3">
      <c r="A561" s="17">
        <v>90739624000118</v>
      </c>
      <c r="B561" t="s">
        <v>52</v>
      </c>
      <c r="C561">
        <v>21636</v>
      </c>
      <c r="D561" t="s">
        <v>326</v>
      </c>
      <c r="E561" t="s">
        <v>2</v>
      </c>
      <c r="F561">
        <v>269308</v>
      </c>
      <c r="G561" s="1" t="s">
        <v>2351</v>
      </c>
      <c r="H561">
        <v>24871908</v>
      </c>
      <c r="I561">
        <v>20210</v>
      </c>
      <c r="J561" t="s">
        <v>54</v>
      </c>
      <c r="K561" s="17">
        <v>79130647000198</v>
      </c>
      <c r="L561" s="17">
        <v>9576274000106</v>
      </c>
      <c r="M561" s="9">
        <v>666.33</v>
      </c>
      <c r="N561" t="s">
        <v>43</v>
      </c>
      <c r="Q561" s="2"/>
      <c r="R561" s="9"/>
      <c r="S561" t="s">
        <v>44</v>
      </c>
      <c r="T561" t="s">
        <v>45</v>
      </c>
      <c r="U561" s="2" t="s">
        <v>695</v>
      </c>
      <c r="V561" s="9" t="s">
        <v>2352</v>
      </c>
      <c r="W561">
        <v>4.1260879130646998E+43</v>
      </c>
      <c r="X561" t="s">
        <v>46</v>
      </c>
      <c r="Y561" s="2" t="s">
        <v>717</v>
      </c>
      <c r="Z561" s="2" t="s">
        <v>718</v>
      </c>
      <c r="AA561" s="9" t="s">
        <v>715</v>
      </c>
      <c r="AC561" s="2"/>
      <c r="AD561" t="s">
        <v>7</v>
      </c>
      <c r="AE561" t="s">
        <v>2353</v>
      </c>
    </row>
    <row r="562" spans="1:31" x14ac:dyDescent="0.3">
      <c r="A562" s="17">
        <v>90739624000118</v>
      </c>
      <c r="B562" t="s">
        <v>28</v>
      </c>
      <c r="D562" t="s">
        <v>511</v>
      </c>
      <c r="E562" t="s">
        <v>2</v>
      </c>
      <c r="F562">
        <v>269308</v>
      </c>
      <c r="G562" s="1" t="s">
        <v>2354</v>
      </c>
      <c r="H562">
        <v>24871882</v>
      </c>
      <c r="I562">
        <v>113080</v>
      </c>
      <c r="J562" t="s">
        <v>29</v>
      </c>
      <c r="K562" s="17">
        <v>47377960000139</v>
      </c>
      <c r="L562" s="17">
        <v>90739624001947</v>
      </c>
      <c r="M562" s="9">
        <v>101.9</v>
      </c>
      <c r="N562" t="s">
        <v>43</v>
      </c>
      <c r="Q562" s="2"/>
      <c r="R562" s="9"/>
      <c r="S562" t="s">
        <v>44</v>
      </c>
      <c r="T562" t="s">
        <v>45</v>
      </c>
      <c r="U562" s="2" t="s">
        <v>695</v>
      </c>
      <c r="V562" s="9" t="s">
        <v>2356</v>
      </c>
      <c r="W562">
        <v>5.2260847377959996E+43</v>
      </c>
      <c r="X562" t="s">
        <v>46</v>
      </c>
      <c r="Y562" s="2" t="s">
        <v>717</v>
      </c>
      <c r="Z562" s="2" t="s">
        <v>718</v>
      </c>
      <c r="AA562" s="9" t="s">
        <v>715</v>
      </c>
      <c r="AC562" s="2"/>
      <c r="AD562" t="s">
        <v>7</v>
      </c>
      <c r="AE562" t="s">
        <v>2357</v>
      </c>
    </row>
    <row r="563" spans="1:31" x14ac:dyDescent="0.3">
      <c r="A563" s="17">
        <v>90739624000118</v>
      </c>
      <c r="B563" t="s">
        <v>170</v>
      </c>
      <c r="D563" t="s">
        <v>329</v>
      </c>
      <c r="E563" t="s">
        <v>2</v>
      </c>
      <c r="F563">
        <v>269308</v>
      </c>
      <c r="G563" s="1" t="s">
        <v>2358</v>
      </c>
      <c r="H563">
        <v>24871841</v>
      </c>
      <c r="I563">
        <v>129492</v>
      </c>
      <c r="J563" t="s">
        <v>178</v>
      </c>
      <c r="K563" s="17">
        <v>83392050000199</v>
      </c>
      <c r="L563" s="17">
        <v>90739624001432</v>
      </c>
      <c r="M563" s="9">
        <v>375.79</v>
      </c>
      <c r="N563" t="s">
        <v>43</v>
      </c>
      <c r="Q563" s="2"/>
      <c r="R563" s="9"/>
      <c r="S563" t="s">
        <v>44</v>
      </c>
      <c r="T563" t="s">
        <v>45</v>
      </c>
      <c r="U563" s="2" t="s">
        <v>695</v>
      </c>
      <c r="V563" s="9" t="s">
        <v>2359</v>
      </c>
      <c r="W563">
        <v>4.2260883392050001E+43</v>
      </c>
      <c r="X563" t="s">
        <v>46</v>
      </c>
      <c r="Y563" s="2" t="s">
        <v>717</v>
      </c>
      <c r="Z563" s="2" t="s">
        <v>718</v>
      </c>
      <c r="AA563" s="9" t="s">
        <v>715</v>
      </c>
      <c r="AC563" s="2"/>
      <c r="AD563" t="s">
        <v>7</v>
      </c>
      <c r="AE563" t="s">
        <v>2360</v>
      </c>
    </row>
    <row r="564" spans="1:31" x14ac:dyDescent="0.3">
      <c r="A564" s="17">
        <v>90739624000118</v>
      </c>
      <c r="B564" t="s">
        <v>52</v>
      </c>
      <c r="C564">
        <v>22474</v>
      </c>
      <c r="D564" t="s">
        <v>536</v>
      </c>
      <c r="E564" t="s">
        <v>2</v>
      </c>
      <c r="F564">
        <v>269308</v>
      </c>
      <c r="G564" s="1" t="s">
        <v>2361</v>
      </c>
      <c r="H564">
        <v>24871534</v>
      </c>
      <c r="I564">
        <v>40871</v>
      </c>
      <c r="J564" t="s">
        <v>545</v>
      </c>
      <c r="K564" s="17">
        <v>30429333000282</v>
      </c>
      <c r="L564" s="17">
        <v>9576274000106</v>
      </c>
      <c r="M564" s="9">
        <v>169.53</v>
      </c>
      <c r="N564" t="s">
        <v>43</v>
      </c>
      <c r="Q564" s="2"/>
      <c r="R564" s="9"/>
      <c r="S564" t="s">
        <v>44</v>
      </c>
      <c r="T564" t="s">
        <v>45</v>
      </c>
      <c r="U564" s="2" t="s">
        <v>695</v>
      </c>
      <c r="V564" s="9" t="s">
        <v>2362</v>
      </c>
      <c r="W564">
        <v>4.1260830429333002E+43</v>
      </c>
      <c r="X564" t="s">
        <v>46</v>
      </c>
      <c r="Y564" s="2" t="s">
        <v>717</v>
      </c>
      <c r="Z564" s="2" t="s">
        <v>718</v>
      </c>
      <c r="AA564" s="9" t="s">
        <v>715</v>
      </c>
      <c r="AC564" s="2"/>
      <c r="AD564" t="s">
        <v>7</v>
      </c>
      <c r="AE564" t="s">
        <v>2363</v>
      </c>
    </row>
    <row r="565" spans="1:31" x14ac:dyDescent="0.3">
      <c r="A565" s="17">
        <v>90739624000118</v>
      </c>
      <c r="B565" t="s">
        <v>52</v>
      </c>
      <c r="C565">
        <v>24753</v>
      </c>
      <c r="D565" t="s">
        <v>771</v>
      </c>
      <c r="E565" t="s">
        <v>2</v>
      </c>
      <c r="F565">
        <v>269308</v>
      </c>
      <c r="G565" s="1" t="s">
        <v>2364</v>
      </c>
      <c r="H565">
        <v>24871492</v>
      </c>
      <c r="I565">
        <v>28771</v>
      </c>
      <c r="J565" t="s">
        <v>127</v>
      </c>
      <c r="K565" s="17">
        <v>76493295000147</v>
      </c>
      <c r="L565" s="17">
        <v>9576274000106</v>
      </c>
      <c r="M565" s="9">
        <v>330.36</v>
      </c>
      <c r="N565" t="s">
        <v>43</v>
      </c>
      <c r="Q565" s="2"/>
      <c r="R565" s="9"/>
      <c r="S565" t="s">
        <v>44</v>
      </c>
      <c r="T565" t="s">
        <v>45</v>
      </c>
      <c r="U565" s="2" t="s">
        <v>695</v>
      </c>
      <c r="V565" s="9" t="s">
        <v>2365</v>
      </c>
      <c r="W565">
        <v>4.1260876493295002E+43</v>
      </c>
      <c r="X565" t="s">
        <v>46</v>
      </c>
      <c r="Y565" s="2" t="s">
        <v>717</v>
      </c>
      <c r="Z565" s="2" t="s">
        <v>718</v>
      </c>
      <c r="AA565" s="9" t="s">
        <v>715</v>
      </c>
      <c r="AC565" s="2"/>
      <c r="AD565" t="s">
        <v>7</v>
      </c>
      <c r="AE565" t="s">
        <v>2366</v>
      </c>
    </row>
    <row r="566" spans="1:31" x14ac:dyDescent="0.3">
      <c r="A566" s="17">
        <v>90739624000118</v>
      </c>
      <c r="B566" t="s">
        <v>52</v>
      </c>
      <c r="D566" t="s">
        <v>934</v>
      </c>
      <c r="E566" t="s">
        <v>2</v>
      </c>
      <c r="F566">
        <v>269308</v>
      </c>
      <c r="G566" s="1" t="s">
        <v>2367</v>
      </c>
      <c r="H566">
        <v>24871455</v>
      </c>
      <c r="I566">
        <v>40870</v>
      </c>
      <c r="J566" t="s">
        <v>545</v>
      </c>
      <c r="K566" s="17">
        <v>30429333000282</v>
      </c>
      <c r="L566" s="17">
        <v>9576274000106</v>
      </c>
      <c r="M566" s="9">
        <v>246.12</v>
      </c>
      <c r="N566" t="s">
        <v>43</v>
      </c>
      <c r="Q566" s="2"/>
      <c r="R566" s="9"/>
      <c r="S566" t="s">
        <v>44</v>
      </c>
      <c r="T566" t="s">
        <v>45</v>
      </c>
      <c r="U566" s="2" t="s">
        <v>695</v>
      </c>
      <c r="V566" s="9" t="s">
        <v>2369</v>
      </c>
      <c r="W566">
        <v>4.1260830429333002E+43</v>
      </c>
      <c r="X566" t="s">
        <v>46</v>
      </c>
      <c r="Y566" s="2" t="s">
        <v>717</v>
      </c>
      <c r="Z566" s="2" t="s">
        <v>718</v>
      </c>
      <c r="AA566" s="9" t="s">
        <v>715</v>
      </c>
      <c r="AC566" s="2"/>
      <c r="AD566" t="s">
        <v>7</v>
      </c>
      <c r="AE566" t="s">
        <v>2370</v>
      </c>
    </row>
    <row r="567" spans="1:31" x14ac:dyDescent="0.3">
      <c r="A567" s="17">
        <v>90739624000118</v>
      </c>
      <c r="B567" t="s">
        <v>174</v>
      </c>
      <c r="D567" t="s">
        <v>543</v>
      </c>
      <c r="E567" t="s">
        <v>2</v>
      </c>
      <c r="F567">
        <v>269308</v>
      </c>
      <c r="G567" s="1" t="s">
        <v>2371</v>
      </c>
      <c r="H567">
        <v>24871217</v>
      </c>
      <c r="I567">
        <v>99165</v>
      </c>
      <c r="J567" t="s">
        <v>176</v>
      </c>
      <c r="K567" s="17">
        <v>4219621000111</v>
      </c>
      <c r="L567" s="17">
        <v>90739624000118</v>
      </c>
      <c r="M567" s="9">
        <v>288.02</v>
      </c>
      <c r="N567" t="s">
        <v>43</v>
      </c>
      <c r="Q567" s="2"/>
      <c r="R567" s="9"/>
      <c r="S567" t="s">
        <v>44</v>
      </c>
      <c r="T567" t="s">
        <v>45</v>
      </c>
      <c r="U567" s="2" t="s">
        <v>581</v>
      </c>
      <c r="V567" s="9" t="s">
        <v>2372</v>
      </c>
      <c r="W567">
        <v>1.7260804219621001E+43</v>
      </c>
      <c r="X567" t="s">
        <v>46</v>
      </c>
      <c r="Y567" s="2" t="s">
        <v>717</v>
      </c>
      <c r="Z567" s="2" t="s">
        <v>718</v>
      </c>
      <c r="AA567" s="9" t="s">
        <v>715</v>
      </c>
      <c r="AC567" s="2"/>
      <c r="AD567" t="s">
        <v>7</v>
      </c>
      <c r="AE567" t="s">
        <v>2373</v>
      </c>
    </row>
    <row r="568" spans="1:31" x14ac:dyDescent="0.3">
      <c r="A568" s="17">
        <v>90739624000118</v>
      </c>
      <c r="B568" t="s">
        <v>61</v>
      </c>
      <c r="C568">
        <v>24569</v>
      </c>
      <c r="D568" t="s">
        <v>494</v>
      </c>
      <c r="E568" t="s">
        <v>2</v>
      </c>
      <c r="F568">
        <v>269308</v>
      </c>
      <c r="G568" s="1" t="s">
        <v>2374</v>
      </c>
      <c r="H568">
        <v>24870710</v>
      </c>
      <c r="I568">
        <v>2512</v>
      </c>
      <c r="J568" t="s">
        <v>85</v>
      </c>
      <c r="K568" s="17">
        <v>1975878000105</v>
      </c>
      <c r="L568" s="17">
        <v>9576274000106</v>
      </c>
      <c r="M568" s="9">
        <v>270.73</v>
      </c>
      <c r="N568" t="s">
        <v>43</v>
      </c>
      <c r="Q568" s="2"/>
      <c r="R568" s="9"/>
      <c r="S568" t="s">
        <v>44</v>
      </c>
      <c r="T568" t="s">
        <v>45</v>
      </c>
      <c r="U568" s="2" t="s">
        <v>695</v>
      </c>
      <c r="V568" s="9" t="s">
        <v>2375</v>
      </c>
      <c r="W568">
        <v>4.1260801975878E+43</v>
      </c>
      <c r="X568" t="s">
        <v>46</v>
      </c>
      <c r="Y568" s="2" t="s">
        <v>717</v>
      </c>
      <c r="Z568" s="2" t="s">
        <v>718</v>
      </c>
      <c r="AA568" s="9" t="s">
        <v>715</v>
      </c>
      <c r="AC568" s="2"/>
      <c r="AD568" t="s">
        <v>7</v>
      </c>
      <c r="AE568" t="s">
        <v>2376</v>
      </c>
    </row>
    <row r="569" spans="1:31" x14ac:dyDescent="0.3">
      <c r="A569" s="17">
        <v>90739624000118</v>
      </c>
      <c r="B569" t="s">
        <v>40</v>
      </c>
      <c r="C569">
        <v>26121</v>
      </c>
      <c r="D569" t="s">
        <v>41</v>
      </c>
      <c r="E569" t="s">
        <v>2</v>
      </c>
      <c r="F569">
        <v>269308</v>
      </c>
      <c r="G569" s="1" t="s">
        <v>2377</v>
      </c>
      <c r="H569">
        <v>24870643</v>
      </c>
      <c r="I569">
        <v>168387</v>
      </c>
      <c r="J569" t="s">
        <v>42</v>
      </c>
      <c r="K569" s="17">
        <v>82156977000248</v>
      </c>
      <c r="L569" s="17">
        <v>90739624001432</v>
      </c>
      <c r="M569" s="9">
        <v>199.01</v>
      </c>
      <c r="N569" t="s">
        <v>43</v>
      </c>
      <c r="Q569" s="2"/>
      <c r="R569" s="9"/>
      <c r="S569" t="s">
        <v>44</v>
      </c>
      <c r="T569" t="s">
        <v>45</v>
      </c>
      <c r="U569" s="2" t="s">
        <v>695</v>
      </c>
      <c r="V569" s="9" t="s">
        <v>2378</v>
      </c>
      <c r="W569">
        <v>4.2260882156977001E+43</v>
      </c>
      <c r="X569" t="s">
        <v>46</v>
      </c>
      <c r="Y569" s="2" t="s">
        <v>717</v>
      </c>
      <c r="Z569" s="2" t="s">
        <v>718</v>
      </c>
      <c r="AA569" s="9" t="s">
        <v>715</v>
      </c>
      <c r="AC569" s="2"/>
      <c r="AD569" t="s">
        <v>7</v>
      </c>
      <c r="AE569" t="s">
        <v>2379</v>
      </c>
    </row>
    <row r="570" spans="1:31" x14ac:dyDescent="0.3">
      <c r="A570" s="17">
        <v>90739624000118</v>
      </c>
      <c r="B570" t="s">
        <v>31</v>
      </c>
      <c r="C570">
        <v>22137</v>
      </c>
      <c r="D570" t="s">
        <v>544</v>
      </c>
      <c r="E570" t="s">
        <v>2</v>
      </c>
      <c r="F570">
        <v>269308</v>
      </c>
      <c r="G570" s="1" t="s">
        <v>2380</v>
      </c>
      <c r="H570">
        <v>24870581</v>
      </c>
      <c r="I570">
        <v>54728</v>
      </c>
      <c r="J570" t="s">
        <v>56</v>
      </c>
      <c r="K570" s="17">
        <v>8603562000212</v>
      </c>
      <c r="L570" s="17">
        <v>90739624001866</v>
      </c>
      <c r="M570" s="9">
        <v>71.760000000000005</v>
      </c>
      <c r="N570" t="s">
        <v>43</v>
      </c>
      <c r="Q570" s="2"/>
      <c r="R570" s="9"/>
      <c r="S570" t="s">
        <v>44</v>
      </c>
      <c r="T570" t="s">
        <v>45</v>
      </c>
      <c r="U570" s="2" t="s">
        <v>695</v>
      </c>
      <c r="V570" s="9" t="s">
        <v>2381</v>
      </c>
      <c r="W570">
        <v>5.1260808603562005E+43</v>
      </c>
      <c r="X570" t="s">
        <v>46</v>
      </c>
      <c r="Y570" s="2" t="s">
        <v>717</v>
      </c>
      <c r="Z570" s="2" t="s">
        <v>718</v>
      </c>
      <c r="AA570" s="9" t="s">
        <v>715</v>
      </c>
      <c r="AC570" s="2"/>
      <c r="AD570" t="s">
        <v>7</v>
      </c>
      <c r="AE570" t="s">
        <v>2382</v>
      </c>
    </row>
    <row r="571" spans="1:31" x14ac:dyDescent="0.3">
      <c r="A571" s="17">
        <v>90739624000118</v>
      </c>
      <c r="B571" t="s">
        <v>28</v>
      </c>
      <c r="D571" t="s">
        <v>97</v>
      </c>
      <c r="E571" t="s">
        <v>2</v>
      </c>
      <c r="F571">
        <v>269308</v>
      </c>
      <c r="G571" s="1" t="s">
        <v>2383</v>
      </c>
      <c r="H571">
        <v>24870037</v>
      </c>
      <c r="I571">
        <v>81263</v>
      </c>
      <c r="J571" t="s">
        <v>48</v>
      </c>
      <c r="K571" s="17">
        <v>1272434001002</v>
      </c>
      <c r="L571" s="17">
        <v>90739624001947</v>
      </c>
      <c r="M571" s="9">
        <v>289.98</v>
      </c>
      <c r="N571" t="s">
        <v>43</v>
      </c>
      <c r="Q571" s="2"/>
      <c r="R571" s="9"/>
      <c r="S571" t="s">
        <v>44</v>
      </c>
      <c r="T571" t="s">
        <v>45</v>
      </c>
      <c r="U571" s="2" t="s">
        <v>695</v>
      </c>
      <c r="V571" s="9" t="s">
        <v>2384</v>
      </c>
      <c r="W571">
        <v>5.2260801272433996E+43</v>
      </c>
      <c r="X571" t="s">
        <v>46</v>
      </c>
      <c r="Y571" s="2" t="s">
        <v>717</v>
      </c>
      <c r="Z571" s="2" t="s">
        <v>718</v>
      </c>
      <c r="AA571" s="9" t="s">
        <v>715</v>
      </c>
      <c r="AC571" s="2"/>
      <c r="AD571" t="s">
        <v>7</v>
      </c>
      <c r="AE571" t="s">
        <v>2385</v>
      </c>
    </row>
    <row r="572" spans="1:31" x14ac:dyDescent="0.3">
      <c r="A572" s="17">
        <v>90739624000118</v>
      </c>
      <c r="B572" t="s">
        <v>58</v>
      </c>
      <c r="C572">
        <v>25067</v>
      </c>
      <c r="D572" t="s">
        <v>361</v>
      </c>
      <c r="E572" t="s">
        <v>2</v>
      </c>
      <c r="F572">
        <v>269308</v>
      </c>
      <c r="G572" s="1" t="s">
        <v>2386</v>
      </c>
      <c r="H572">
        <v>24867319</v>
      </c>
      <c r="I572">
        <v>215255</v>
      </c>
      <c r="J572" t="s">
        <v>681</v>
      </c>
      <c r="K572" s="17">
        <v>7473735006465</v>
      </c>
      <c r="L572" s="17">
        <v>90739624002323</v>
      </c>
      <c r="M572" s="9">
        <v>280.29000000000002</v>
      </c>
      <c r="N572" t="s">
        <v>43</v>
      </c>
      <c r="Q572" s="2"/>
      <c r="R572" s="9"/>
      <c r="S572" t="s">
        <v>44</v>
      </c>
      <c r="T572" t="s">
        <v>45</v>
      </c>
      <c r="U572" s="2" t="s">
        <v>695</v>
      </c>
      <c r="V572" s="9" t="s">
        <v>2387</v>
      </c>
      <c r="W572">
        <v>4.3260807473734999E+43</v>
      </c>
      <c r="X572" t="s">
        <v>46</v>
      </c>
      <c r="Y572" s="2" t="s">
        <v>717</v>
      </c>
      <c r="Z572" s="2" t="s">
        <v>718</v>
      </c>
      <c r="AA572" s="9" t="s">
        <v>715</v>
      </c>
      <c r="AC572" s="2"/>
      <c r="AD572" t="s">
        <v>7</v>
      </c>
      <c r="AE572" t="s">
        <v>2388</v>
      </c>
    </row>
    <row r="573" spans="1:31" x14ac:dyDescent="0.3">
      <c r="A573" s="17">
        <v>90739624000118</v>
      </c>
      <c r="B573" t="s">
        <v>61</v>
      </c>
      <c r="C573">
        <v>23457</v>
      </c>
      <c r="D573" t="s">
        <v>357</v>
      </c>
      <c r="E573" t="s">
        <v>2</v>
      </c>
      <c r="F573">
        <v>269308</v>
      </c>
      <c r="G573" s="1" t="s">
        <v>2389</v>
      </c>
      <c r="H573">
        <v>24867174</v>
      </c>
      <c r="I573">
        <v>2511</v>
      </c>
      <c r="J573" t="s">
        <v>85</v>
      </c>
      <c r="K573" s="17">
        <v>1975878000105</v>
      </c>
      <c r="L573" s="17">
        <v>9576274000106</v>
      </c>
      <c r="M573" s="9">
        <v>240.7</v>
      </c>
      <c r="N573" t="s">
        <v>43</v>
      </c>
      <c r="Q573" s="2"/>
      <c r="R573" s="9"/>
      <c r="S573" t="s">
        <v>44</v>
      </c>
      <c r="T573" t="s">
        <v>45</v>
      </c>
      <c r="U573" s="2" t="s">
        <v>695</v>
      </c>
      <c r="V573" s="9" t="s">
        <v>2390</v>
      </c>
      <c r="W573">
        <v>4.1260801975878E+43</v>
      </c>
      <c r="X573" t="s">
        <v>46</v>
      </c>
      <c r="Y573" s="2" t="s">
        <v>717</v>
      </c>
      <c r="Z573" s="2" t="s">
        <v>718</v>
      </c>
      <c r="AA573" s="9" t="s">
        <v>715</v>
      </c>
      <c r="AC573" s="2"/>
      <c r="AD573" t="s">
        <v>7</v>
      </c>
      <c r="AE573" t="s">
        <v>2391</v>
      </c>
    </row>
    <row r="574" spans="1:31" x14ac:dyDescent="0.3">
      <c r="A574" s="17">
        <v>90739624000118</v>
      </c>
      <c r="B574" t="s">
        <v>52</v>
      </c>
      <c r="C574">
        <v>21148</v>
      </c>
      <c r="D574" t="s">
        <v>53</v>
      </c>
      <c r="E574" t="s">
        <v>2</v>
      </c>
      <c r="F574">
        <v>269308</v>
      </c>
      <c r="G574" s="1" t="s">
        <v>2392</v>
      </c>
      <c r="H574">
        <v>24866985</v>
      </c>
      <c r="I574">
        <v>20209</v>
      </c>
      <c r="J574" t="s">
        <v>54</v>
      </c>
      <c r="K574" s="17">
        <v>79130647000198</v>
      </c>
      <c r="L574" s="17">
        <v>9576274000106</v>
      </c>
      <c r="M574" s="9">
        <v>424.97</v>
      </c>
      <c r="N574" t="s">
        <v>43</v>
      </c>
      <c r="Q574" s="2"/>
      <c r="R574" s="9"/>
      <c r="S574" t="s">
        <v>44</v>
      </c>
      <c r="T574" t="s">
        <v>45</v>
      </c>
      <c r="U574" s="2" t="s">
        <v>695</v>
      </c>
      <c r="V574" s="9" t="s">
        <v>2393</v>
      </c>
      <c r="W574">
        <v>4.1260879130646998E+43</v>
      </c>
      <c r="X574" t="s">
        <v>46</v>
      </c>
      <c r="Y574" s="2" t="s">
        <v>717</v>
      </c>
      <c r="Z574" s="2" t="s">
        <v>718</v>
      </c>
      <c r="AA574" s="9" t="s">
        <v>715</v>
      </c>
      <c r="AC574" s="2"/>
      <c r="AD574" t="s">
        <v>7</v>
      </c>
      <c r="AE574" t="s">
        <v>2394</v>
      </c>
    </row>
    <row r="575" spans="1:31" x14ac:dyDescent="0.3">
      <c r="A575" s="17">
        <v>90739624000118</v>
      </c>
      <c r="B575" t="s">
        <v>100</v>
      </c>
      <c r="D575" t="s">
        <v>151</v>
      </c>
      <c r="E575" t="s">
        <v>2</v>
      </c>
      <c r="F575">
        <v>269308</v>
      </c>
      <c r="G575" s="1" t="s">
        <v>2395</v>
      </c>
      <c r="H575">
        <v>24866743</v>
      </c>
      <c r="I575">
        <v>131547</v>
      </c>
      <c r="J575" t="s">
        <v>152</v>
      </c>
      <c r="K575" s="17">
        <v>23891404000118</v>
      </c>
      <c r="L575" s="17">
        <v>90739624001866</v>
      </c>
      <c r="M575" s="9">
        <v>181.56</v>
      </c>
      <c r="N575" t="s">
        <v>43</v>
      </c>
      <c r="Q575" s="2"/>
      <c r="R575" s="9"/>
      <c r="S575" t="s">
        <v>44</v>
      </c>
      <c r="T575" t="s">
        <v>45</v>
      </c>
      <c r="U575" s="2" t="s">
        <v>695</v>
      </c>
      <c r="V575" s="9" t="s">
        <v>2396</v>
      </c>
      <c r="W575">
        <v>5.1260823891404E+43</v>
      </c>
      <c r="X575" t="s">
        <v>46</v>
      </c>
      <c r="Y575" s="2" t="s">
        <v>717</v>
      </c>
      <c r="Z575" s="2" t="s">
        <v>718</v>
      </c>
      <c r="AA575" s="9" t="s">
        <v>715</v>
      </c>
      <c r="AC575" s="2"/>
      <c r="AD575" t="s">
        <v>7</v>
      </c>
      <c r="AE575" t="s">
        <v>2397</v>
      </c>
    </row>
    <row r="576" spans="1:31" x14ac:dyDescent="0.3">
      <c r="A576" s="17">
        <v>90739624000118</v>
      </c>
      <c r="B576" t="s">
        <v>65</v>
      </c>
      <c r="D576" t="s">
        <v>107</v>
      </c>
      <c r="E576" t="s">
        <v>2</v>
      </c>
      <c r="F576">
        <v>269308</v>
      </c>
      <c r="G576" s="1" t="s">
        <v>2398</v>
      </c>
      <c r="H576">
        <v>24866624</v>
      </c>
      <c r="I576">
        <v>75268</v>
      </c>
      <c r="J576" t="s">
        <v>67</v>
      </c>
      <c r="K576" s="17">
        <v>7473735006031</v>
      </c>
      <c r="L576" s="17">
        <v>90739624002323</v>
      </c>
      <c r="M576" s="9">
        <v>252.82</v>
      </c>
      <c r="N576" t="s">
        <v>43</v>
      </c>
      <c r="Q576" s="2"/>
      <c r="R576" s="9"/>
      <c r="S576" t="s">
        <v>44</v>
      </c>
      <c r="T576" t="s">
        <v>45</v>
      </c>
      <c r="U576" s="2" t="s">
        <v>695</v>
      </c>
      <c r="V576" s="9" t="s">
        <v>2399</v>
      </c>
      <c r="W576">
        <v>4.3260807473734999E+43</v>
      </c>
      <c r="X576" t="s">
        <v>46</v>
      </c>
      <c r="Y576" s="2" t="s">
        <v>717</v>
      </c>
      <c r="Z576" s="2" t="s">
        <v>718</v>
      </c>
      <c r="AA576" s="9" t="s">
        <v>715</v>
      </c>
      <c r="AC576" s="2"/>
      <c r="AD576" t="s">
        <v>7</v>
      </c>
      <c r="AE576" t="s">
        <v>2400</v>
      </c>
    </row>
    <row r="577" spans="1:31" x14ac:dyDescent="0.3">
      <c r="A577" s="17">
        <v>90739624000118</v>
      </c>
      <c r="B577" t="s">
        <v>40</v>
      </c>
      <c r="D577" t="s">
        <v>217</v>
      </c>
      <c r="E577" t="s">
        <v>2</v>
      </c>
      <c r="F577">
        <v>269308</v>
      </c>
      <c r="G577" s="1" t="s">
        <v>2401</v>
      </c>
      <c r="H577">
        <v>24866384</v>
      </c>
      <c r="I577">
        <v>168380</v>
      </c>
      <c r="J577" t="s">
        <v>42</v>
      </c>
      <c r="K577" s="17">
        <v>82156977000248</v>
      </c>
      <c r="L577" s="17">
        <v>90739624001432</v>
      </c>
      <c r="M577" s="9">
        <v>260.31</v>
      </c>
      <c r="N577" t="s">
        <v>43</v>
      </c>
      <c r="Q577" s="2"/>
      <c r="R577" s="9"/>
      <c r="S577" t="s">
        <v>44</v>
      </c>
      <c r="T577" t="s">
        <v>45</v>
      </c>
      <c r="U577" s="2" t="s">
        <v>695</v>
      </c>
      <c r="V577" s="9" t="s">
        <v>2402</v>
      </c>
      <c r="W577">
        <v>4.2260882156977001E+43</v>
      </c>
      <c r="X577" t="s">
        <v>46</v>
      </c>
      <c r="Y577" s="2" t="s">
        <v>717</v>
      </c>
      <c r="Z577" s="2" t="s">
        <v>718</v>
      </c>
      <c r="AA577" s="9" t="s">
        <v>715</v>
      </c>
      <c r="AC577" s="2"/>
      <c r="AD577" t="s">
        <v>7</v>
      </c>
      <c r="AE577" t="s">
        <v>2403</v>
      </c>
    </row>
    <row r="578" spans="1:31" x14ac:dyDescent="0.3">
      <c r="A578" s="17">
        <v>90739624000118</v>
      </c>
      <c r="B578" t="s">
        <v>73</v>
      </c>
      <c r="D578" t="s">
        <v>74</v>
      </c>
      <c r="E578" t="s">
        <v>2</v>
      </c>
      <c r="F578">
        <v>269308</v>
      </c>
      <c r="G578" s="1" t="s">
        <v>2404</v>
      </c>
      <c r="H578">
        <v>24866185</v>
      </c>
      <c r="I578">
        <v>4898</v>
      </c>
      <c r="J578" t="s">
        <v>464</v>
      </c>
      <c r="K578" s="17">
        <v>7473735012350</v>
      </c>
      <c r="L578" s="17">
        <v>90739624002323</v>
      </c>
      <c r="M578" s="9">
        <v>136.65</v>
      </c>
      <c r="N578" t="s">
        <v>43</v>
      </c>
      <c r="Q578" s="2"/>
      <c r="R578" s="9"/>
      <c r="S578" t="s">
        <v>44</v>
      </c>
      <c r="T578" t="s">
        <v>45</v>
      </c>
      <c r="U578" s="2" t="s">
        <v>695</v>
      </c>
      <c r="V578" s="9" t="s">
        <v>2405</v>
      </c>
      <c r="W578">
        <v>4.3260807473734999E+43</v>
      </c>
      <c r="X578" t="s">
        <v>46</v>
      </c>
      <c r="Y578" s="2" t="s">
        <v>717</v>
      </c>
      <c r="Z578" s="2" t="s">
        <v>718</v>
      </c>
      <c r="AA578" s="9" t="s">
        <v>715</v>
      </c>
      <c r="AC578" s="2"/>
      <c r="AD578" t="s">
        <v>7</v>
      </c>
      <c r="AE578" t="s">
        <v>2406</v>
      </c>
    </row>
    <row r="579" spans="1:31" x14ac:dyDescent="0.3">
      <c r="A579" s="17">
        <v>90739624000118</v>
      </c>
      <c r="B579" t="s">
        <v>65</v>
      </c>
      <c r="D579" t="s">
        <v>278</v>
      </c>
      <c r="E579" t="s">
        <v>2</v>
      </c>
      <c r="F579">
        <v>269308</v>
      </c>
      <c r="G579" s="1" t="s">
        <v>2407</v>
      </c>
      <c r="H579">
        <v>24865489</v>
      </c>
      <c r="I579">
        <v>76349</v>
      </c>
      <c r="J579" t="s">
        <v>279</v>
      </c>
      <c r="K579" s="17">
        <v>7473735014646</v>
      </c>
      <c r="L579" s="17">
        <v>90739624002323</v>
      </c>
      <c r="M579" s="9">
        <v>227.52</v>
      </c>
      <c r="N579" t="s">
        <v>43</v>
      </c>
      <c r="Q579" s="2"/>
      <c r="R579" s="9"/>
      <c r="S579" t="s">
        <v>44</v>
      </c>
      <c r="T579" t="s">
        <v>45</v>
      </c>
      <c r="U579" s="2" t="s">
        <v>695</v>
      </c>
      <c r="V579" s="9" t="s">
        <v>2408</v>
      </c>
      <c r="W579">
        <v>4.3260807473734999E+43</v>
      </c>
      <c r="X579" t="s">
        <v>46</v>
      </c>
      <c r="Y579" s="2" t="s">
        <v>717</v>
      </c>
      <c r="Z579" s="2" t="s">
        <v>718</v>
      </c>
      <c r="AA579" s="9" t="s">
        <v>715</v>
      </c>
      <c r="AC579" s="2"/>
      <c r="AD579" t="s">
        <v>7</v>
      </c>
      <c r="AE579" t="s">
        <v>2409</v>
      </c>
    </row>
    <row r="580" spans="1:31" x14ac:dyDescent="0.3">
      <c r="A580" s="17">
        <v>90739624000118</v>
      </c>
      <c r="B580" t="s">
        <v>33</v>
      </c>
      <c r="D580" t="s">
        <v>179</v>
      </c>
      <c r="E580" t="s">
        <v>2</v>
      </c>
      <c r="F580">
        <v>269308</v>
      </c>
      <c r="G580" s="1" t="s">
        <v>2410</v>
      </c>
      <c r="H580">
        <v>24865462</v>
      </c>
      <c r="I580">
        <v>1136</v>
      </c>
      <c r="J580" t="s">
        <v>35</v>
      </c>
      <c r="K580" s="17">
        <v>27933025000102</v>
      </c>
      <c r="L580" s="17">
        <v>9576274000106</v>
      </c>
      <c r="M580" s="9">
        <v>256.8</v>
      </c>
      <c r="N580" t="s">
        <v>43</v>
      </c>
      <c r="Q580" s="2"/>
      <c r="R580" s="9"/>
      <c r="S580" t="s">
        <v>44</v>
      </c>
      <c r="T580" t="s">
        <v>45</v>
      </c>
      <c r="U580" s="2" t="s">
        <v>796</v>
      </c>
      <c r="V580" s="9" t="s">
        <v>2411</v>
      </c>
      <c r="W580">
        <v>4.1260827933025001E+43</v>
      </c>
      <c r="X580" t="s">
        <v>46</v>
      </c>
      <c r="Y580" s="2" t="s">
        <v>717</v>
      </c>
      <c r="Z580" s="2" t="s">
        <v>718</v>
      </c>
      <c r="AA580" s="9" t="s">
        <v>715</v>
      </c>
      <c r="AC580" s="2"/>
      <c r="AD580" t="s">
        <v>7</v>
      </c>
      <c r="AE580" t="s">
        <v>2412</v>
      </c>
    </row>
    <row r="581" spans="1:31" x14ac:dyDescent="0.3">
      <c r="A581" s="17">
        <v>90739624000118</v>
      </c>
      <c r="B581" t="s">
        <v>58</v>
      </c>
      <c r="D581" t="s">
        <v>390</v>
      </c>
      <c r="E581" t="s">
        <v>2</v>
      </c>
      <c r="F581">
        <v>269308</v>
      </c>
      <c r="G581" s="1" t="s">
        <v>2413</v>
      </c>
      <c r="H581">
        <v>24865295</v>
      </c>
      <c r="I581">
        <v>110896</v>
      </c>
      <c r="J581" t="s">
        <v>106</v>
      </c>
      <c r="K581" s="17">
        <v>7473735015103</v>
      </c>
      <c r="L581" s="17">
        <v>90739624002323</v>
      </c>
      <c r="M581" s="9">
        <v>276.01</v>
      </c>
      <c r="N581" t="s">
        <v>43</v>
      </c>
      <c r="Q581" s="2"/>
      <c r="R581" s="9"/>
      <c r="S581" t="s">
        <v>44</v>
      </c>
      <c r="T581" t="s">
        <v>45</v>
      </c>
      <c r="U581" s="2" t="s">
        <v>695</v>
      </c>
      <c r="V581" s="9" t="s">
        <v>1517</v>
      </c>
      <c r="W581">
        <v>4.3260807473734999E+43</v>
      </c>
      <c r="X581" t="s">
        <v>46</v>
      </c>
      <c r="Y581" s="2" t="s">
        <v>717</v>
      </c>
      <c r="Z581" s="2" t="s">
        <v>718</v>
      </c>
      <c r="AA581" s="9" t="s">
        <v>715</v>
      </c>
      <c r="AC581" s="2"/>
      <c r="AD581" t="s">
        <v>7</v>
      </c>
      <c r="AE581" t="s">
        <v>2414</v>
      </c>
    </row>
    <row r="582" spans="1:31" x14ac:dyDescent="0.3">
      <c r="A582" s="17">
        <v>90739624000118</v>
      </c>
      <c r="B582" t="s">
        <v>99</v>
      </c>
      <c r="D582" t="s">
        <v>474</v>
      </c>
      <c r="E582" t="s">
        <v>2</v>
      </c>
      <c r="F582">
        <v>269308</v>
      </c>
      <c r="G582" s="1" t="s">
        <v>2415</v>
      </c>
      <c r="H582">
        <v>24865281</v>
      </c>
      <c r="I582">
        <v>50516</v>
      </c>
      <c r="J582" t="s">
        <v>507</v>
      </c>
      <c r="K582" s="17">
        <v>3626094001330</v>
      </c>
      <c r="L582" s="17">
        <v>9576274000106</v>
      </c>
      <c r="M582" s="9">
        <v>224.44</v>
      </c>
      <c r="N582" t="s">
        <v>43</v>
      </c>
      <c r="Q582" s="2"/>
      <c r="R582" s="9"/>
      <c r="S582" t="s">
        <v>44</v>
      </c>
      <c r="T582" t="s">
        <v>45</v>
      </c>
      <c r="U582" s="2" t="s">
        <v>590</v>
      </c>
      <c r="V582" s="9" t="s">
        <v>2416</v>
      </c>
      <c r="W582">
        <v>4.1260803626093998E+43</v>
      </c>
      <c r="X582" t="s">
        <v>46</v>
      </c>
      <c r="Y582" s="2" t="s">
        <v>717</v>
      </c>
      <c r="Z582" s="2" t="s">
        <v>718</v>
      </c>
      <c r="AA582" s="9" t="s">
        <v>715</v>
      </c>
      <c r="AC582" s="2"/>
      <c r="AD582" t="s">
        <v>7</v>
      </c>
      <c r="AE582" t="s">
        <v>2417</v>
      </c>
    </row>
    <row r="583" spans="1:31" x14ac:dyDescent="0.3">
      <c r="A583" s="17">
        <v>90739624000118</v>
      </c>
      <c r="B583" t="s">
        <v>58</v>
      </c>
      <c r="D583" t="s">
        <v>481</v>
      </c>
      <c r="E583" t="s">
        <v>2</v>
      </c>
      <c r="F583">
        <v>269308</v>
      </c>
      <c r="G583" s="1" t="s">
        <v>2418</v>
      </c>
      <c r="H583">
        <v>24865183</v>
      </c>
      <c r="I583">
        <v>57710</v>
      </c>
      <c r="J583" t="s">
        <v>480</v>
      </c>
      <c r="K583" s="17">
        <v>7473735019877</v>
      </c>
      <c r="L583" s="17">
        <v>90739624002323</v>
      </c>
      <c r="M583" s="9">
        <v>267.68</v>
      </c>
      <c r="N583" t="s">
        <v>43</v>
      </c>
      <c r="Q583" s="2"/>
      <c r="R583" s="9"/>
      <c r="S583" t="s">
        <v>44</v>
      </c>
      <c r="T583" t="s">
        <v>45</v>
      </c>
      <c r="U583" s="2" t="s">
        <v>695</v>
      </c>
      <c r="V583" s="9" t="s">
        <v>2419</v>
      </c>
      <c r="W583">
        <v>4.3260807473734999E+43</v>
      </c>
      <c r="X583" t="s">
        <v>46</v>
      </c>
      <c r="Y583" s="2" t="s">
        <v>717</v>
      </c>
      <c r="Z583" s="2" t="s">
        <v>718</v>
      </c>
      <c r="AA583" s="9" t="s">
        <v>715</v>
      </c>
      <c r="AC583" s="2"/>
      <c r="AD583" t="s">
        <v>7</v>
      </c>
      <c r="AE583" t="s">
        <v>2420</v>
      </c>
    </row>
    <row r="584" spans="1:31" x14ac:dyDescent="0.3">
      <c r="A584" s="17">
        <v>90739624000118</v>
      </c>
      <c r="B584" t="s">
        <v>40</v>
      </c>
      <c r="D584" t="s">
        <v>321</v>
      </c>
      <c r="E584" t="s">
        <v>2</v>
      </c>
      <c r="F584">
        <v>269308</v>
      </c>
      <c r="G584" s="1" t="s">
        <v>2421</v>
      </c>
      <c r="H584">
        <v>24865119</v>
      </c>
      <c r="I584">
        <v>168373</v>
      </c>
      <c r="J584" t="s">
        <v>42</v>
      </c>
      <c r="K584" s="17">
        <v>82156977000248</v>
      </c>
      <c r="L584" s="17">
        <v>90739624001432</v>
      </c>
      <c r="M584" s="9">
        <v>235.58</v>
      </c>
      <c r="N584" t="s">
        <v>43</v>
      </c>
      <c r="Q584" s="2"/>
      <c r="R584" s="9"/>
      <c r="S584" t="s">
        <v>44</v>
      </c>
      <c r="T584" t="s">
        <v>45</v>
      </c>
      <c r="U584" s="2" t="s">
        <v>695</v>
      </c>
      <c r="V584" s="9" t="s">
        <v>2422</v>
      </c>
      <c r="W584">
        <v>4.2260882156977001E+43</v>
      </c>
      <c r="X584" t="s">
        <v>46</v>
      </c>
      <c r="Y584" s="2" t="s">
        <v>717</v>
      </c>
      <c r="Z584" s="2" t="s">
        <v>718</v>
      </c>
      <c r="AA584" s="9" t="s">
        <v>715</v>
      </c>
      <c r="AC584" s="2"/>
      <c r="AD584" t="s">
        <v>7</v>
      </c>
      <c r="AE584" t="s">
        <v>2423</v>
      </c>
    </row>
    <row r="585" spans="1:31" x14ac:dyDescent="0.3">
      <c r="A585" s="17">
        <v>90739624000118</v>
      </c>
      <c r="B585" t="s">
        <v>61</v>
      </c>
      <c r="D585" t="s">
        <v>611</v>
      </c>
      <c r="E585" t="s">
        <v>2</v>
      </c>
      <c r="F585">
        <v>269308</v>
      </c>
      <c r="G585" s="1" t="s">
        <v>2424</v>
      </c>
      <c r="H585">
        <v>24864845</v>
      </c>
      <c r="I585">
        <v>2510</v>
      </c>
      <c r="J585" t="s">
        <v>85</v>
      </c>
      <c r="K585" s="17">
        <v>1975878000105</v>
      </c>
      <c r="L585" s="17">
        <v>9576274000106</v>
      </c>
      <c r="M585" s="9">
        <v>281.82</v>
      </c>
      <c r="N585" t="s">
        <v>43</v>
      </c>
      <c r="Q585" s="2"/>
      <c r="R585" s="9"/>
      <c r="S585" t="s">
        <v>44</v>
      </c>
      <c r="T585" t="s">
        <v>45</v>
      </c>
      <c r="U585" s="2" t="s">
        <v>695</v>
      </c>
      <c r="V585" s="9" t="s">
        <v>2425</v>
      </c>
      <c r="W585">
        <v>4.1260801975878E+43</v>
      </c>
      <c r="X585" t="s">
        <v>46</v>
      </c>
      <c r="Y585" s="2" t="s">
        <v>717</v>
      </c>
      <c r="Z585" s="2" t="s">
        <v>718</v>
      </c>
      <c r="AA585" s="9" t="s">
        <v>715</v>
      </c>
      <c r="AC585" s="2"/>
      <c r="AD585" t="s">
        <v>7</v>
      </c>
      <c r="AE585" t="s">
        <v>2426</v>
      </c>
    </row>
    <row r="586" spans="1:31" x14ac:dyDescent="0.3">
      <c r="A586" s="17">
        <v>90739624000118</v>
      </c>
      <c r="B586" t="s">
        <v>25</v>
      </c>
      <c r="D586" t="s">
        <v>129</v>
      </c>
      <c r="E586" t="s">
        <v>2</v>
      </c>
      <c r="F586">
        <v>269308</v>
      </c>
      <c r="G586" s="1" t="s">
        <v>2427</v>
      </c>
      <c r="H586">
        <v>24864829</v>
      </c>
      <c r="I586">
        <v>136123</v>
      </c>
      <c r="J586" t="s">
        <v>258</v>
      </c>
      <c r="K586" s="17">
        <v>26602128000119</v>
      </c>
      <c r="L586" s="17">
        <v>90739624001866</v>
      </c>
      <c r="M586" s="9">
        <v>138</v>
      </c>
      <c r="N586" t="s">
        <v>43</v>
      </c>
      <c r="Q586" s="2"/>
      <c r="R586" s="9"/>
      <c r="S586" t="s">
        <v>44</v>
      </c>
      <c r="T586" t="s">
        <v>45</v>
      </c>
      <c r="U586" s="2" t="s">
        <v>695</v>
      </c>
      <c r="V586" s="9" t="s">
        <v>2428</v>
      </c>
      <c r="W586">
        <v>5.1260826602127998E+43</v>
      </c>
      <c r="X586" t="s">
        <v>46</v>
      </c>
      <c r="Y586" s="2" t="s">
        <v>717</v>
      </c>
      <c r="Z586" s="2" t="s">
        <v>718</v>
      </c>
      <c r="AA586" s="9" t="s">
        <v>715</v>
      </c>
      <c r="AC586" s="2"/>
      <c r="AD586" t="s">
        <v>7</v>
      </c>
      <c r="AE586" t="s">
        <v>2429</v>
      </c>
    </row>
    <row r="587" spans="1:31" x14ac:dyDescent="0.3">
      <c r="A587" s="17">
        <v>90739624000118</v>
      </c>
      <c r="B587" t="s">
        <v>25</v>
      </c>
      <c r="D587" t="s">
        <v>473</v>
      </c>
      <c r="E587" t="s">
        <v>2</v>
      </c>
      <c r="F587">
        <v>269308</v>
      </c>
      <c r="G587" s="1" t="s">
        <v>2430</v>
      </c>
      <c r="H587">
        <v>24864658</v>
      </c>
      <c r="I587">
        <v>33949</v>
      </c>
      <c r="J587" t="s">
        <v>132</v>
      </c>
      <c r="K587" s="17">
        <v>10588554000105</v>
      </c>
      <c r="L587" s="17">
        <v>90739624003486</v>
      </c>
      <c r="M587" s="9">
        <v>123.9</v>
      </c>
      <c r="N587" t="s">
        <v>43</v>
      </c>
      <c r="Q587" s="2"/>
      <c r="R587" s="9"/>
      <c r="S587" t="s">
        <v>44</v>
      </c>
      <c r="T587" t="s">
        <v>45</v>
      </c>
      <c r="U587" s="2" t="s">
        <v>695</v>
      </c>
      <c r="V587" s="9" t="s">
        <v>2431</v>
      </c>
      <c r="W587">
        <v>5.1260810588554005E+43</v>
      </c>
      <c r="X587" t="s">
        <v>46</v>
      </c>
      <c r="Y587" s="2" t="s">
        <v>717</v>
      </c>
      <c r="Z587" s="2" t="s">
        <v>718</v>
      </c>
      <c r="AA587" s="9" t="s">
        <v>715</v>
      </c>
      <c r="AC587" s="2"/>
      <c r="AD587" t="s">
        <v>7</v>
      </c>
      <c r="AE587" t="s">
        <v>2432</v>
      </c>
    </row>
    <row r="588" spans="1:31" x14ac:dyDescent="0.3">
      <c r="A588" s="17">
        <v>90739624000118</v>
      </c>
      <c r="B588" t="s">
        <v>28</v>
      </c>
      <c r="C588">
        <v>20087</v>
      </c>
      <c r="D588" t="s">
        <v>219</v>
      </c>
      <c r="E588" t="s">
        <v>2</v>
      </c>
      <c r="F588">
        <v>269308</v>
      </c>
      <c r="G588" s="1" t="s">
        <v>2433</v>
      </c>
      <c r="H588">
        <v>24864595</v>
      </c>
      <c r="I588">
        <v>38305</v>
      </c>
      <c r="J588" t="s">
        <v>209</v>
      </c>
      <c r="K588" s="17">
        <v>33360405000190</v>
      </c>
      <c r="L588" s="17">
        <v>90739624001947</v>
      </c>
      <c r="M588" s="9">
        <v>312.02</v>
      </c>
      <c r="N588" t="s">
        <v>43</v>
      </c>
      <c r="Q588" s="2"/>
      <c r="R588" s="9"/>
      <c r="S588" t="s">
        <v>44</v>
      </c>
      <c r="T588" t="s">
        <v>45</v>
      </c>
      <c r="U588" s="2" t="s">
        <v>695</v>
      </c>
      <c r="V588" s="9" t="s">
        <v>2434</v>
      </c>
      <c r="W588">
        <v>5.2260833360404998E+43</v>
      </c>
      <c r="X588" t="s">
        <v>46</v>
      </c>
      <c r="Y588" s="2" t="s">
        <v>717</v>
      </c>
      <c r="Z588" s="2" t="s">
        <v>718</v>
      </c>
      <c r="AA588" s="9" t="s">
        <v>715</v>
      </c>
      <c r="AC588" s="2"/>
      <c r="AD588" t="s">
        <v>7</v>
      </c>
      <c r="AE588" t="s">
        <v>2435</v>
      </c>
    </row>
    <row r="589" spans="1:31" x14ac:dyDescent="0.3">
      <c r="A589" s="17">
        <v>90739624000118</v>
      </c>
      <c r="B589" t="s">
        <v>33</v>
      </c>
      <c r="C589">
        <v>25070</v>
      </c>
      <c r="D589" t="s">
        <v>34</v>
      </c>
      <c r="E589" t="s">
        <v>2</v>
      </c>
      <c r="F589">
        <v>269308</v>
      </c>
      <c r="G589" s="1" t="s">
        <v>2436</v>
      </c>
      <c r="H589">
        <v>24864592</v>
      </c>
      <c r="I589">
        <v>1135</v>
      </c>
      <c r="J589" t="s">
        <v>35</v>
      </c>
      <c r="K589" s="17">
        <v>27933025000102</v>
      </c>
      <c r="L589" s="17">
        <v>9576274000106</v>
      </c>
      <c r="M589" s="9">
        <v>243.23</v>
      </c>
      <c r="N589" t="s">
        <v>43</v>
      </c>
      <c r="Q589" s="2"/>
      <c r="R589" s="9"/>
      <c r="S589" t="s">
        <v>44</v>
      </c>
      <c r="T589" t="s">
        <v>45</v>
      </c>
      <c r="U589" s="2" t="s">
        <v>796</v>
      </c>
      <c r="V589" s="9" t="s">
        <v>2437</v>
      </c>
      <c r="W589">
        <v>4.1260827933025001E+43</v>
      </c>
      <c r="X589" t="s">
        <v>46</v>
      </c>
      <c r="Y589" s="2" t="s">
        <v>717</v>
      </c>
      <c r="Z589" s="2" t="s">
        <v>718</v>
      </c>
      <c r="AA589" s="9" t="s">
        <v>715</v>
      </c>
      <c r="AC589" s="2"/>
      <c r="AD589" t="s">
        <v>7</v>
      </c>
      <c r="AE589" t="s">
        <v>2438</v>
      </c>
    </row>
    <row r="590" spans="1:31" x14ac:dyDescent="0.3">
      <c r="A590" s="17">
        <v>90739624000118</v>
      </c>
      <c r="B590" t="s">
        <v>52</v>
      </c>
      <c r="C590">
        <v>23848</v>
      </c>
      <c r="D590" t="s">
        <v>245</v>
      </c>
      <c r="E590" t="s">
        <v>2</v>
      </c>
      <c r="F590">
        <v>269308</v>
      </c>
      <c r="G590" s="1" t="s">
        <v>2439</v>
      </c>
      <c r="H590">
        <v>24864530</v>
      </c>
      <c r="I590">
        <v>40868</v>
      </c>
      <c r="J590" t="s">
        <v>545</v>
      </c>
      <c r="K590" s="17">
        <v>30429333000282</v>
      </c>
      <c r="L590" s="17">
        <v>9576274000106</v>
      </c>
      <c r="M590" s="9">
        <v>141.97999999999999</v>
      </c>
      <c r="N590" t="s">
        <v>43</v>
      </c>
      <c r="Q590" s="2"/>
      <c r="R590" s="9"/>
      <c r="S590" t="s">
        <v>44</v>
      </c>
      <c r="T590" t="s">
        <v>45</v>
      </c>
      <c r="U590" s="2" t="s">
        <v>695</v>
      </c>
      <c r="V590" s="9" t="s">
        <v>2440</v>
      </c>
      <c r="W590">
        <v>4.1260830429333002E+43</v>
      </c>
      <c r="X590" t="s">
        <v>46</v>
      </c>
      <c r="Y590" s="2" t="s">
        <v>717</v>
      </c>
      <c r="Z590" s="2" t="s">
        <v>718</v>
      </c>
      <c r="AA590" s="9" t="s">
        <v>715</v>
      </c>
      <c r="AC590" s="2"/>
      <c r="AD590" t="s">
        <v>7</v>
      </c>
      <c r="AE590" t="s">
        <v>2441</v>
      </c>
    </row>
    <row r="591" spans="1:31" x14ac:dyDescent="0.3">
      <c r="A591" s="17">
        <v>90739624000118</v>
      </c>
      <c r="B591" t="s">
        <v>73</v>
      </c>
      <c r="D591" t="s">
        <v>261</v>
      </c>
      <c r="E591" t="s">
        <v>2</v>
      </c>
      <c r="F591">
        <v>269308</v>
      </c>
      <c r="G591" s="1" t="s">
        <v>2442</v>
      </c>
      <c r="H591">
        <v>24864404</v>
      </c>
      <c r="I591">
        <v>8855</v>
      </c>
      <c r="J591" t="s">
        <v>262</v>
      </c>
      <c r="K591" s="17">
        <v>7473735001587</v>
      </c>
      <c r="L591" s="17">
        <v>90739624002323</v>
      </c>
      <c r="M591" s="9">
        <v>307.76</v>
      </c>
      <c r="N591" t="s">
        <v>43</v>
      </c>
      <c r="Q591" s="2"/>
      <c r="R591" s="9"/>
      <c r="S591" t="s">
        <v>44</v>
      </c>
      <c r="T591" t="s">
        <v>45</v>
      </c>
      <c r="U591" s="2" t="s">
        <v>695</v>
      </c>
      <c r="V591" s="9" t="s">
        <v>2443</v>
      </c>
      <c r="W591">
        <v>4.3260807473734999E+43</v>
      </c>
      <c r="X591" t="s">
        <v>46</v>
      </c>
      <c r="Y591" s="2" t="s">
        <v>717</v>
      </c>
      <c r="Z591" s="2" t="s">
        <v>718</v>
      </c>
      <c r="AA591" s="9" t="s">
        <v>715</v>
      </c>
      <c r="AC591" s="2"/>
      <c r="AD591" t="s">
        <v>7</v>
      </c>
      <c r="AE591" t="s">
        <v>2444</v>
      </c>
    </row>
    <row r="592" spans="1:31" x14ac:dyDescent="0.3">
      <c r="A592" s="17">
        <v>90739624000118</v>
      </c>
      <c r="B592" t="s">
        <v>61</v>
      </c>
      <c r="C592">
        <v>25073</v>
      </c>
      <c r="D592" t="s">
        <v>356</v>
      </c>
      <c r="E592" t="s">
        <v>2</v>
      </c>
      <c r="F592">
        <v>269308</v>
      </c>
      <c r="G592" s="1" t="s">
        <v>2442</v>
      </c>
      <c r="H592">
        <v>24864403</v>
      </c>
      <c r="I592">
        <v>2509</v>
      </c>
      <c r="J592" t="s">
        <v>85</v>
      </c>
      <c r="K592" s="17">
        <v>1975878000105</v>
      </c>
      <c r="L592" s="17">
        <v>9576274000106</v>
      </c>
      <c r="M592" s="9">
        <v>264.27999999999997</v>
      </c>
      <c r="N592" t="s">
        <v>43</v>
      </c>
      <c r="Q592" s="2"/>
      <c r="R592" s="9"/>
      <c r="S592" t="s">
        <v>44</v>
      </c>
      <c r="T592" t="s">
        <v>45</v>
      </c>
      <c r="U592" s="2" t="s">
        <v>695</v>
      </c>
      <c r="V592" s="9" t="s">
        <v>2445</v>
      </c>
      <c r="W592">
        <v>4.1260801975878E+43</v>
      </c>
      <c r="X592" t="s">
        <v>46</v>
      </c>
      <c r="Y592" s="2" t="s">
        <v>717</v>
      </c>
      <c r="Z592" s="2" t="s">
        <v>718</v>
      </c>
      <c r="AA592" s="9" t="s">
        <v>715</v>
      </c>
      <c r="AC592" s="2"/>
      <c r="AD592" t="s">
        <v>7</v>
      </c>
      <c r="AE592" t="s">
        <v>2446</v>
      </c>
    </row>
    <row r="593" spans="1:31" x14ac:dyDescent="0.3">
      <c r="A593" s="17">
        <v>90739624000118</v>
      </c>
      <c r="B593" t="s">
        <v>170</v>
      </c>
      <c r="C593">
        <v>22329</v>
      </c>
      <c r="D593" t="s">
        <v>359</v>
      </c>
      <c r="E593" t="s">
        <v>2</v>
      </c>
      <c r="F593">
        <v>269308</v>
      </c>
      <c r="G593" s="1" t="s">
        <v>2447</v>
      </c>
      <c r="H593">
        <v>24864372</v>
      </c>
      <c r="I593">
        <v>129469</v>
      </c>
      <c r="J593" t="s">
        <v>178</v>
      </c>
      <c r="K593" s="17">
        <v>83392050000199</v>
      </c>
      <c r="L593" s="17">
        <v>90739624001432</v>
      </c>
      <c r="M593" s="9">
        <v>109.65</v>
      </c>
      <c r="N593" t="s">
        <v>43</v>
      </c>
      <c r="Q593" s="2"/>
      <c r="R593" s="9"/>
      <c r="S593" t="s">
        <v>44</v>
      </c>
      <c r="T593" t="s">
        <v>45</v>
      </c>
      <c r="U593" s="2" t="s">
        <v>695</v>
      </c>
      <c r="V593" s="9" t="s">
        <v>1129</v>
      </c>
      <c r="W593">
        <v>4.2260883392050001E+43</v>
      </c>
      <c r="X593" t="s">
        <v>46</v>
      </c>
      <c r="Y593" s="2" t="s">
        <v>717</v>
      </c>
      <c r="Z593" s="2" t="s">
        <v>718</v>
      </c>
      <c r="AA593" s="9" t="s">
        <v>715</v>
      </c>
      <c r="AC593" s="2"/>
      <c r="AD593" t="s">
        <v>7</v>
      </c>
      <c r="AE593" t="s">
        <v>2448</v>
      </c>
    </row>
    <row r="594" spans="1:31" x14ac:dyDescent="0.3">
      <c r="A594" s="17">
        <v>90739624000118</v>
      </c>
      <c r="B594" t="s">
        <v>70</v>
      </c>
      <c r="D594" t="s">
        <v>96</v>
      </c>
      <c r="E594" t="s">
        <v>2</v>
      </c>
      <c r="F594">
        <v>269308</v>
      </c>
      <c r="G594" s="1" t="s">
        <v>2449</v>
      </c>
      <c r="H594">
        <v>24864344</v>
      </c>
      <c r="I594">
        <v>257146</v>
      </c>
      <c r="J594" t="s">
        <v>72</v>
      </c>
      <c r="K594" s="17">
        <v>79964177000168</v>
      </c>
      <c r="L594" s="17">
        <v>9576274000106</v>
      </c>
      <c r="M594" s="9">
        <v>179.01</v>
      </c>
      <c r="N594" t="s">
        <v>43</v>
      </c>
      <c r="Q594" s="2"/>
      <c r="R594" s="9"/>
      <c r="S594" t="s">
        <v>44</v>
      </c>
      <c r="T594" t="s">
        <v>45</v>
      </c>
      <c r="U594" s="2" t="s">
        <v>695</v>
      </c>
      <c r="V594" s="9" t="s">
        <v>2450</v>
      </c>
      <c r="W594">
        <v>4.1260879964176998E+43</v>
      </c>
      <c r="X594" t="s">
        <v>46</v>
      </c>
      <c r="Y594" s="2" t="s">
        <v>717</v>
      </c>
      <c r="Z594" s="2" t="s">
        <v>718</v>
      </c>
      <c r="AA594" s="9" t="s">
        <v>715</v>
      </c>
      <c r="AC594" s="2"/>
      <c r="AD594" t="s">
        <v>7</v>
      </c>
      <c r="AE594" t="s">
        <v>2451</v>
      </c>
    </row>
    <row r="595" spans="1:31" x14ac:dyDescent="0.3">
      <c r="A595" s="17">
        <v>90739624000118</v>
      </c>
      <c r="B595" t="s">
        <v>33</v>
      </c>
      <c r="C595">
        <v>22486</v>
      </c>
      <c r="D595" t="s">
        <v>38</v>
      </c>
      <c r="E595" t="s">
        <v>2</v>
      </c>
      <c r="F595">
        <v>269308</v>
      </c>
      <c r="G595" s="1" t="s">
        <v>2452</v>
      </c>
      <c r="H595">
        <v>24864237</v>
      </c>
      <c r="I595">
        <v>1134</v>
      </c>
      <c r="J595" t="s">
        <v>35</v>
      </c>
      <c r="K595" s="17">
        <v>27933025000102</v>
      </c>
      <c r="L595" s="17">
        <v>9576274000106</v>
      </c>
      <c r="M595" s="9">
        <v>102.43</v>
      </c>
      <c r="N595" t="s">
        <v>43</v>
      </c>
      <c r="Q595" s="2"/>
      <c r="R595" s="9"/>
      <c r="S595" t="s">
        <v>44</v>
      </c>
      <c r="T595" t="s">
        <v>45</v>
      </c>
      <c r="U595" s="2" t="s">
        <v>796</v>
      </c>
      <c r="V595" s="9" t="s">
        <v>2453</v>
      </c>
      <c r="W595">
        <v>4.1260827933025001E+43</v>
      </c>
      <c r="X595" t="s">
        <v>46</v>
      </c>
      <c r="Y595" s="2" t="s">
        <v>717</v>
      </c>
      <c r="Z595" s="2" t="s">
        <v>718</v>
      </c>
      <c r="AA595" s="9" t="s">
        <v>715</v>
      </c>
      <c r="AC595" s="2"/>
      <c r="AD595" t="s">
        <v>7</v>
      </c>
      <c r="AE595" t="s">
        <v>2454</v>
      </c>
    </row>
    <row r="596" spans="1:31" x14ac:dyDescent="0.3">
      <c r="A596" s="17">
        <v>90739624000118</v>
      </c>
      <c r="B596" t="s">
        <v>49</v>
      </c>
      <c r="C596">
        <v>23846</v>
      </c>
      <c r="D596" t="s">
        <v>597</v>
      </c>
      <c r="E596" t="s">
        <v>2</v>
      </c>
      <c r="F596">
        <v>269308</v>
      </c>
      <c r="G596" s="1" t="s">
        <v>2455</v>
      </c>
      <c r="H596">
        <v>24864118</v>
      </c>
      <c r="I596">
        <v>162927</v>
      </c>
      <c r="J596" t="s">
        <v>51</v>
      </c>
      <c r="K596" s="17">
        <v>2763612000161</v>
      </c>
      <c r="L596" s="17">
        <v>90739624003133</v>
      </c>
      <c r="M596" s="9">
        <v>208.22</v>
      </c>
      <c r="N596" t="s">
        <v>43</v>
      </c>
      <c r="Q596" s="2"/>
      <c r="R596" s="9"/>
      <c r="S596" t="s">
        <v>44</v>
      </c>
      <c r="T596" t="s">
        <v>45</v>
      </c>
      <c r="U596" s="2" t="s">
        <v>695</v>
      </c>
      <c r="V596" s="9" t="s">
        <v>2456</v>
      </c>
      <c r="W596">
        <v>4.1260802763612002E+43</v>
      </c>
      <c r="X596" t="s">
        <v>46</v>
      </c>
      <c r="Y596" s="2" t="s">
        <v>717</v>
      </c>
      <c r="Z596" s="2" t="s">
        <v>718</v>
      </c>
      <c r="AA596" s="9" t="s">
        <v>715</v>
      </c>
      <c r="AC596" s="2"/>
      <c r="AD596" t="s">
        <v>7</v>
      </c>
      <c r="AE596" t="s">
        <v>2457</v>
      </c>
    </row>
    <row r="597" spans="1:31" x14ac:dyDescent="0.3">
      <c r="A597" s="17">
        <v>90739624000118</v>
      </c>
      <c r="B597" t="s">
        <v>170</v>
      </c>
      <c r="D597" t="s">
        <v>324</v>
      </c>
      <c r="E597" t="s">
        <v>2</v>
      </c>
      <c r="F597">
        <v>269308</v>
      </c>
      <c r="G597" s="1" t="s">
        <v>2458</v>
      </c>
      <c r="H597">
        <v>24864112</v>
      </c>
      <c r="I597">
        <v>129463</v>
      </c>
      <c r="J597" t="s">
        <v>178</v>
      </c>
      <c r="K597" s="17">
        <v>83392050000199</v>
      </c>
      <c r="L597" s="17">
        <v>90739624001432</v>
      </c>
      <c r="M597" s="9">
        <v>666.53</v>
      </c>
      <c r="N597" t="s">
        <v>43</v>
      </c>
      <c r="Q597" s="2"/>
      <c r="R597" s="9"/>
      <c r="S597" t="s">
        <v>44</v>
      </c>
      <c r="T597" t="s">
        <v>45</v>
      </c>
      <c r="U597" s="2" t="s">
        <v>695</v>
      </c>
      <c r="V597" s="9" t="s">
        <v>2459</v>
      </c>
      <c r="W597">
        <v>4.2260883392050001E+43</v>
      </c>
      <c r="X597" t="s">
        <v>46</v>
      </c>
      <c r="Y597" s="2" t="s">
        <v>717</v>
      </c>
      <c r="Z597" s="2" t="s">
        <v>718</v>
      </c>
      <c r="AA597" s="9" t="s">
        <v>715</v>
      </c>
      <c r="AC597" s="2"/>
      <c r="AD597" t="s">
        <v>7</v>
      </c>
      <c r="AE597" t="s">
        <v>2460</v>
      </c>
    </row>
    <row r="598" spans="1:31" x14ac:dyDescent="0.3">
      <c r="A598" s="17">
        <v>90739624000118</v>
      </c>
      <c r="B598" t="s">
        <v>31</v>
      </c>
      <c r="D598" t="s">
        <v>172</v>
      </c>
      <c r="E598" t="s">
        <v>2</v>
      </c>
      <c r="F598">
        <v>269308</v>
      </c>
      <c r="G598" s="1" t="s">
        <v>2461</v>
      </c>
      <c r="H598">
        <v>24864105</v>
      </c>
      <c r="I598">
        <v>54717</v>
      </c>
      <c r="J598" t="s">
        <v>56</v>
      </c>
      <c r="K598" s="17">
        <v>8603562000212</v>
      </c>
      <c r="L598" s="17">
        <v>90739624001866</v>
      </c>
      <c r="M598" s="9">
        <v>377.04</v>
      </c>
      <c r="N598" t="s">
        <v>43</v>
      </c>
      <c r="Q598" s="2"/>
      <c r="R598" s="9"/>
      <c r="S598" t="s">
        <v>44</v>
      </c>
      <c r="T598" t="s">
        <v>45</v>
      </c>
      <c r="U598" s="2" t="s">
        <v>695</v>
      </c>
      <c r="V598" s="9" t="s">
        <v>2462</v>
      </c>
      <c r="W598">
        <v>5.1260808603562005E+43</v>
      </c>
      <c r="X598" t="s">
        <v>46</v>
      </c>
      <c r="Y598" s="2" t="s">
        <v>717</v>
      </c>
      <c r="Z598" s="2" t="s">
        <v>718</v>
      </c>
      <c r="AA598" s="9" t="s">
        <v>715</v>
      </c>
      <c r="AC598" s="2"/>
      <c r="AD598" t="s">
        <v>7</v>
      </c>
      <c r="AE598" t="s">
        <v>2463</v>
      </c>
    </row>
    <row r="599" spans="1:31" x14ac:dyDescent="0.3">
      <c r="A599" s="17">
        <v>90739624000118</v>
      </c>
      <c r="B599" t="s">
        <v>25</v>
      </c>
      <c r="D599" t="s">
        <v>108</v>
      </c>
      <c r="E599" t="s">
        <v>2</v>
      </c>
      <c r="F599">
        <v>269308</v>
      </c>
      <c r="G599" s="1" t="s">
        <v>2464</v>
      </c>
      <c r="H599">
        <v>24863948</v>
      </c>
      <c r="I599">
        <v>10465</v>
      </c>
      <c r="J599" t="s">
        <v>255</v>
      </c>
      <c r="K599" s="17">
        <v>8512459000690</v>
      </c>
      <c r="L599" s="17">
        <v>90739624001866</v>
      </c>
      <c r="M599" s="9">
        <v>156.19999999999999</v>
      </c>
      <c r="N599" t="s">
        <v>43</v>
      </c>
      <c r="Q599" s="2"/>
      <c r="R599" s="9"/>
      <c r="S599" t="s">
        <v>44</v>
      </c>
      <c r="T599" t="s">
        <v>45</v>
      </c>
      <c r="U599" s="2" t="s">
        <v>695</v>
      </c>
      <c r="V599" s="9" t="s">
        <v>2465</v>
      </c>
      <c r="W599">
        <v>5.1260808512458996E+43</v>
      </c>
      <c r="X599" t="s">
        <v>46</v>
      </c>
      <c r="Y599" s="2" t="s">
        <v>717</v>
      </c>
      <c r="Z599" s="2" t="s">
        <v>718</v>
      </c>
      <c r="AA599" s="9" t="s">
        <v>715</v>
      </c>
      <c r="AC599" s="2"/>
      <c r="AD599" t="s">
        <v>7</v>
      </c>
      <c r="AE599" t="s">
        <v>2466</v>
      </c>
    </row>
    <row r="600" spans="1:31" x14ac:dyDescent="0.3">
      <c r="A600" s="17">
        <v>90739624000118</v>
      </c>
      <c r="B600" t="s">
        <v>8</v>
      </c>
      <c r="C600">
        <v>23545</v>
      </c>
      <c r="D600" t="s">
        <v>319</v>
      </c>
      <c r="E600" t="s">
        <v>2</v>
      </c>
      <c r="F600">
        <v>269308</v>
      </c>
      <c r="G600" s="1" t="s">
        <v>2467</v>
      </c>
      <c r="H600">
        <v>24863937</v>
      </c>
      <c r="I600">
        <v>9422</v>
      </c>
      <c r="J600" t="s">
        <v>252</v>
      </c>
      <c r="K600" s="17">
        <v>3680814000102</v>
      </c>
      <c r="L600" s="17">
        <v>9576274000106</v>
      </c>
      <c r="M600" s="9">
        <v>624.1</v>
      </c>
      <c r="N600" t="s">
        <v>43</v>
      </c>
      <c r="Q600" s="2"/>
      <c r="R600" s="9"/>
      <c r="S600" t="s">
        <v>44</v>
      </c>
      <c r="T600" t="s">
        <v>45</v>
      </c>
      <c r="U600" s="2" t="s">
        <v>695</v>
      </c>
      <c r="V600" s="9" t="s">
        <v>2468</v>
      </c>
      <c r="W600">
        <v>4.1260803680813999E+43</v>
      </c>
      <c r="X600" t="s">
        <v>46</v>
      </c>
      <c r="Y600" s="2" t="s">
        <v>717</v>
      </c>
      <c r="Z600" s="2" t="s">
        <v>718</v>
      </c>
      <c r="AA600" s="9" t="s">
        <v>715</v>
      </c>
      <c r="AC600" s="2"/>
      <c r="AD600" t="s">
        <v>7</v>
      </c>
      <c r="AE600" t="s">
        <v>2469</v>
      </c>
    </row>
    <row r="601" spans="1:31" x14ac:dyDescent="0.3">
      <c r="A601" s="17">
        <v>90739624000118</v>
      </c>
      <c r="B601" t="s">
        <v>63</v>
      </c>
      <c r="D601" t="s">
        <v>270</v>
      </c>
      <c r="E601" t="s">
        <v>17</v>
      </c>
      <c r="F601">
        <v>269308</v>
      </c>
      <c r="G601" s="1" t="s">
        <v>2470</v>
      </c>
      <c r="H601">
        <v>24863914</v>
      </c>
      <c r="I601">
        <v>59194</v>
      </c>
      <c r="J601" t="s">
        <v>919</v>
      </c>
      <c r="K601" s="17">
        <v>20630766000167</v>
      </c>
      <c r="L601" s="17">
        <v>90739624001432</v>
      </c>
      <c r="M601" s="9">
        <v>27.48</v>
      </c>
      <c r="N601" t="s">
        <v>43</v>
      </c>
      <c r="Q601" s="2"/>
      <c r="R601" s="9"/>
      <c r="S601" t="s">
        <v>44</v>
      </c>
      <c r="T601" t="s">
        <v>45</v>
      </c>
      <c r="U601" s="2" t="s">
        <v>695</v>
      </c>
      <c r="V601" s="9" t="s">
        <v>2471</v>
      </c>
      <c r="W601">
        <v>4.2260820630766001E+43</v>
      </c>
      <c r="X601" t="s">
        <v>46</v>
      </c>
      <c r="Y601" s="2" t="s">
        <v>717</v>
      </c>
      <c r="Z601" s="2" t="s">
        <v>718</v>
      </c>
      <c r="AA601" s="9" t="s">
        <v>715</v>
      </c>
      <c r="AC601" s="2"/>
      <c r="AD601" t="s">
        <v>7</v>
      </c>
      <c r="AE601" t="s">
        <v>2472</v>
      </c>
    </row>
    <row r="602" spans="1:31" x14ac:dyDescent="0.3">
      <c r="A602" s="17">
        <v>90739624000118</v>
      </c>
      <c r="B602" t="s">
        <v>70</v>
      </c>
      <c r="C602">
        <v>24139</v>
      </c>
      <c r="D602" t="s">
        <v>456</v>
      </c>
      <c r="E602" t="s">
        <v>2</v>
      </c>
      <c r="F602">
        <v>269308</v>
      </c>
      <c r="G602" s="1" t="s">
        <v>2473</v>
      </c>
      <c r="H602">
        <v>24863910</v>
      </c>
      <c r="I602">
        <v>257144</v>
      </c>
      <c r="J602" t="s">
        <v>72</v>
      </c>
      <c r="K602" s="17">
        <v>79964177000168</v>
      </c>
      <c r="L602" s="17">
        <v>9576274000106</v>
      </c>
      <c r="M602" s="9">
        <v>226.82</v>
      </c>
      <c r="N602" t="s">
        <v>43</v>
      </c>
      <c r="Q602" s="2"/>
      <c r="R602" s="9"/>
      <c r="S602" t="s">
        <v>44</v>
      </c>
      <c r="T602" t="s">
        <v>45</v>
      </c>
      <c r="U602" s="2" t="s">
        <v>695</v>
      </c>
      <c r="V602" s="9" t="s">
        <v>2474</v>
      </c>
      <c r="W602">
        <v>4.1260879964176998E+43</v>
      </c>
      <c r="X602" t="s">
        <v>46</v>
      </c>
      <c r="Y602" s="2" t="s">
        <v>717</v>
      </c>
      <c r="Z602" s="2" t="s">
        <v>718</v>
      </c>
      <c r="AA602" s="9" t="s">
        <v>715</v>
      </c>
      <c r="AC602" s="2"/>
      <c r="AD602" t="s">
        <v>7</v>
      </c>
      <c r="AE602" t="s">
        <v>2475</v>
      </c>
    </row>
    <row r="603" spans="1:31" x14ac:dyDescent="0.3">
      <c r="A603" s="17">
        <v>90739624000118</v>
      </c>
      <c r="B603" t="s">
        <v>63</v>
      </c>
      <c r="D603" t="s">
        <v>270</v>
      </c>
      <c r="E603" t="s">
        <v>2</v>
      </c>
      <c r="F603">
        <v>269308</v>
      </c>
      <c r="G603" s="1" t="s">
        <v>2476</v>
      </c>
      <c r="H603">
        <v>24863893</v>
      </c>
      <c r="I603">
        <v>59193</v>
      </c>
      <c r="J603" t="s">
        <v>919</v>
      </c>
      <c r="K603" s="17">
        <v>20630766000167</v>
      </c>
      <c r="L603" s="17">
        <v>90739624001432</v>
      </c>
      <c r="M603" s="9">
        <v>231.82</v>
      </c>
      <c r="N603" t="s">
        <v>43</v>
      </c>
      <c r="Q603" s="2"/>
      <c r="R603" s="9"/>
      <c r="S603" t="s">
        <v>44</v>
      </c>
      <c r="T603" t="s">
        <v>45</v>
      </c>
      <c r="U603" s="2" t="s">
        <v>695</v>
      </c>
      <c r="V603" s="9" t="s">
        <v>2477</v>
      </c>
      <c r="W603">
        <v>4.2260820630766001E+43</v>
      </c>
      <c r="X603" t="s">
        <v>46</v>
      </c>
      <c r="Y603" s="2" t="s">
        <v>717</v>
      </c>
      <c r="Z603" s="2" t="s">
        <v>718</v>
      </c>
      <c r="AA603" s="9" t="s">
        <v>715</v>
      </c>
      <c r="AC603" s="2"/>
      <c r="AD603" t="s">
        <v>7</v>
      </c>
      <c r="AE603" t="s">
        <v>2478</v>
      </c>
    </row>
    <row r="604" spans="1:31" x14ac:dyDescent="0.3">
      <c r="A604" s="17">
        <v>90739624000118</v>
      </c>
      <c r="B604" t="s">
        <v>58</v>
      </c>
      <c r="D604" t="s">
        <v>555</v>
      </c>
      <c r="E604" t="s">
        <v>2</v>
      </c>
      <c r="F604">
        <v>269308</v>
      </c>
      <c r="G604" s="1" t="s">
        <v>2479</v>
      </c>
      <c r="H604">
        <v>24863795</v>
      </c>
      <c r="I604">
        <v>110885</v>
      </c>
      <c r="J604" t="s">
        <v>106</v>
      </c>
      <c r="K604" s="17">
        <v>7473735015103</v>
      </c>
      <c r="L604" s="17">
        <v>90739624002323</v>
      </c>
      <c r="M604" s="9">
        <v>594.22</v>
      </c>
      <c r="N604" t="s">
        <v>43</v>
      </c>
      <c r="Q604" s="2"/>
      <c r="R604" s="9"/>
      <c r="S604" t="s">
        <v>44</v>
      </c>
      <c r="T604" t="s">
        <v>45</v>
      </c>
      <c r="U604" s="2" t="s">
        <v>695</v>
      </c>
      <c r="V604" s="9" t="s">
        <v>2480</v>
      </c>
      <c r="W604">
        <v>4.3260807473734999E+43</v>
      </c>
      <c r="X604" t="s">
        <v>46</v>
      </c>
      <c r="Y604" s="2" t="s">
        <v>717</v>
      </c>
      <c r="Z604" s="2" t="s">
        <v>718</v>
      </c>
      <c r="AA604" s="9" t="s">
        <v>715</v>
      </c>
      <c r="AC604" s="2"/>
      <c r="AD604" t="s">
        <v>7</v>
      </c>
      <c r="AE604" t="s">
        <v>2481</v>
      </c>
    </row>
    <row r="605" spans="1:31" x14ac:dyDescent="0.3">
      <c r="A605" s="17">
        <v>90739624000118</v>
      </c>
      <c r="B605" t="s">
        <v>52</v>
      </c>
      <c r="C605">
        <v>22492</v>
      </c>
      <c r="D605" t="s">
        <v>249</v>
      </c>
      <c r="E605" t="s">
        <v>2</v>
      </c>
      <c r="F605">
        <v>269308</v>
      </c>
      <c r="G605" s="1" t="s">
        <v>2482</v>
      </c>
      <c r="H605">
        <v>24863684</v>
      </c>
      <c r="I605">
        <v>40867</v>
      </c>
      <c r="J605" t="s">
        <v>545</v>
      </c>
      <c r="K605" s="17">
        <v>30429333000282</v>
      </c>
      <c r="L605" s="17">
        <v>9576274000106</v>
      </c>
      <c r="M605" s="9">
        <v>163.08000000000001</v>
      </c>
      <c r="N605" t="s">
        <v>43</v>
      </c>
      <c r="Q605" s="2"/>
      <c r="R605" s="9"/>
      <c r="S605" t="s">
        <v>44</v>
      </c>
      <c r="T605" t="s">
        <v>45</v>
      </c>
      <c r="U605" s="2" t="s">
        <v>695</v>
      </c>
      <c r="V605" s="9" t="s">
        <v>2483</v>
      </c>
      <c r="W605">
        <v>4.1260830429333002E+43</v>
      </c>
      <c r="X605" t="s">
        <v>46</v>
      </c>
      <c r="Y605" s="2" t="s">
        <v>717</v>
      </c>
      <c r="Z605" s="2" t="s">
        <v>718</v>
      </c>
      <c r="AA605" s="9" t="s">
        <v>715</v>
      </c>
      <c r="AC605" s="2"/>
      <c r="AD605" t="s">
        <v>7</v>
      </c>
      <c r="AE605" t="s">
        <v>2484</v>
      </c>
    </row>
    <row r="606" spans="1:31" x14ac:dyDescent="0.3">
      <c r="A606" s="17">
        <v>90739624000118</v>
      </c>
      <c r="B606" t="s">
        <v>58</v>
      </c>
      <c r="D606" t="s">
        <v>153</v>
      </c>
      <c r="E606" t="s">
        <v>2</v>
      </c>
      <c r="F606">
        <v>269308</v>
      </c>
      <c r="G606" s="1" t="s">
        <v>2485</v>
      </c>
      <c r="H606">
        <v>24863675</v>
      </c>
      <c r="I606">
        <v>110883</v>
      </c>
      <c r="J606" t="s">
        <v>106</v>
      </c>
      <c r="K606" s="17">
        <v>7473735015103</v>
      </c>
      <c r="L606" s="17">
        <v>90739624002323</v>
      </c>
      <c r="M606" s="9">
        <v>201.2</v>
      </c>
      <c r="N606" t="s">
        <v>43</v>
      </c>
      <c r="Q606" s="2"/>
      <c r="R606" s="9"/>
      <c r="S606" t="s">
        <v>44</v>
      </c>
      <c r="T606" t="s">
        <v>45</v>
      </c>
      <c r="U606" s="2" t="s">
        <v>695</v>
      </c>
      <c r="V606" s="9" t="s">
        <v>2486</v>
      </c>
      <c r="W606">
        <v>4.3260807473734999E+43</v>
      </c>
      <c r="X606" t="s">
        <v>46</v>
      </c>
      <c r="Y606" s="2" t="s">
        <v>717</v>
      </c>
      <c r="Z606" s="2" t="s">
        <v>718</v>
      </c>
      <c r="AA606" s="9" t="s">
        <v>715</v>
      </c>
      <c r="AC606" s="2"/>
      <c r="AD606" t="s">
        <v>7</v>
      </c>
      <c r="AE606" t="s">
        <v>2487</v>
      </c>
    </row>
    <row r="607" spans="1:31" x14ac:dyDescent="0.3">
      <c r="A607" s="17">
        <v>90739624000118</v>
      </c>
      <c r="B607" t="s">
        <v>11</v>
      </c>
      <c r="D607" t="s">
        <v>247</v>
      </c>
      <c r="E607" t="s">
        <v>2</v>
      </c>
      <c r="F607">
        <v>269308</v>
      </c>
      <c r="G607" s="1" t="s">
        <v>2488</v>
      </c>
      <c r="H607">
        <v>24863639</v>
      </c>
      <c r="I607">
        <v>46863</v>
      </c>
      <c r="J607" t="s">
        <v>608</v>
      </c>
      <c r="K607" s="17">
        <v>42183609000193</v>
      </c>
      <c r="L607" s="17">
        <v>90739624001947</v>
      </c>
      <c r="M607" s="9">
        <v>186.81</v>
      </c>
      <c r="N607" t="s">
        <v>43</v>
      </c>
      <c r="Q607" s="2"/>
      <c r="R607" s="9"/>
      <c r="S607" t="s">
        <v>44</v>
      </c>
      <c r="T607" t="s">
        <v>45</v>
      </c>
      <c r="U607" s="2" t="s">
        <v>695</v>
      </c>
      <c r="V607" s="9" t="s">
        <v>2489</v>
      </c>
      <c r="W607">
        <v>5.2260842183608999E+43</v>
      </c>
      <c r="X607" t="s">
        <v>46</v>
      </c>
      <c r="Y607" s="2" t="s">
        <v>717</v>
      </c>
      <c r="Z607" s="2" t="s">
        <v>718</v>
      </c>
      <c r="AA607" s="9" t="s">
        <v>715</v>
      </c>
      <c r="AC607" s="2"/>
      <c r="AD607" t="s">
        <v>7</v>
      </c>
      <c r="AE607" t="s">
        <v>2490</v>
      </c>
    </row>
    <row r="608" spans="1:31" x14ac:dyDescent="0.3">
      <c r="A608" s="17">
        <v>90739624000118</v>
      </c>
      <c r="B608" t="s">
        <v>126</v>
      </c>
      <c r="D608" t="s">
        <v>2491</v>
      </c>
      <c r="E608" t="s">
        <v>2</v>
      </c>
      <c r="F608">
        <v>269308</v>
      </c>
      <c r="G608" s="1" t="s">
        <v>2492</v>
      </c>
      <c r="H608">
        <v>24863478</v>
      </c>
      <c r="I608">
        <v>28745</v>
      </c>
      <c r="J608" t="s">
        <v>127</v>
      </c>
      <c r="K608" s="17">
        <v>76493295000147</v>
      </c>
      <c r="L608" s="17">
        <v>9576274000106</v>
      </c>
      <c r="M608" s="9">
        <v>133.80000000000001</v>
      </c>
      <c r="N608" t="s">
        <v>43</v>
      </c>
      <c r="Q608" s="2"/>
      <c r="R608" s="9"/>
      <c r="S608" t="s">
        <v>44</v>
      </c>
      <c r="T608" t="s">
        <v>45</v>
      </c>
      <c r="U608" s="2" t="s">
        <v>695</v>
      </c>
      <c r="V608" s="9" t="s">
        <v>2493</v>
      </c>
      <c r="W608">
        <v>4.1260876493295002E+43</v>
      </c>
      <c r="X608" t="s">
        <v>46</v>
      </c>
      <c r="Y608" s="2" t="s">
        <v>717</v>
      </c>
      <c r="Z608" s="2" t="s">
        <v>718</v>
      </c>
      <c r="AA608" s="9" t="s">
        <v>715</v>
      </c>
      <c r="AC608" s="2"/>
      <c r="AD608" t="s">
        <v>7</v>
      </c>
      <c r="AE608" t="s">
        <v>2494</v>
      </c>
    </row>
    <row r="609" spans="1:31" x14ac:dyDescent="0.3">
      <c r="A609" s="17">
        <v>90739624000118</v>
      </c>
      <c r="B609" t="s">
        <v>73</v>
      </c>
      <c r="D609" t="s">
        <v>526</v>
      </c>
      <c r="E609" t="s">
        <v>2</v>
      </c>
      <c r="F609">
        <v>269308</v>
      </c>
      <c r="G609" s="1" t="s">
        <v>2495</v>
      </c>
      <c r="H609">
        <v>24863427</v>
      </c>
      <c r="I609">
        <v>8846</v>
      </c>
      <c r="J609" t="s">
        <v>262</v>
      </c>
      <c r="K609" s="17">
        <v>7473735001587</v>
      </c>
      <c r="L609" s="17">
        <v>90739624002323</v>
      </c>
      <c r="M609" s="9">
        <v>205.18</v>
      </c>
      <c r="N609" t="s">
        <v>43</v>
      </c>
      <c r="Q609" s="2"/>
      <c r="R609" s="9"/>
      <c r="S609" t="s">
        <v>44</v>
      </c>
      <c r="T609" t="s">
        <v>45</v>
      </c>
      <c r="U609" s="2" t="s">
        <v>695</v>
      </c>
      <c r="V609" s="9" t="s">
        <v>2496</v>
      </c>
      <c r="W609">
        <v>4.3260807473734999E+43</v>
      </c>
      <c r="X609" t="s">
        <v>46</v>
      </c>
      <c r="Y609" s="2" t="s">
        <v>717</v>
      </c>
      <c r="Z609" s="2" t="s">
        <v>718</v>
      </c>
      <c r="AA609" s="9" t="s">
        <v>715</v>
      </c>
      <c r="AC609" s="2"/>
      <c r="AD609" t="s">
        <v>7</v>
      </c>
      <c r="AE609" t="s">
        <v>2497</v>
      </c>
    </row>
    <row r="610" spans="1:31" x14ac:dyDescent="0.3">
      <c r="A610" s="17">
        <v>90739624000118</v>
      </c>
      <c r="B610" t="s">
        <v>61</v>
      </c>
      <c r="C610">
        <v>18633</v>
      </c>
      <c r="D610" t="s">
        <v>304</v>
      </c>
      <c r="E610" t="s">
        <v>2</v>
      </c>
      <c r="F610">
        <v>269308</v>
      </c>
      <c r="G610" s="1" t="s">
        <v>2498</v>
      </c>
      <c r="H610">
        <v>24863198</v>
      </c>
      <c r="I610">
        <v>32130</v>
      </c>
      <c r="J610" t="s">
        <v>79</v>
      </c>
      <c r="K610" s="17">
        <v>7473735000777</v>
      </c>
      <c r="L610" s="17">
        <v>90739624002323</v>
      </c>
      <c r="M610" s="9">
        <v>685.2</v>
      </c>
      <c r="N610" t="s">
        <v>43</v>
      </c>
      <c r="Q610" s="2"/>
      <c r="R610" s="9"/>
      <c r="S610" t="s">
        <v>44</v>
      </c>
      <c r="T610" t="s">
        <v>45</v>
      </c>
      <c r="U610" s="2" t="s">
        <v>695</v>
      </c>
      <c r="V610" s="9" t="s">
        <v>2499</v>
      </c>
      <c r="W610">
        <v>4.3260807473734999E+43</v>
      </c>
      <c r="X610" t="s">
        <v>46</v>
      </c>
      <c r="Y610" s="2" t="s">
        <v>717</v>
      </c>
      <c r="Z610" s="2" t="s">
        <v>718</v>
      </c>
      <c r="AA610" s="9" t="s">
        <v>715</v>
      </c>
      <c r="AC610" s="2"/>
      <c r="AD610" t="s">
        <v>7</v>
      </c>
      <c r="AE610" t="s">
        <v>2500</v>
      </c>
    </row>
    <row r="611" spans="1:31" x14ac:dyDescent="0.3">
      <c r="A611" s="17">
        <v>90739624000118</v>
      </c>
      <c r="B611" t="s">
        <v>8</v>
      </c>
      <c r="D611" t="s">
        <v>139</v>
      </c>
      <c r="E611" t="s">
        <v>2</v>
      </c>
      <c r="F611">
        <v>269308</v>
      </c>
      <c r="G611" s="1" t="s">
        <v>2501</v>
      </c>
      <c r="H611">
        <v>24863099</v>
      </c>
      <c r="I611">
        <v>820193</v>
      </c>
      <c r="J611" t="s">
        <v>62</v>
      </c>
      <c r="K611" s="17">
        <v>79964177000591</v>
      </c>
      <c r="L611" s="17">
        <v>9576274000106</v>
      </c>
      <c r="M611" s="9">
        <v>1979.99</v>
      </c>
      <c r="N611" t="s">
        <v>43</v>
      </c>
      <c r="Q611" s="2"/>
      <c r="R611" s="9"/>
      <c r="S611" t="s">
        <v>44</v>
      </c>
      <c r="T611" t="s">
        <v>45</v>
      </c>
      <c r="U611" s="2" t="s">
        <v>695</v>
      </c>
      <c r="V611" s="9" t="s">
        <v>2502</v>
      </c>
      <c r="W611">
        <v>4.1260879964176998E+43</v>
      </c>
      <c r="X611" t="s">
        <v>46</v>
      </c>
      <c r="Y611" s="2" t="s">
        <v>717</v>
      </c>
      <c r="Z611" s="2" t="s">
        <v>718</v>
      </c>
      <c r="AA611" s="9" t="s">
        <v>715</v>
      </c>
      <c r="AC611" s="2"/>
      <c r="AD611" t="s">
        <v>7</v>
      </c>
      <c r="AE611" t="s">
        <v>2503</v>
      </c>
    </row>
    <row r="612" spans="1:31" x14ac:dyDescent="0.3">
      <c r="A612" s="17">
        <v>90739624000118</v>
      </c>
      <c r="B612" t="s">
        <v>63</v>
      </c>
      <c r="C612">
        <v>22489</v>
      </c>
      <c r="D612" t="s">
        <v>228</v>
      </c>
      <c r="E612" t="s">
        <v>2</v>
      </c>
      <c r="F612">
        <v>269308</v>
      </c>
      <c r="G612" s="1" t="s">
        <v>2504</v>
      </c>
      <c r="H612">
        <v>24862978</v>
      </c>
      <c r="I612">
        <v>179051</v>
      </c>
      <c r="J612" t="s">
        <v>64</v>
      </c>
      <c r="K612" s="17">
        <v>23448964001921</v>
      </c>
      <c r="L612" s="17">
        <v>90739624001432</v>
      </c>
      <c r="M612" s="9">
        <v>247.45</v>
      </c>
      <c r="N612" t="s">
        <v>43</v>
      </c>
      <c r="Q612" s="2"/>
      <c r="R612" s="9"/>
      <c r="S612" t="s">
        <v>44</v>
      </c>
      <c r="T612" t="s">
        <v>45</v>
      </c>
      <c r="U612" s="2" t="s">
        <v>695</v>
      </c>
      <c r="V612" s="9" t="s">
        <v>2505</v>
      </c>
      <c r="W612">
        <v>4.2260823448963998E+43</v>
      </c>
      <c r="X612" t="s">
        <v>46</v>
      </c>
      <c r="Y612" s="2" t="s">
        <v>717</v>
      </c>
      <c r="Z612" s="2" t="s">
        <v>718</v>
      </c>
      <c r="AA612" s="9" t="s">
        <v>715</v>
      </c>
      <c r="AC612" s="2"/>
      <c r="AD612" t="s">
        <v>7</v>
      </c>
      <c r="AE612" t="s">
        <v>2506</v>
      </c>
    </row>
    <row r="613" spans="1:31" x14ac:dyDescent="0.3">
      <c r="A613" s="17">
        <v>90739624000118</v>
      </c>
      <c r="B613" t="s">
        <v>8</v>
      </c>
      <c r="C613">
        <v>26249</v>
      </c>
      <c r="D613" t="s">
        <v>76</v>
      </c>
      <c r="E613" t="s">
        <v>17</v>
      </c>
      <c r="F613">
        <v>269308</v>
      </c>
      <c r="G613" s="1" t="s">
        <v>2507</v>
      </c>
      <c r="H613">
        <v>24862678</v>
      </c>
      <c r="I613">
        <v>162917</v>
      </c>
      <c r="J613" t="s">
        <v>51</v>
      </c>
      <c r="K613" s="17">
        <v>2763612000161</v>
      </c>
      <c r="L613" s="17">
        <v>90739624003133</v>
      </c>
      <c r="M613" s="9">
        <v>39.24</v>
      </c>
      <c r="N613" t="s">
        <v>43</v>
      </c>
      <c r="Q613" s="2"/>
      <c r="R613" s="9"/>
      <c r="S613" t="s">
        <v>44</v>
      </c>
      <c r="T613" t="s">
        <v>45</v>
      </c>
      <c r="U613" s="2" t="s">
        <v>695</v>
      </c>
      <c r="V613" s="9" t="s">
        <v>2508</v>
      </c>
      <c r="W613">
        <v>4.1260802763612002E+43</v>
      </c>
      <c r="X613" t="s">
        <v>46</v>
      </c>
      <c r="Y613" s="2" t="s">
        <v>717</v>
      </c>
      <c r="Z613" s="2" t="s">
        <v>718</v>
      </c>
      <c r="AA613" s="9" t="s">
        <v>715</v>
      </c>
      <c r="AC613" s="2"/>
      <c r="AD613" t="s">
        <v>7</v>
      </c>
      <c r="AE613" t="s">
        <v>2509</v>
      </c>
    </row>
    <row r="614" spans="1:31" x14ac:dyDescent="0.3">
      <c r="A614" s="17">
        <v>90739624000118</v>
      </c>
      <c r="B614" t="s">
        <v>8</v>
      </c>
      <c r="C614">
        <v>26249</v>
      </c>
      <c r="D614" t="s">
        <v>76</v>
      </c>
      <c r="E614" t="s">
        <v>2</v>
      </c>
      <c r="F614">
        <v>269308</v>
      </c>
      <c r="G614" s="1" t="s">
        <v>2510</v>
      </c>
      <c r="H614">
        <v>24862668</v>
      </c>
      <c r="I614">
        <v>162916</v>
      </c>
      <c r="J614" t="s">
        <v>51</v>
      </c>
      <c r="K614" s="17">
        <v>2763612000161</v>
      </c>
      <c r="L614" s="17">
        <v>90739624003133</v>
      </c>
      <c r="M614" s="9">
        <v>835.11</v>
      </c>
      <c r="N614" t="s">
        <v>43</v>
      </c>
      <c r="Q614" s="2"/>
      <c r="R614" s="9"/>
      <c r="S614" t="s">
        <v>44</v>
      </c>
      <c r="T614" t="s">
        <v>45</v>
      </c>
      <c r="U614" s="2" t="s">
        <v>695</v>
      </c>
      <c r="V614" s="9" t="s">
        <v>2511</v>
      </c>
      <c r="W614">
        <v>4.1260802763612002E+43</v>
      </c>
      <c r="X614" t="s">
        <v>46</v>
      </c>
      <c r="Y614" s="2" t="s">
        <v>717</v>
      </c>
      <c r="Z614" s="2" t="s">
        <v>718</v>
      </c>
      <c r="AA614" s="9" t="s">
        <v>715</v>
      </c>
      <c r="AC614" s="2"/>
      <c r="AD614" t="s">
        <v>7</v>
      </c>
      <c r="AE614" t="s">
        <v>2512</v>
      </c>
    </row>
    <row r="615" spans="1:31" x14ac:dyDescent="0.3">
      <c r="A615" s="17">
        <v>90739624000118</v>
      </c>
      <c r="B615" t="s">
        <v>31</v>
      </c>
      <c r="D615" t="s">
        <v>118</v>
      </c>
      <c r="E615" t="s">
        <v>2</v>
      </c>
      <c r="F615">
        <v>269308</v>
      </c>
      <c r="G615" s="1" t="s">
        <v>2513</v>
      </c>
      <c r="H615">
        <v>24862660</v>
      </c>
      <c r="I615">
        <v>171672</v>
      </c>
      <c r="J615" t="s">
        <v>233</v>
      </c>
      <c r="K615" s="17">
        <v>22611652000103</v>
      </c>
      <c r="L615" s="17">
        <v>90739624001866</v>
      </c>
      <c r="M615" s="9">
        <v>156.55000000000001</v>
      </c>
      <c r="N615" t="s">
        <v>43</v>
      </c>
      <c r="Q615" s="2"/>
      <c r="R615" s="9"/>
      <c r="S615" t="s">
        <v>44</v>
      </c>
      <c r="T615" t="s">
        <v>45</v>
      </c>
      <c r="U615" s="2" t="s">
        <v>695</v>
      </c>
      <c r="V615" s="9" t="s">
        <v>2514</v>
      </c>
      <c r="W615">
        <v>5.1260822611652001E+43</v>
      </c>
      <c r="X615" t="s">
        <v>46</v>
      </c>
      <c r="Y615" s="2" t="s">
        <v>717</v>
      </c>
      <c r="Z615" s="2" t="s">
        <v>718</v>
      </c>
      <c r="AA615" s="9" t="s">
        <v>715</v>
      </c>
      <c r="AC615" s="2"/>
      <c r="AD615" t="s">
        <v>7</v>
      </c>
      <c r="AE615" t="s">
        <v>2515</v>
      </c>
    </row>
    <row r="616" spans="1:31" x14ac:dyDescent="0.3">
      <c r="A616" s="17">
        <v>90739624000118</v>
      </c>
      <c r="B616" t="s">
        <v>63</v>
      </c>
      <c r="D616" t="s">
        <v>306</v>
      </c>
      <c r="E616" t="s">
        <v>2</v>
      </c>
      <c r="F616">
        <v>269308</v>
      </c>
      <c r="G616" s="1" t="s">
        <v>2516</v>
      </c>
      <c r="H616">
        <v>24862554</v>
      </c>
      <c r="I616">
        <v>1020</v>
      </c>
      <c r="J616" t="s">
        <v>2517</v>
      </c>
      <c r="K616" s="17">
        <v>37435735001391</v>
      </c>
      <c r="L616" s="17">
        <v>90739624001432</v>
      </c>
      <c r="M616" s="9">
        <v>277.77</v>
      </c>
      <c r="N616" t="s">
        <v>43</v>
      </c>
      <c r="Q616" s="2"/>
      <c r="R616" s="9"/>
      <c r="S616" t="s">
        <v>44</v>
      </c>
      <c r="T616" t="s">
        <v>45</v>
      </c>
      <c r="U616" s="2" t="s">
        <v>792</v>
      </c>
      <c r="V616" s="9" t="s">
        <v>2518</v>
      </c>
      <c r="W616">
        <v>4.2260837435734998E+43</v>
      </c>
      <c r="X616" t="s">
        <v>46</v>
      </c>
      <c r="Y616" s="2" t="s">
        <v>717</v>
      </c>
      <c r="Z616" s="2" t="s">
        <v>718</v>
      </c>
      <c r="AA616" s="9" t="s">
        <v>715</v>
      </c>
      <c r="AC616" s="2"/>
      <c r="AD616" t="s">
        <v>7</v>
      </c>
      <c r="AE616" t="s">
        <v>2519</v>
      </c>
    </row>
    <row r="617" spans="1:31" x14ac:dyDescent="0.3">
      <c r="A617" s="17">
        <v>90739624000118</v>
      </c>
      <c r="B617" t="s">
        <v>99</v>
      </c>
      <c r="D617" t="s">
        <v>266</v>
      </c>
      <c r="E617" t="s">
        <v>2</v>
      </c>
      <c r="F617">
        <v>269308</v>
      </c>
      <c r="G617" s="1" t="s">
        <v>2520</v>
      </c>
      <c r="H617">
        <v>24862539</v>
      </c>
      <c r="I617">
        <v>50512</v>
      </c>
      <c r="J617" t="s">
        <v>507</v>
      </c>
      <c r="K617" s="17">
        <v>3626094001330</v>
      </c>
      <c r="L617" s="17">
        <v>9576274000106</v>
      </c>
      <c r="M617" s="9">
        <v>276.36</v>
      </c>
      <c r="N617" t="s">
        <v>43</v>
      </c>
      <c r="Q617" s="2"/>
      <c r="R617" s="9"/>
      <c r="S617" t="s">
        <v>44</v>
      </c>
      <c r="T617" t="s">
        <v>45</v>
      </c>
      <c r="U617" s="2" t="s">
        <v>695</v>
      </c>
      <c r="V617" s="9" t="s">
        <v>2521</v>
      </c>
      <c r="W617">
        <v>4.1260803626093998E+43</v>
      </c>
      <c r="X617" t="s">
        <v>46</v>
      </c>
      <c r="Y617" s="2" t="s">
        <v>717</v>
      </c>
      <c r="Z617" s="2" t="s">
        <v>718</v>
      </c>
      <c r="AA617" s="9" t="s">
        <v>715</v>
      </c>
      <c r="AC617" s="2"/>
      <c r="AD617" t="s">
        <v>7</v>
      </c>
      <c r="AE617" t="s">
        <v>2522</v>
      </c>
    </row>
    <row r="618" spans="1:31" x14ac:dyDescent="0.3">
      <c r="A618" s="17">
        <v>90739624000118</v>
      </c>
      <c r="B618" t="s">
        <v>28</v>
      </c>
      <c r="D618" t="s">
        <v>511</v>
      </c>
      <c r="E618" t="s">
        <v>2</v>
      </c>
      <c r="F618">
        <v>269308</v>
      </c>
      <c r="G618" s="1" t="s">
        <v>2523</v>
      </c>
      <c r="H618">
        <v>24862505</v>
      </c>
      <c r="I618">
        <v>8565</v>
      </c>
      <c r="J618" t="s">
        <v>366</v>
      </c>
      <c r="K618" s="17">
        <v>27098262000197</v>
      </c>
      <c r="L618" s="17">
        <v>90739624001947</v>
      </c>
      <c r="M618" s="9">
        <v>67.47</v>
      </c>
      <c r="N618" t="s">
        <v>43</v>
      </c>
      <c r="Q618" s="2"/>
      <c r="R618" s="9"/>
      <c r="S618" t="s">
        <v>44</v>
      </c>
      <c r="T618" t="s">
        <v>45</v>
      </c>
      <c r="U618" s="2" t="s">
        <v>695</v>
      </c>
      <c r="V618" s="9" t="s">
        <v>2524</v>
      </c>
      <c r="W618">
        <v>5.2260827098261996E+43</v>
      </c>
      <c r="X618" t="s">
        <v>46</v>
      </c>
      <c r="Y618" s="2" t="s">
        <v>717</v>
      </c>
      <c r="Z618" s="2" t="s">
        <v>718</v>
      </c>
      <c r="AA618" s="9" t="s">
        <v>715</v>
      </c>
      <c r="AC618" s="2"/>
      <c r="AD618" t="s">
        <v>7</v>
      </c>
      <c r="AE618" t="s">
        <v>2525</v>
      </c>
    </row>
    <row r="619" spans="1:31" x14ac:dyDescent="0.3">
      <c r="A619" s="17">
        <v>90739624000118</v>
      </c>
      <c r="B619" t="s">
        <v>61</v>
      </c>
      <c r="D619" t="s">
        <v>325</v>
      </c>
      <c r="E619" t="s">
        <v>2</v>
      </c>
      <c r="F619">
        <v>269308</v>
      </c>
      <c r="G619" s="1" t="s">
        <v>2526</v>
      </c>
      <c r="H619">
        <v>24862416</v>
      </c>
      <c r="I619">
        <v>2508</v>
      </c>
      <c r="J619" t="s">
        <v>85</v>
      </c>
      <c r="K619" s="17">
        <v>1975878000105</v>
      </c>
      <c r="L619" s="17">
        <v>9576274000106</v>
      </c>
      <c r="M619" s="9">
        <v>247.01</v>
      </c>
      <c r="N619" t="s">
        <v>43</v>
      </c>
      <c r="Q619" s="2"/>
      <c r="R619" s="9"/>
      <c r="S619" t="s">
        <v>44</v>
      </c>
      <c r="T619" t="s">
        <v>45</v>
      </c>
      <c r="U619" s="2" t="s">
        <v>695</v>
      </c>
      <c r="V619" s="9" t="s">
        <v>2527</v>
      </c>
      <c r="W619">
        <v>4.1260801975878E+43</v>
      </c>
      <c r="X619" t="s">
        <v>46</v>
      </c>
      <c r="Y619" s="2" t="s">
        <v>717</v>
      </c>
      <c r="Z619" s="2" t="s">
        <v>718</v>
      </c>
      <c r="AA619" s="9" t="s">
        <v>715</v>
      </c>
      <c r="AC619" s="2"/>
      <c r="AD619" t="s">
        <v>7</v>
      </c>
      <c r="AE619" t="s">
        <v>2528</v>
      </c>
    </row>
    <row r="620" spans="1:31" x14ac:dyDescent="0.3">
      <c r="A620" s="17">
        <v>90739624000118</v>
      </c>
      <c r="B620" t="s">
        <v>18</v>
      </c>
      <c r="D620" t="s">
        <v>19</v>
      </c>
      <c r="E620" t="s">
        <v>17</v>
      </c>
      <c r="F620">
        <v>269308</v>
      </c>
      <c r="G620" s="1" t="s">
        <v>2529</v>
      </c>
      <c r="H620">
        <v>24862222</v>
      </c>
      <c r="I620">
        <v>20208</v>
      </c>
      <c r="J620" t="s">
        <v>54</v>
      </c>
      <c r="K620" s="17">
        <v>79130647000198</v>
      </c>
      <c r="L620" s="17">
        <v>9576274000106</v>
      </c>
      <c r="M620" s="9">
        <v>17.45</v>
      </c>
      <c r="N620" t="s">
        <v>43</v>
      </c>
      <c r="Q620" s="2"/>
      <c r="R620" s="9"/>
      <c r="S620" t="s">
        <v>44</v>
      </c>
      <c r="T620" t="s">
        <v>45</v>
      </c>
      <c r="U620" s="2" t="s">
        <v>695</v>
      </c>
      <c r="V620" s="9" t="s">
        <v>2530</v>
      </c>
      <c r="W620">
        <v>4.1260879130646998E+43</v>
      </c>
      <c r="X620" t="s">
        <v>46</v>
      </c>
      <c r="Y620" s="2" t="s">
        <v>717</v>
      </c>
      <c r="Z620" s="2" t="s">
        <v>718</v>
      </c>
      <c r="AA620" s="9" t="s">
        <v>715</v>
      </c>
      <c r="AC620" s="2"/>
      <c r="AD620" t="s">
        <v>7</v>
      </c>
      <c r="AE620" t="s">
        <v>2531</v>
      </c>
    </row>
    <row r="621" spans="1:31" x14ac:dyDescent="0.3">
      <c r="A621" s="17">
        <v>90739624000118</v>
      </c>
      <c r="B621" t="s">
        <v>18</v>
      </c>
      <c r="D621" t="s">
        <v>19</v>
      </c>
      <c r="E621" t="s">
        <v>2</v>
      </c>
      <c r="F621">
        <v>269308</v>
      </c>
      <c r="G621" s="1" t="s">
        <v>2532</v>
      </c>
      <c r="H621">
        <v>24862096</v>
      </c>
      <c r="I621">
        <v>20207</v>
      </c>
      <c r="J621" t="s">
        <v>54</v>
      </c>
      <c r="K621" s="17">
        <v>79130647000198</v>
      </c>
      <c r="L621" s="17">
        <v>9576274000106</v>
      </c>
      <c r="M621" s="9">
        <v>214.49</v>
      </c>
      <c r="N621" t="s">
        <v>43</v>
      </c>
      <c r="Q621" s="2"/>
      <c r="R621" s="9"/>
      <c r="S621" t="s">
        <v>44</v>
      </c>
      <c r="T621" t="s">
        <v>45</v>
      </c>
      <c r="U621" s="2" t="s">
        <v>695</v>
      </c>
      <c r="V621" s="9" t="s">
        <v>2533</v>
      </c>
      <c r="W621">
        <v>4.1260879130646998E+43</v>
      </c>
      <c r="X621" t="s">
        <v>46</v>
      </c>
      <c r="Y621" s="2" t="s">
        <v>717</v>
      </c>
      <c r="Z621" s="2" t="s">
        <v>718</v>
      </c>
      <c r="AA621" s="9" t="s">
        <v>715</v>
      </c>
      <c r="AC621" s="2"/>
      <c r="AD621" t="s">
        <v>7</v>
      </c>
      <c r="AE621" t="s">
        <v>2534</v>
      </c>
    </row>
    <row r="622" spans="1:31" x14ac:dyDescent="0.3">
      <c r="A622" s="17">
        <v>90739624000118</v>
      </c>
      <c r="B622" t="s">
        <v>0</v>
      </c>
      <c r="C622">
        <v>24756</v>
      </c>
      <c r="D622" t="s">
        <v>271</v>
      </c>
      <c r="E622" t="s">
        <v>2</v>
      </c>
      <c r="F622">
        <v>269308</v>
      </c>
      <c r="G622" s="1" t="s">
        <v>2535</v>
      </c>
      <c r="H622">
        <v>24862066</v>
      </c>
      <c r="I622">
        <v>52773</v>
      </c>
      <c r="J622" t="s">
        <v>461</v>
      </c>
      <c r="K622" s="17">
        <v>1172040000183</v>
      </c>
      <c r="L622" s="17">
        <v>90739624001432</v>
      </c>
      <c r="M622" s="9">
        <v>410.04</v>
      </c>
      <c r="N622" t="s">
        <v>43</v>
      </c>
      <c r="Q622" s="2"/>
      <c r="R622" s="9"/>
      <c r="S622" t="s">
        <v>44</v>
      </c>
      <c r="T622" t="s">
        <v>45</v>
      </c>
      <c r="U622" s="2" t="s">
        <v>695</v>
      </c>
      <c r="V622" s="9" t="s">
        <v>2537</v>
      </c>
      <c r="W622">
        <v>4.2260801172040001E+43</v>
      </c>
      <c r="X622" t="s">
        <v>46</v>
      </c>
      <c r="Y622" s="2" t="s">
        <v>717</v>
      </c>
      <c r="Z622" s="2" t="s">
        <v>718</v>
      </c>
      <c r="AA622" s="9" t="s">
        <v>715</v>
      </c>
      <c r="AC622" s="2"/>
      <c r="AD622" t="s">
        <v>7</v>
      </c>
      <c r="AE622" t="s">
        <v>2538</v>
      </c>
    </row>
    <row r="623" spans="1:31" x14ac:dyDescent="0.3">
      <c r="A623" s="17">
        <v>90739624000118</v>
      </c>
      <c r="B623" t="s">
        <v>120</v>
      </c>
      <c r="C623">
        <v>22469</v>
      </c>
      <c r="D623" t="s">
        <v>643</v>
      </c>
      <c r="E623" t="s">
        <v>2</v>
      </c>
      <c r="F623">
        <v>269308</v>
      </c>
      <c r="G623" s="1" t="s">
        <v>2539</v>
      </c>
      <c r="H623">
        <v>24861769</v>
      </c>
      <c r="I623">
        <v>38146</v>
      </c>
      <c r="J623" t="s">
        <v>157</v>
      </c>
      <c r="K623" s="17">
        <v>78253424000155</v>
      </c>
      <c r="L623" s="17">
        <v>90739624001432</v>
      </c>
      <c r="M623" s="9">
        <v>230.45</v>
      </c>
      <c r="N623" t="s">
        <v>43</v>
      </c>
      <c r="Q623" s="2"/>
      <c r="R623" s="9"/>
      <c r="S623" t="s">
        <v>44</v>
      </c>
      <c r="T623" t="s">
        <v>45</v>
      </c>
      <c r="U623" s="2" t="s">
        <v>695</v>
      </c>
      <c r="V623" s="9" t="s">
        <v>654</v>
      </c>
      <c r="W623">
        <v>4.2260878253423998E+43</v>
      </c>
      <c r="X623" t="s">
        <v>46</v>
      </c>
      <c r="Y623" s="2" t="s">
        <v>717</v>
      </c>
      <c r="Z623" s="2" t="s">
        <v>718</v>
      </c>
      <c r="AA623" s="9" t="s">
        <v>715</v>
      </c>
      <c r="AC623" s="2"/>
      <c r="AD623" t="s">
        <v>7</v>
      </c>
      <c r="AE623" t="s">
        <v>2540</v>
      </c>
    </row>
    <row r="624" spans="1:31" x14ac:dyDescent="0.3">
      <c r="A624" s="17">
        <v>90739624000118</v>
      </c>
      <c r="B624" t="s">
        <v>13</v>
      </c>
      <c r="D624" t="s">
        <v>207</v>
      </c>
      <c r="E624" t="s">
        <v>17</v>
      </c>
      <c r="F624">
        <v>269308</v>
      </c>
      <c r="G624" s="1" t="s">
        <v>2541</v>
      </c>
      <c r="H624">
        <v>24861753</v>
      </c>
      <c r="I624">
        <v>263981</v>
      </c>
      <c r="J624" t="s">
        <v>337</v>
      </c>
      <c r="K624" s="17">
        <v>6068493000188</v>
      </c>
      <c r="L624" s="17">
        <v>90739624000380</v>
      </c>
      <c r="M624" s="9">
        <v>27.6</v>
      </c>
      <c r="N624" t="s">
        <v>43</v>
      </c>
      <c r="Q624" s="2"/>
      <c r="R624" s="9"/>
      <c r="S624" t="s">
        <v>44</v>
      </c>
      <c r="T624" t="s">
        <v>45</v>
      </c>
      <c r="U624" s="2" t="s">
        <v>581</v>
      </c>
      <c r="V624" s="9" t="s">
        <v>2543</v>
      </c>
      <c r="W624">
        <v>3.5260806068492999E+43</v>
      </c>
      <c r="X624" t="s">
        <v>46</v>
      </c>
      <c r="Y624" s="2" t="s">
        <v>717</v>
      </c>
      <c r="Z624" s="2" t="s">
        <v>718</v>
      </c>
      <c r="AA624" s="9" t="s">
        <v>715</v>
      </c>
      <c r="AC624" s="2"/>
      <c r="AD624" t="s">
        <v>7</v>
      </c>
      <c r="AE624" t="s">
        <v>2544</v>
      </c>
    </row>
    <row r="625" spans="1:31" x14ac:dyDescent="0.3">
      <c r="A625" s="17">
        <v>90739624000118</v>
      </c>
      <c r="B625" t="s">
        <v>13</v>
      </c>
      <c r="D625" t="s">
        <v>207</v>
      </c>
      <c r="E625" t="s">
        <v>2</v>
      </c>
      <c r="F625">
        <v>269308</v>
      </c>
      <c r="G625" s="1" t="s">
        <v>2545</v>
      </c>
      <c r="H625">
        <v>24861643</v>
      </c>
      <c r="I625">
        <v>263981</v>
      </c>
      <c r="J625" t="s">
        <v>337</v>
      </c>
      <c r="K625" s="17">
        <v>6068493000188</v>
      </c>
      <c r="L625" s="17">
        <v>90739624000380</v>
      </c>
      <c r="M625" s="9">
        <v>221.22</v>
      </c>
      <c r="N625" t="s">
        <v>43</v>
      </c>
      <c r="Q625" s="2"/>
      <c r="R625" s="9"/>
      <c r="S625" t="s">
        <v>44</v>
      </c>
      <c r="T625" t="s">
        <v>45</v>
      </c>
      <c r="U625" s="2" t="s">
        <v>581</v>
      </c>
      <c r="V625" s="9" t="s">
        <v>2543</v>
      </c>
      <c r="W625">
        <v>3.5260806068492999E+43</v>
      </c>
      <c r="X625" t="s">
        <v>46</v>
      </c>
      <c r="Y625" s="2" t="s">
        <v>717</v>
      </c>
      <c r="Z625" s="2" t="s">
        <v>718</v>
      </c>
      <c r="AA625" s="9" t="s">
        <v>715</v>
      </c>
      <c r="AC625" s="2"/>
      <c r="AD625" t="s">
        <v>7</v>
      </c>
      <c r="AE625" t="s">
        <v>2544</v>
      </c>
    </row>
    <row r="626" spans="1:31" x14ac:dyDescent="0.3">
      <c r="A626" s="17">
        <v>90739624000118</v>
      </c>
      <c r="B626" t="s">
        <v>11</v>
      </c>
      <c r="D626" t="s">
        <v>30</v>
      </c>
      <c r="E626" t="s">
        <v>2</v>
      </c>
      <c r="F626">
        <v>269308</v>
      </c>
      <c r="G626" s="1" t="s">
        <v>2547</v>
      </c>
      <c r="H626">
        <v>24861628</v>
      </c>
      <c r="I626">
        <v>371545</v>
      </c>
      <c r="J626" t="s">
        <v>486</v>
      </c>
      <c r="K626" s="17">
        <v>58446194000133</v>
      </c>
      <c r="L626" s="17">
        <v>90739624001947</v>
      </c>
      <c r="M626" s="9">
        <v>306.54000000000002</v>
      </c>
      <c r="N626" t="s">
        <v>43</v>
      </c>
      <c r="Q626" s="2"/>
      <c r="R626" s="9"/>
      <c r="S626" t="s">
        <v>44</v>
      </c>
      <c r="T626" t="s">
        <v>45</v>
      </c>
      <c r="U626" s="2" t="s">
        <v>602</v>
      </c>
      <c r="V626" s="9" t="s">
        <v>2548</v>
      </c>
      <c r="W626">
        <v>5.2260858446193998E+43</v>
      </c>
      <c r="X626" t="s">
        <v>46</v>
      </c>
      <c r="Y626" s="2" t="s">
        <v>717</v>
      </c>
      <c r="Z626" s="2" t="s">
        <v>718</v>
      </c>
      <c r="AA626" s="9" t="s">
        <v>715</v>
      </c>
      <c r="AC626" s="2"/>
      <c r="AD626" t="s">
        <v>7</v>
      </c>
      <c r="AE626" t="s">
        <v>2549</v>
      </c>
    </row>
    <row r="627" spans="1:31" x14ac:dyDescent="0.3">
      <c r="A627" s="17">
        <v>90739624000118</v>
      </c>
      <c r="B627" t="s">
        <v>99</v>
      </c>
      <c r="C627">
        <v>22479</v>
      </c>
      <c r="D627" t="s">
        <v>114</v>
      </c>
      <c r="E627" t="s">
        <v>2</v>
      </c>
      <c r="F627">
        <v>269308</v>
      </c>
      <c r="G627" s="1" t="s">
        <v>2550</v>
      </c>
      <c r="H627">
        <v>24861622</v>
      </c>
      <c r="I627">
        <v>50511</v>
      </c>
      <c r="J627" t="s">
        <v>507</v>
      </c>
      <c r="K627" s="17">
        <v>3626094001330</v>
      </c>
      <c r="L627" s="17">
        <v>9576274000106</v>
      </c>
      <c r="M627" s="9">
        <v>278.51</v>
      </c>
      <c r="N627" t="s">
        <v>43</v>
      </c>
      <c r="Q627" s="2"/>
      <c r="R627" s="9"/>
      <c r="S627" t="s">
        <v>44</v>
      </c>
      <c r="T627" t="s">
        <v>45</v>
      </c>
      <c r="U627" s="2" t="s">
        <v>695</v>
      </c>
      <c r="V627" s="9" t="s">
        <v>2551</v>
      </c>
      <c r="W627">
        <v>4.1260803626093998E+43</v>
      </c>
      <c r="X627" t="s">
        <v>46</v>
      </c>
      <c r="Y627" s="2" t="s">
        <v>717</v>
      </c>
      <c r="Z627" s="2" t="s">
        <v>718</v>
      </c>
      <c r="AA627" s="9" t="s">
        <v>715</v>
      </c>
      <c r="AC627" s="2"/>
      <c r="AD627" t="s">
        <v>7</v>
      </c>
      <c r="AE627" t="s">
        <v>2552</v>
      </c>
    </row>
    <row r="628" spans="1:31" x14ac:dyDescent="0.3">
      <c r="A628" s="17">
        <v>90739624000118</v>
      </c>
      <c r="B628" t="s">
        <v>28</v>
      </c>
      <c r="D628" t="s">
        <v>205</v>
      </c>
      <c r="E628" t="s">
        <v>2</v>
      </c>
      <c r="F628">
        <v>269308</v>
      </c>
      <c r="G628" s="1" t="s">
        <v>2553</v>
      </c>
      <c r="H628">
        <v>24861372</v>
      </c>
      <c r="I628">
        <v>81264</v>
      </c>
      <c r="J628" t="s">
        <v>48</v>
      </c>
      <c r="K628" s="17">
        <v>1272434001002</v>
      </c>
      <c r="L628" s="17">
        <v>90739624001947</v>
      </c>
      <c r="M628" s="9">
        <v>675.47</v>
      </c>
      <c r="N628" t="s">
        <v>43</v>
      </c>
      <c r="Q628" s="2"/>
      <c r="R628" s="9"/>
      <c r="S628" t="s">
        <v>44</v>
      </c>
      <c r="T628" t="s">
        <v>45</v>
      </c>
      <c r="U628" s="2" t="s">
        <v>695</v>
      </c>
      <c r="V628" s="9" t="s">
        <v>2555</v>
      </c>
      <c r="W628">
        <v>5.2260801272433996E+43</v>
      </c>
      <c r="X628" t="s">
        <v>46</v>
      </c>
      <c r="Y628" s="2" t="s">
        <v>717</v>
      </c>
      <c r="Z628" s="2" t="s">
        <v>718</v>
      </c>
      <c r="AA628" s="9" t="s">
        <v>715</v>
      </c>
      <c r="AC628" s="2"/>
      <c r="AD628" t="s">
        <v>7</v>
      </c>
      <c r="AE628" t="s">
        <v>2556</v>
      </c>
    </row>
    <row r="629" spans="1:31" x14ac:dyDescent="0.3">
      <c r="A629" s="17">
        <v>90739624000118</v>
      </c>
      <c r="B629" t="s">
        <v>40</v>
      </c>
      <c r="C629">
        <v>23397</v>
      </c>
      <c r="D629" t="s">
        <v>227</v>
      </c>
      <c r="E629" t="s">
        <v>17</v>
      </c>
      <c r="F629">
        <v>269308</v>
      </c>
      <c r="G629" s="1" t="s">
        <v>2557</v>
      </c>
      <c r="H629">
        <v>24861212</v>
      </c>
      <c r="I629">
        <v>168351</v>
      </c>
      <c r="J629" t="s">
        <v>42</v>
      </c>
      <c r="K629" s="17">
        <v>82156977000248</v>
      </c>
      <c r="L629" s="17">
        <v>90739624001432</v>
      </c>
      <c r="M629" s="9">
        <v>36.19</v>
      </c>
      <c r="N629" t="s">
        <v>43</v>
      </c>
      <c r="Q629" s="2"/>
      <c r="R629" s="9"/>
      <c r="S629" t="s">
        <v>44</v>
      </c>
      <c r="T629" t="s">
        <v>45</v>
      </c>
      <c r="U629" s="2" t="s">
        <v>695</v>
      </c>
      <c r="V629" s="9" t="s">
        <v>2558</v>
      </c>
      <c r="W629">
        <v>4.2260882156977001E+43</v>
      </c>
      <c r="X629" t="s">
        <v>46</v>
      </c>
      <c r="Y629" s="2" t="s">
        <v>717</v>
      </c>
      <c r="Z629" s="2" t="s">
        <v>718</v>
      </c>
      <c r="AA629" s="9" t="s">
        <v>715</v>
      </c>
      <c r="AC629" s="2"/>
      <c r="AD629" t="s">
        <v>7</v>
      </c>
      <c r="AE629" t="s">
        <v>2559</v>
      </c>
    </row>
    <row r="630" spans="1:31" x14ac:dyDescent="0.3">
      <c r="A630" s="17">
        <v>90739624000118</v>
      </c>
      <c r="B630" t="s">
        <v>40</v>
      </c>
      <c r="C630">
        <v>23397</v>
      </c>
      <c r="D630" t="s">
        <v>227</v>
      </c>
      <c r="E630" t="s">
        <v>2</v>
      </c>
      <c r="F630">
        <v>269308</v>
      </c>
      <c r="G630" s="1" t="s">
        <v>2560</v>
      </c>
      <c r="H630">
        <v>24861204</v>
      </c>
      <c r="I630">
        <v>168350</v>
      </c>
      <c r="J630" t="s">
        <v>42</v>
      </c>
      <c r="K630" s="17">
        <v>82156977000248</v>
      </c>
      <c r="L630" s="17">
        <v>90739624001432</v>
      </c>
      <c r="M630" s="9">
        <v>524.92999999999995</v>
      </c>
      <c r="N630" t="s">
        <v>43</v>
      </c>
      <c r="Q630" s="2"/>
      <c r="R630" s="9"/>
      <c r="S630" t="s">
        <v>44</v>
      </c>
      <c r="T630" t="s">
        <v>45</v>
      </c>
      <c r="U630" s="2" t="s">
        <v>695</v>
      </c>
      <c r="V630" s="9" t="s">
        <v>2561</v>
      </c>
      <c r="W630">
        <v>4.2260882156977001E+43</v>
      </c>
      <c r="X630" t="s">
        <v>46</v>
      </c>
      <c r="Y630" s="2" t="s">
        <v>717</v>
      </c>
      <c r="Z630" s="2" t="s">
        <v>718</v>
      </c>
      <c r="AA630" s="9" t="s">
        <v>715</v>
      </c>
      <c r="AC630" s="2"/>
      <c r="AD630" t="s">
        <v>7</v>
      </c>
      <c r="AE630" t="s">
        <v>2562</v>
      </c>
    </row>
    <row r="631" spans="1:31" x14ac:dyDescent="0.3">
      <c r="A631" s="17">
        <v>90739624000118</v>
      </c>
      <c r="B631" t="s">
        <v>11</v>
      </c>
      <c r="C631">
        <v>22475</v>
      </c>
      <c r="D631" t="s">
        <v>12</v>
      </c>
      <c r="E631" t="s">
        <v>2</v>
      </c>
      <c r="F631">
        <v>269308</v>
      </c>
      <c r="G631" s="1" t="s">
        <v>2563</v>
      </c>
      <c r="H631">
        <v>24861101</v>
      </c>
      <c r="I631">
        <v>287032</v>
      </c>
      <c r="J631" t="s">
        <v>678</v>
      </c>
      <c r="K631" s="17">
        <v>2651099000117</v>
      </c>
      <c r="L631" s="17">
        <v>90739624001947</v>
      </c>
      <c r="M631" s="9">
        <v>336.85</v>
      </c>
      <c r="N631" t="s">
        <v>43</v>
      </c>
      <c r="Q631" s="2"/>
      <c r="R631" s="9"/>
      <c r="S631" t="s">
        <v>44</v>
      </c>
      <c r="T631" t="s">
        <v>45</v>
      </c>
      <c r="U631" s="2" t="s">
        <v>695</v>
      </c>
      <c r="V631" s="9" t="s">
        <v>2564</v>
      </c>
      <c r="W631">
        <v>5.2260802651098998E+43</v>
      </c>
      <c r="X631" t="s">
        <v>46</v>
      </c>
      <c r="Y631" s="2" t="s">
        <v>717</v>
      </c>
      <c r="Z631" s="2" t="s">
        <v>718</v>
      </c>
      <c r="AA631" s="9" t="s">
        <v>715</v>
      </c>
      <c r="AC631" s="2"/>
      <c r="AD631" t="s">
        <v>7</v>
      </c>
      <c r="AE631" t="s">
        <v>2565</v>
      </c>
    </row>
    <row r="632" spans="1:31" x14ac:dyDescent="0.3">
      <c r="A632" s="17">
        <v>90739624000118</v>
      </c>
      <c r="B632" t="s">
        <v>65</v>
      </c>
      <c r="D632" t="s">
        <v>66</v>
      </c>
      <c r="E632" t="s">
        <v>17</v>
      </c>
      <c r="F632">
        <v>269308</v>
      </c>
      <c r="G632" s="1" t="s">
        <v>2566</v>
      </c>
      <c r="H632">
        <v>24860801</v>
      </c>
      <c r="I632">
        <v>75241</v>
      </c>
      <c r="J632" t="s">
        <v>67</v>
      </c>
      <c r="K632" s="17">
        <v>7473735006031</v>
      </c>
      <c r="L632" s="17">
        <v>90739624002323</v>
      </c>
      <c r="M632" s="9">
        <v>11.71</v>
      </c>
      <c r="N632" t="s">
        <v>43</v>
      </c>
      <c r="Q632" s="2"/>
      <c r="R632" s="9"/>
      <c r="S632" t="s">
        <v>44</v>
      </c>
      <c r="T632" t="s">
        <v>45</v>
      </c>
      <c r="U632" s="2" t="s">
        <v>695</v>
      </c>
      <c r="V632" s="9" t="s">
        <v>2567</v>
      </c>
      <c r="W632">
        <v>4.3260807473734999E+43</v>
      </c>
      <c r="X632" t="s">
        <v>46</v>
      </c>
      <c r="Y632" s="2" t="s">
        <v>717</v>
      </c>
      <c r="Z632" s="2" t="s">
        <v>718</v>
      </c>
      <c r="AA632" s="9" t="s">
        <v>715</v>
      </c>
      <c r="AC632" s="2"/>
      <c r="AD632" t="s">
        <v>7</v>
      </c>
      <c r="AE632" t="s">
        <v>2568</v>
      </c>
    </row>
    <row r="633" spans="1:31" x14ac:dyDescent="0.3">
      <c r="A633" s="17">
        <v>90739624000118</v>
      </c>
      <c r="B633" t="s">
        <v>58</v>
      </c>
      <c r="D633" t="s">
        <v>389</v>
      </c>
      <c r="E633" t="s">
        <v>2</v>
      </c>
      <c r="F633">
        <v>269308</v>
      </c>
      <c r="G633" s="1" t="s">
        <v>2569</v>
      </c>
      <c r="H633">
        <v>24860781</v>
      </c>
      <c r="I633">
        <v>110874</v>
      </c>
      <c r="J633" t="s">
        <v>106</v>
      </c>
      <c r="K633" s="17">
        <v>7473735015103</v>
      </c>
      <c r="L633" s="17">
        <v>90739624002323</v>
      </c>
      <c r="M633" s="9">
        <v>146.75</v>
      </c>
      <c r="N633" t="s">
        <v>43</v>
      </c>
      <c r="Q633" s="2"/>
      <c r="R633" s="9"/>
      <c r="S633" t="s">
        <v>44</v>
      </c>
      <c r="T633" t="s">
        <v>45</v>
      </c>
      <c r="U633" s="2" t="s">
        <v>695</v>
      </c>
      <c r="V633" s="9" t="s">
        <v>2570</v>
      </c>
      <c r="W633">
        <v>4.3260807473734999E+43</v>
      </c>
      <c r="X633" t="s">
        <v>46</v>
      </c>
      <c r="Y633" s="2" t="s">
        <v>717</v>
      </c>
      <c r="Z633" s="2" t="s">
        <v>718</v>
      </c>
      <c r="AA633" s="9" t="s">
        <v>715</v>
      </c>
      <c r="AC633" s="2"/>
      <c r="AD633" t="s">
        <v>7</v>
      </c>
      <c r="AE633" t="s">
        <v>2571</v>
      </c>
    </row>
    <row r="634" spans="1:31" x14ac:dyDescent="0.3">
      <c r="A634" s="17">
        <v>90739624000118</v>
      </c>
      <c r="B634" t="s">
        <v>11</v>
      </c>
      <c r="C634">
        <v>22475</v>
      </c>
      <c r="D634" t="s">
        <v>12</v>
      </c>
      <c r="E634" t="s">
        <v>2</v>
      </c>
      <c r="F634">
        <v>269308</v>
      </c>
      <c r="G634" s="1" t="s">
        <v>721</v>
      </c>
      <c r="H634">
        <v>24860705</v>
      </c>
      <c r="J634" t="s">
        <v>678</v>
      </c>
      <c r="K634" s="17">
        <v>2651099000117</v>
      </c>
      <c r="L634" s="17"/>
      <c r="M634" s="9">
        <v>331.89</v>
      </c>
      <c r="N634" t="s">
        <v>43</v>
      </c>
      <c r="Q634" s="2"/>
      <c r="R634" s="9"/>
      <c r="S634" t="s">
        <v>81</v>
      </c>
      <c r="U634" s="2"/>
      <c r="V634" s="9"/>
      <c r="X634" t="s">
        <v>82</v>
      </c>
      <c r="Y634" s="2" t="s">
        <v>717</v>
      </c>
      <c r="Z634" s="2" t="s">
        <v>718</v>
      </c>
      <c r="AA634" s="9" t="s">
        <v>715</v>
      </c>
      <c r="AB634">
        <v>269308</v>
      </c>
      <c r="AC634" s="2" t="s">
        <v>721</v>
      </c>
      <c r="AD634" t="s">
        <v>83</v>
      </c>
    </row>
    <row r="635" spans="1:31" x14ac:dyDescent="0.3">
      <c r="A635" s="17">
        <v>90739624000118</v>
      </c>
      <c r="B635" t="s">
        <v>58</v>
      </c>
      <c r="D635" t="s">
        <v>392</v>
      </c>
      <c r="E635" t="s">
        <v>2</v>
      </c>
      <c r="F635">
        <v>269308</v>
      </c>
      <c r="G635" s="1" t="s">
        <v>2572</v>
      </c>
      <c r="H635">
        <v>24860677</v>
      </c>
      <c r="I635">
        <v>56239</v>
      </c>
      <c r="J635" t="s">
        <v>532</v>
      </c>
      <c r="K635" s="17">
        <v>7473735018552</v>
      </c>
      <c r="L635" s="17">
        <v>90739624002323</v>
      </c>
      <c r="M635" s="9">
        <v>310.89</v>
      </c>
      <c r="N635" t="s">
        <v>43</v>
      </c>
      <c r="Q635" s="2"/>
      <c r="R635" s="9"/>
      <c r="S635" t="s">
        <v>44</v>
      </c>
      <c r="T635" t="s">
        <v>45</v>
      </c>
      <c r="U635" s="2" t="s">
        <v>695</v>
      </c>
      <c r="V635" s="9" t="s">
        <v>2573</v>
      </c>
      <c r="W635">
        <v>4.3260807473734999E+43</v>
      </c>
      <c r="X635" t="s">
        <v>46</v>
      </c>
      <c r="Y635" s="2" t="s">
        <v>717</v>
      </c>
      <c r="Z635" s="2" t="s">
        <v>718</v>
      </c>
      <c r="AA635" s="9" t="s">
        <v>715</v>
      </c>
      <c r="AC635" s="2"/>
      <c r="AD635" t="s">
        <v>7</v>
      </c>
      <c r="AE635" t="s">
        <v>2574</v>
      </c>
    </row>
    <row r="636" spans="1:31" x14ac:dyDescent="0.3">
      <c r="A636" s="17">
        <v>90739624000118</v>
      </c>
      <c r="B636" t="s">
        <v>65</v>
      </c>
      <c r="D636" t="s">
        <v>66</v>
      </c>
      <c r="E636" t="s">
        <v>2</v>
      </c>
      <c r="F636">
        <v>269308</v>
      </c>
      <c r="G636" s="1" t="s">
        <v>2575</v>
      </c>
      <c r="H636">
        <v>24860672</v>
      </c>
      <c r="I636">
        <v>75240</v>
      </c>
      <c r="J636" t="s">
        <v>67</v>
      </c>
      <c r="K636" s="17">
        <v>7473735006031</v>
      </c>
      <c r="L636" s="17">
        <v>90739624002323</v>
      </c>
      <c r="M636" s="9">
        <v>244.54</v>
      </c>
      <c r="N636" t="s">
        <v>43</v>
      </c>
      <c r="Q636" s="2"/>
      <c r="R636" s="9"/>
      <c r="S636" t="s">
        <v>44</v>
      </c>
      <c r="T636" t="s">
        <v>45</v>
      </c>
      <c r="U636" s="2" t="s">
        <v>695</v>
      </c>
      <c r="V636" s="9" t="s">
        <v>2576</v>
      </c>
      <c r="W636">
        <v>4.3260807473734999E+43</v>
      </c>
      <c r="X636" t="s">
        <v>46</v>
      </c>
      <c r="Y636" s="2" t="s">
        <v>717</v>
      </c>
      <c r="Z636" s="2" t="s">
        <v>718</v>
      </c>
      <c r="AA636" s="9" t="s">
        <v>715</v>
      </c>
      <c r="AC636" s="2"/>
      <c r="AD636" t="s">
        <v>7</v>
      </c>
      <c r="AE636" t="s">
        <v>2577</v>
      </c>
    </row>
    <row r="637" spans="1:31" x14ac:dyDescent="0.3">
      <c r="A637" s="17">
        <v>90739624000118</v>
      </c>
      <c r="B637" t="s">
        <v>58</v>
      </c>
      <c r="C637">
        <v>24800</v>
      </c>
      <c r="D637" t="s">
        <v>539</v>
      </c>
      <c r="E637" t="s">
        <v>2</v>
      </c>
      <c r="F637">
        <v>269308</v>
      </c>
      <c r="G637" s="1" t="s">
        <v>2578</v>
      </c>
      <c r="H637">
        <v>24860575</v>
      </c>
      <c r="I637">
        <v>110872</v>
      </c>
      <c r="J637" t="s">
        <v>106</v>
      </c>
      <c r="K637" s="17">
        <v>7473735015103</v>
      </c>
      <c r="L637" s="17">
        <v>90739624002323</v>
      </c>
      <c r="M637" s="9">
        <v>833.59</v>
      </c>
      <c r="N637" t="s">
        <v>43</v>
      </c>
      <c r="Q637" s="2"/>
      <c r="R637" s="9"/>
      <c r="S637" t="s">
        <v>44</v>
      </c>
      <c r="T637" t="s">
        <v>45</v>
      </c>
      <c r="U637" s="2" t="s">
        <v>695</v>
      </c>
      <c r="V637" s="9" t="s">
        <v>2579</v>
      </c>
      <c r="W637">
        <v>4.3260807473734999E+43</v>
      </c>
      <c r="X637" t="s">
        <v>46</v>
      </c>
      <c r="Y637" s="2" t="s">
        <v>717</v>
      </c>
      <c r="Z637" s="2" t="s">
        <v>718</v>
      </c>
      <c r="AA637" s="9" t="s">
        <v>715</v>
      </c>
      <c r="AC637" s="2"/>
      <c r="AD637" t="s">
        <v>7</v>
      </c>
      <c r="AE637" t="s">
        <v>2580</v>
      </c>
    </row>
    <row r="638" spans="1:31" x14ac:dyDescent="0.3">
      <c r="A638" s="17">
        <v>90739624000118</v>
      </c>
      <c r="B638" t="s">
        <v>28</v>
      </c>
      <c r="D638" t="s">
        <v>483</v>
      </c>
      <c r="E638" t="s">
        <v>2</v>
      </c>
      <c r="F638">
        <v>269308</v>
      </c>
      <c r="G638" s="1" t="s">
        <v>2581</v>
      </c>
      <c r="H638">
        <v>24860572</v>
      </c>
      <c r="I638">
        <v>67790</v>
      </c>
      <c r="J638" t="s">
        <v>288</v>
      </c>
      <c r="K638" s="17">
        <v>2162964000161</v>
      </c>
      <c r="L638" s="17">
        <v>90739624001947</v>
      </c>
      <c r="M638" s="9">
        <v>233.85</v>
      </c>
      <c r="N638" t="s">
        <v>43</v>
      </c>
      <c r="Q638" s="2"/>
      <c r="R638" s="9"/>
      <c r="S638" t="s">
        <v>44</v>
      </c>
      <c r="T638" t="s">
        <v>45</v>
      </c>
      <c r="U638" s="2" t="s">
        <v>695</v>
      </c>
      <c r="V638" s="9" t="s">
        <v>1111</v>
      </c>
      <c r="W638">
        <v>5.2260802162963999E+43</v>
      </c>
      <c r="X638" t="s">
        <v>46</v>
      </c>
      <c r="Y638" s="2" t="s">
        <v>717</v>
      </c>
      <c r="Z638" s="2" t="s">
        <v>718</v>
      </c>
      <c r="AA638" s="9" t="s">
        <v>715</v>
      </c>
      <c r="AC638" s="2"/>
      <c r="AD638" t="s">
        <v>7</v>
      </c>
      <c r="AE638" t="s">
        <v>2582</v>
      </c>
    </row>
    <row r="639" spans="1:31" x14ac:dyDescent="0.3">
      <c r="A639" s="17">
        <v>90739624000118</v>
      </c>
      <c r="B639" t="s">
        <v>100</v>
      </c>
      <c r="D639" t="s">
        <v>112</v>
      </c>
      <c r="E639" t="s">
        <v>2</v>
      </c>
      <c r="F639">
        <v>269308</v>
      </c>
      <c r="G639" s="1" t="s">
        <v>2583</v>
      </c>
      <c r="H639">
        <v>24860380</v>
      </c>
      <c r="I639">
        <v>3382844</v>
      </c>
      <c r="J639" t="s">
        <v>248</v>
      </c>
      <c r="K639" s="17">
        <v>3623054000282</v>
      </c>
      <c r="L639" s="17">
        <v>90739624001866</v>
      </c>
      <c r="M639" s="9">
        <v>474.37</v>
      </c>
      <c r="N639" t="s">
        <v>43</v>
      </c>
      <c r="Q639" s="2"/>
      <c r="R639" s="9"/>
      <c r="S639" t="s">
        <v>44</v>
      </c>
      <c r="T639" t="s">
        <v>45</v>
      </c>
      <c r="U639" s="2" t="s">
        <v>695</v>
      </c>
      <c r="V639" s="9" t="s">
        <v>2584</v>
      </c>
      <c r="W639">
        <v>5.1260803623053998E+43</v>
      </c>
      <c r="X639" t="s">
        <v>46</v>
      </c>
      <c r="Y639" s="2" t="s">
        <v>717</v>
      </c>
      <c r="Z639" s="2" t="s">
        <v>718</v>
      </c>
      <c r="AA639" s="9" t="s">
        <v>715</v>
      </c>
      <c r="AC639" s="2"/>
      <c r="AD639" t="s">
        <v>7</v>
      </c>
      <c r="AE639" t="s">
        <v>2585</v>
      </c>
    </row>
    <row r="640" spans="1:31" x14ac:dyDescent="0.3">
      <c r="A640" s="17">
        <v>90739624000118</v>
      </c>
      <c r="B640" t="s">
        <v>31</v>
      </c>
      <c r="C640">
        <v>22137</v>
      </c>
      <c r="D640" t="s">
        <v>544</v>
      </c>
      <c r="E640" t="s">
        <v>2</v>
      </c>
      <c r="F640">
        <v>269308</v>
      </c>
      <c r="G640" s="1" t="s">
        <v>2586</v>
      </c>
      <c r="H640">
        <v>24860265</v>
      </c>
      <c r="I640">
        <v>15843</v>
      </c>
      <c r="J640" t="s">
        <v>142</v>
      </c>
      <c r="K640" s="17">
        <v>54494203000100</v>
      </c>
      <c r="L640" s="17">
        <v>90739624001866</v>
      </c>
      <c r="M640" s="9">
        <v>105.3</v>
      </c>
      <c r="N640" t="s">
        <v>43</v>
      </c>
      <c r="Q640" s="2"/>
      <c r="R640" s="9"/>
      <c r="S640" t="s">
        <v>44</v>
      </c>
      <c r="T640" t="s">
        <v>45</v>
      </c>
      <c r="U640" s="2" t="s">
        <v>590</v>
      </c>
      <c r="V640" s="9" t="s">
        <v>2587</v>
      </c>
      <c r="W640">
        <v>5.1260854494202996E+43</v>
      </c>
      <c r="X640" t="s">
        <v>46</v>
      </c>
      <c r="Y640" s="2" t="s">
        <v>717</v>
      </c>
      <c r="Z640" s="2" t="s">
        <v>718</v>
      </c>
      <c r="AA640" s="9" t="s">
        <v>715</v>
      </c>
      <c r="AC640" s="2"/>
      <c r="AD640" t="s">
        <v>7</v>
      </c>
      <c r="AE640" t="s">
        <v>2588</v>
      </c>
    </row>
    <row r="641" spans="1:31" x14ac:dyDescent="0.3">
      <c r="A641" s="17">
        <v>90739624000118</v>
      </c>
      <c r="B641" t="s">
        <v>63</v>
      </c>
      <c r="D641" t="s">
        <v>276</v>
      </c>
      <c r="E641" t="s">
        <v>2</v>
      </c>
      <c r="F641">
        <v>269308</v>
      </c>
      <c r="G641" s="1" t="s">
        <v>2589</v>
      </c>
      <c r="H641">
        <v>24858067</v>
      </c>
      <c r="I641">
        <v>179020</v>
      </c>
      <c r="J641" t="s">
        <v>64</v>
      </c>
      <c r="K641" s="17">
        <v>23448964001921</v>
      </c>
      <c r="L641" s="17">
        <v>90739624001432</v>
      </c>
      <c r="M641" s="9">
        <v>202.07</v>
      </c>
      <c r="N641" t="s">
        <v>43</v>
      </c>
      <c r="Q641" s="2"/>
      <c r="R641" s="9"/>
      <c r="S641" t="s">
        <v>44</v>
      </c>
      <c r="T641" t="s">
        <v>45</v>
      </c>
      <c r="U641" s="2" t="s">
        <v>695</v>
      </c>
      <c r="V641" s="9" t="s">
        <v>2590</v>
      </c>
      <c r="W641">
        <v>4.2260823448963998E+43</v>
      </c>
      <c r="X641" t="s">
        <v>46</v>
      </c>
      <c r="Y641" s="2" t="s">
        <v>717</v>
      </c>
      <c r="Z641" s="2" t="s">
        <v>718</v>
      </c>
      <c r="AA641" s="9" t="s">
        <v>715</v>
      </c>
      <c r="AC641" s="2"/>
      <c r="AD641" t="s">
        <v>7</v>
      </c>
      <c r="AE641" t="s">
        <v>2591</v>
      </c>
    </row>
    <row r="642" spans="1:31" x14ac:dyDescent="0.3">
      <c r="A642" s="17">
        <v>90739624000118</v>
      </c>
      <c r="B642" t="s">
        <v>70</v>
      </c>
      <c r="C642">
        <v>22470</v>
      </c>
      <c r="D642" t="s">
        <v>115</v>
      </c>
      <c r="E642" t="s">
        <v>2</v>
      </c>
      <c r="F642">
        <v>269308</v>
      </c>
      <c r="G642" s="1" t="s">
        <v>2592</v>
      </c>
      <c r="H642">
        <v>24857130</v>
      </c>
      <c r="I642">
        <v>257127</v>
      </c>
      <c r="J642" t="s">
        <v>72</v>
      </c>
      <c r="K642" s="17">
        <v>79964177000168</v>
      </c>
      <c r="L642" s="17">
        <v>9576274000106</v>
      </c>
      <c r="M642" s="9">
        <v>235.93</v>
      </c>
      <c r="N642" t="s">
        <v>43</v>
      </c>
      <c r="Q642" s="2"/>
      <c r="R642" s="9"/>
      <c r="S642" t="s">
        <v>44</v>
      </c>
      <c r="T642" t="s">
        <v>45</v>
      </c>
      <c r="U642" s="2" t="s">
        <v>695</v>
      </c>
      <c r="V642" s="9" t="s">
        <v>2593</v>
      </c>
      <c r="W642">
        <v>4.1260879964176998E+43</v>
      </c>
      <c r="X642" t="s">
        <v>46</v>
      </c>
      <c r="Y642" s="2" t="s">
        <v>717</v>
      </c>
      <c r="Z642" s="2" t="s">
        <v>718</v>
      </c>
      <c r="AA642" s="9" t="s">
        <v>715</v>
      </c>
      <c r="AC642" s="2"/>
      <c r="AD642" t="s">
        <v>7</v>
      </c>
      <c r="AE642" t="s">
        <v>2594</v>
      </c>
    </row>
    <row r="643" spans="1:31" x14ac:dyDescent="0.3">
      <c r="A643" s="17">
        <v>90739624000118</v>
      </c>
      <c r="B643" t="s">
        <v>0</v>
      </c>
      <c r="C643">
        <v>22466</v>
      </c>
      <c r="D643" t="s">
        <v>571</v>
      </c>
      <c r="E643" t="s">
        <v>2</v>
      </c>
      <c r="F643">
        <v>269308</v>
      </c>
      <c r="G643" s="1" t="s">
        <v>2595</v>
      </c>
      <c r="H643">
        <v>24856257</v>
      </c>
      <c r="I643">
        <v>35410</v>
      </c>
      <c r="J643" t="s">
        <v>200</v>
      </c>
      <c r="K643" s="17">
        <v>4308884000520</v>
      </c>
      <c r="L643" s="17">
        <v>90739624001432</v>
      </c>
      <c r="M643" s="9">
        <v>283.83999999999997</v>
      </c>
      <c r="N643" t="s">
        <v>43</v>
      </c>
      <c r="Q643" s="2"/>
      <c r="R643" s="9"/>
      <c r="S643" t="s">
        <v>44</v>
      </c>
      <c r="T643" t="s">
        <v>45</v>
      </c>
      <c r="U643" s="2" t="s">
        <v>695</v>
      </c>
      <c r="V643" s="9" t="s">
        <v>2596</v>
      </c>
      <c r="W643">
        <v>4.2260804308884001E+43</v>
      </c>
      <c r="X643" t="s">
        <v>46</v>
      </c>
      <c r="Y643" s="2" t="s">
        <v>717</v>
      </c>
      <c r="Z643" s="2" t="s">
        <v>718</v>
      </c>
      <c r="AA643" s="9" t="s">
        <v>715</v>
      </c>
      <c r="AC643" s="2"/>
      <c r="AD643" t="s">
        <v>7</v>
      </c>
      <c r="AE643" t="s">
        <v>2597</v>
      </c>
    </row>
    <row r="644" spans="1:31" x14ac:dyDescent="0.3">
      <c r="A644" s="17">
        <v>90739624000118</v>
      </c>
      <c r="B644" t="s">
        <v>25</v>
      </c>
      <c r="D644" t="s">
        <v>703</v>
      </c>
      <c r="E644" t="s">
        <v>2</v>
      </c>
      <c r="F644">
        <v>269308</v>
      </c>
      <c r="G644" s="1" t="s">
        <v>2598</v>
      </c>
      <c r="H644">
        <v>24855648</v>
      </c>
      <c r="I644">
        <v>144586</v>
      </c>
      <c r="J644" t="s">
        <v>206</v>
      </c>
      <c r="K644" s="17">
        <v>50128357000128</v>
      </c>
      <c r="L644" s="17">
        <v>90739624003486</v>
      </c>
      <c r="M644" s="9">
        <v>473.07</v>
      </c>
      <c r="N644" t="s">
        <v>43</v>
      </c>
      <c r="Q644" s="2"/>
      <c r="R644" s="9"/>
      <c r="S644" t="s">
        <v>44</v>
      </c>
      <c r="T644" t="s">
        <v>45</v>
      </c>
      <c r="U644" s="2" t="s">
        <v>695</v>
      </c>
      <c r="V644" s="9" t="s">
        <v>2599</v>
      </c>
      <c r="W644">
        <v>5.1260850128356998E+43</v>
      </c>
      <c r="X644" t="s">
        <v>46</v>
      </c>
      <c r="Y644" s="2" t="s">
        <v>717</v>
      </c>
      <c r="Z644" s="2" t="s">
        <v>718</v>
      </c>
      <c r="AA644" s="9" t="s">
        <v>715</v>
      </c>
      <c r="AC644" s="2"/>
      <c r="AD644" t="s">
        <v>7</v>
      </c>
      <c r="AE644" t="s">
        <v>2600</v>
      </c>
    </row>
    <row r="645" spans="1:31" x14ac:dyDescent="0.3">
      <c r="A645" s="17">
        <v>90739624000118</v>
      </c>
      <c r="B645" t="s">
        <v>58</v>
      </c>
      <c r="D645" t="s">
        <v>564</v>
      </c>
      <c r="E645" t="s">
        <v>2</v>
      </c>
      <c r="F645">
        <v>269308</v>
      </c>
      <c r="G645" s="1" t="s">
        <v>2601</v>
      </c>
      <c r="H645">
        <v>24855610</v>
      </c>
      <c r="J645" t="s">
        <v>609</v>
      </c>
      <c r="K645" s="17">
        <v>7473735024102</v>
      </c>
      <c r="L645" s="17"/>
      <c r="M645" s="9">
        <v>233.19</v>
      </c>
      <c r="N645" t="s">
        <v>43</v>
      </c>
      <c r="Q645" s="2"/>
      <c r="R645" s="9"/>
      <c r="S645" t="s">
        <v>87</v>
      </c>
      <c r="U645" s="2"/>
      <c r="V645" s="9"/>
      <c r="X645" t="s">
        <v>88</v>
      </c>
      <c r="Y645" s="2" t="s">
        <v>717</v>
      </c>
      <c r="Z645" s="2" t="s">
        <v>718</v>
      </c>
      <c r="AA645" s="9" t="s">
        <v>715</v>
      </c>
      <c r="AC645" s="2"/>
      <c r="AD645" t="s">
        <v>7</v>
      </c>
    </row>
    <row r="646" spans="1:31" x14ac:dyDescent="0.3">
      <c r="A646" s="17">
        <v>90739624000118</v>
      </c>
      <c r="B646" t="s">
        <v>28</v>
      </c>
      <c r="D646" t="s">
        <v>511</v>
      </c>
      <c r="E646" t="s">
        <v>2</v>
      </c>
      <c r="F646">
        <v>269308</v>
      </c>
      <c r="G646" s="1" t="s">
        <v>2603</v>
      </c>
      <c r="H646">
        <v>24855602</v>
      </c>
      <c r="I646">
        <v>113042</v>
      </c>
      <c r="J646" t="s">
        <v>29</v>
      </c>
      <c r="K646" s="17">
        <v>47377960000139</v>
      </c>
      <c r="L646" s="17">
        <v>90739624001947</v>
      </c>
      <c r="M646" s="9">
        <v>173.1</v>
      </c>
      <c r="N646" t="s">
        <v>43</v>
      </c>
      <c r="Q646" s="2"/>
      <c r="R646" s="9"/>
      <c r="S646" t="s">
        <v>44</v>
      </c>
      <c r="T646" t="s">
        <v>45</v>
      </c>
      <c r="U646" s="2" t="s">
        <v>695</v>
      </c>
      <c r="V646" s="9" t="s">
        <v>2064</v>
      </c>
      <c r="W646">
        <v>5.2260847377959996E+43</v>
      </c>
      <c r="X646" t="s">
        <v>46</v>
      </c>
      <c r="Y646" s="2" t="s">
        <v>717</v>
      </c>
      <c r="Z646" s="2" t="s">
        <v>718</v>
      </c>
      <c r="AA646" s="9" t="s">
        <v>715</v>
      </c>
      <c r="AC646" s="2"/>
      <c r="AD646" t="s">
        <v>7</v>
      </c>
      <c r="AE646" t="s">
        <v>2604</v>
      </c>
    </row>
    <row r="647" spans="1:31" x14ac:dyDescent="0.3">
      <c r="A647" s="17">
        <v>90739624000118</v>
      </c>
      <c r="B647" t="s">
        <v>25</v>
      </c>
      <c r="D647" t="s">
        <v>93</v>
      </c>
      <c r="E647" t="s">
        <v>2</v>
      </c>
      <c r="F647">
        <v>269308</v>
      </c>
      <c r="G647" s="1" t="s">
        <v>2605</v>
      </c>
      <c r="H647">
        <v>24855529</v>
      </c>
      <c r="I647">
        <v>33939</v>
      </c>
      <c r="J647" t="s">
        <v>132</v>
      </c>
      <c r="K647" s="17">
        <v>10588554000105</v>
      </c>
      <c r="L647" s="17">
        <v>90739624003486</v>
      </c>
      <c r="M647" s="9">
        <v>101.37</v>
      </c>
      <c r="N647" t="s">
        <v>43</v>
      </c>
      <c r="Q647" s="2"/>
      <c r="R647" s="9"/>
      <c r="S647" t="s">
        <v>44</v>
      </c>
      <c r="T647" t="s">
        <v>45</v>
      </c>
      <c r="U647" s="2" t="s">
        <v>695</v>
      </c>
      <c r="V647" s="9" t="s">
        <v>2606</v>
      </c>
      <c r="W647">
        <v>5.1260810588554005E+43</v>
      </c>
      <c r="X647" t="s">
        <v>46</v>
      </c>
      <c r="Y647" s="2" t="s">
        <v>717</v>
      </c>
      <c r="Z647" s="2" t="s">
        <v>718</v>
      </c>
      <c r="AA647" s="9" t="s">
        <v>715</v>
      </c>
      <c r="AC647" s="2"/>
      <c r="AD647" t="s">
        <v>7</v>
      </c>
      <c r="AE647" t="s">
        <v>2607</v>
      </c>
    </row>
    <row r="648" spans="1:31" x14ac:dyDescent="0.3">
      <c r="A648" s="17">
        <v>90739624000118</v>
      </c>
      <c r="B648" t="s">
        <v>28</v>
      </c>
      <c r="C648">
        <v>21637</v>
      </c>
      <c r="D648" t="s">
        <v>549</v>
      </c>
      <c r="E648" t="s">
        <v>2</v>
      </c>
      <c r="F648">
        <v>269308</v>
      </c>
      <c r="G648" s="1" t="s">
        <v>2608</v>
      </c>
      <c r="H648">
        <v>24855500</v>
      </c>
      <c r="I648">
        <v>4148</v>
      </c>
      <c r="J648" t="s">
        <v>186</v>
      </c>
      <c r="K648" s="17">
        <v>7822636000168</v>
      </c>
      <c r="L648" s="17">
        <v>90739624004458</v>
      </c>
      <c r="M648" s="9">
        <v>423.9</v>
      </c>
      <c r="N648" t="s">
        <v>43</v>
      </c>
      <c r="Q648" s="2"/>
      <c r="R648" s="9"/>
      <c r="S648" t="s">
        <v>44</v>
      </c>
      <c r="T648" t="s">
        <v>45</v>
      </c>
      <c r="U648" s="2" t="s">
        <v>695</v>
      </c>
      <c r="V648" s="9" t="s">
        <v>2609</v>
      </c>
      <c r="W648">
        <v>5.3260807822636003E+43</v>
      </c>
      <c r="X648" t="s">
        <v>46</v>
      </c>
      <c r="Y648" s="2" t="s">
        <v>717</v>
      </c>
      <c r="Z648" s="2" t="s">
        <v>718</v>
      </c>
      <c r="AA648" s="9" t="s">
        <v>715</v>
      </c>
      <c r="AC648" s="2"/>
      <c r="AD648" t="s">
        <v>7</v>
      </c>
      <c r="AE648" t="s">
        <v>2610</v>
      </c>
    </row>
    <row r="649" spans="1:31" x14ac:dyDescent="0.3">
      <c r="A649" s="17">
        <v>90739624000118</v>
      </c>
      <c r="B649" t="s">
        <v>31</v>
      </c>
      <c r="D649" t="s">
        <v>273</v>
      </c>
      <c r="E649" t="s">
        <v>2</v>
      </c>
      <c r="F649">
        <v>269308</v>
      </c>
      <c r="G649" s="1" t="s">
        <v>2611</v>
      </c>
      <c r="H649">
        <v>24855203</v>
      </c>
      <c r="I649">
        <v>190374</v>
      </c>
      <c r="J649" t="s">
        <v>2612</v>
      </c>
      <c r="K649" s="17">
        <v>32962458000118</v>
      </c>
      <c r="L649" s="17">
        <v>90739624001866</v>
      </c>
      <c r="M649" s="9">
        <v>85.94</v>
      </c>
      <c r="N649" t="s">
        <v>43</v>
      </c>
      <c r="Q649" s="2"/>
      <c r="R649" s="9"/>
      <c r="S649" t="s">
        <v>44</v>
      </c>
      <c r="T649" t="s">
        <v>45</v>
      </c>
      <c r="U649" s="2" t="s">
        <v>695</v>
      </c>
      <c r="V649" s="9" t="s">
        <v>2613</v>
      </c>
      <c r="W649">
        <v>5.1260832962457996E+43</v>
      </c>
      <c r="X649" t="s">
        <v>46</v>
      </c>
      <c r="Y649" s="2" t="s">
        <v>717</v>
      </c>
      <c r="Z649" s="2" t="s">
        <v>718</v>
      </c>
      <c r="AA649" s="9" t="s">
        <v>715</v>
      </c>
      <c r="AC649" s="2"/>
      <c r="AD649" t="s">
        <v>7</v>
      </c>
      <c r="AE649" t="s">
        <v>2614</v>
      </c>
    </row>
    <row r="650" spans="1:31" x14ac:dyDescent="0.3">
      <c r="A650" s="17">
        <v>90739624000118</v>
      </c>
      <c r="B650" t="s">
        <v>25</v>
      </c>
      <c r="D650" t="s">
        <v>2615</v>
      </c>
      <c r="E650" t="s">
        <v>2</v>
      </c>
      <c r="F650">
        <v>269308</v>
      </c>
      <c r="G650" s="1" t="s">
        <v>2616</v>
      </c>
      <c r="H650">
        <v>24855129</v>
      </c>
      <c r="I650">
        <v>33938</v>
      </c>
      <c r="J650" t="s">
        <v>132</v>
      </c>
      <c r="K650" s="17">
        <v>10588554000105</v>
      </c>
      <c r="L650" s="17">
        <v>90739624003486</v>
      </c>
      <c r="M650" s="9">
        <v>72.040000000000006</v>
      </c>
      <c r="N650" t="s">
        <v>43</v>
      </c>
      <c r="Q650" s="2"/>
      <c r="R650" s="9"/>
      <c r="S650" t="s">
        <v>44</v>
      </c>
      <c r="T650" t="s">
        <v>45</v>
      </c>
      <c r="U650" s="2" t="s">
        <v>695</v>
      </c>
      <c r="V650" s="9" t="s">
        <v>2617</v>
      </c>
      <c r="W650">
        <v>5.1260810588554005E+43</v>
      </c>
      <c r="X650" t="s">
        <v>46</v>
      </c>
      <c r="Y650" s="2" t="s">
        <v>717</v>
      </c>
      <c r="Z650" s="2" t="s">
        <v>718</v>
      </c>
      <c r="AA650" s="9" t="s">
        <v>715</v>
      </c>
      <c r="AC650" s="2"/>
      <c r="AD650" t="s">
        <v>7</v>
      </c>
      <c r="AE650" t="s">
        <v>2618</v>
      </c>
    </row>
    <row r="651" spans="1:31" x14ac:dyDescent="0.3">
      <c r="A651" s="17">
        <v>90739624000118</v>
      </c>
      <c r="B651" t="s">
        <v>73</v>
      </c>
      <c r="D651" t="s">
        <v>180</v>
      </c>
      <c r="E651" t="s">
        <v>2</v>
      </c>
      <c r="F651">
        <v>269308</v>
      </c>
      <c r="G651" s="1" t="s">
        <v>2619</v>
      </c>
      <c r="H651">
        <v>24855097</v>
      </c>
      <c r="I651">
        <v>37603</v>
      </c>
      <c r="J651" t="s">
        <v>2620</v>
      </c>
      <c r="K651" s="17">
        <v>7473735013240</v>
      </c>
      <c r="L651" s="17">
        <v>90739624002323</v>
      </c>
      <c r="M651" s="9">
        <v>577.02</v>
      </c>
      <c r="N651" t="s">
        <v>43</v>
      </c>
      <c r="Q651" s="2"/>
      <c r="R651" s="9"/>
      <c r="S651" t="s">
        <v>44</v>
      </c>
      <c r="T651" t="s">
        <v>45</v>
      </c>
      <c r="U651" s="2" t="s">
        <v>695</v>
      </c>
      <c r="V651" s="9" t="s">
        <v>2621</v>
      </c>
      <c r="W651">
        <v>4.3260807473734999E+43</v>
      </c>
      <c r="X651" t="s">
        <v>46</v>
      </c>
      <c r="Y651" s="2" t="s">
        <v>717</v>
      </c>
      <c r="Z651" s="2" t="s">
        <v>718</v>
      </c>
      <c r="AA651" s="9" t="s">
        <v>715</v>
      </c>
      <c r="AC651" s="2"/>
      <c r="AD651" t="s">
        <v>7</v>
      </c>
      <c r="AE651" t="s">
        <v>2622</v>
      </c>
    </row>
    <row r="652" spans="1:31" x14ac:dyDescent="0.3">
      <c r="A652" s="17">
        <v>90739624000118</v>
      </c>
      <c r="B652" t="s">
        <v>100</v>
      </c>
      <c r="C652">
        <v>21812</v>
      </c>
      <c r="D652" t="s">
        <v>653</v>
      </c>
      <c r="E652" t="s">
        <v>2</v>
      </c>
      <c r="F652">
        <v>269308</v>
      </c>
      <c r="G652" s="1" t="s">
        <v>2623</v>
      </c>
      <c r="H652">
        <v>24855001</v>
      </c>
      <c r="I652">
        <v>92958</v>
      </c>
      <c r="J652" t="s">
        <v>283</v>
      </c>
      <c r="K652" s="17">
        <v>9663620000185</v>
      </c>
      <c r="L652" s="17">
        <v>90739624001866</v>
      </c>
      <c r="M652" s="9">
        <v>134.81</v>
      </c>
      <c r="N652" t="s">
        <v>43</v>
      </c>
      <c r="Q652" s="2"/>
      <c r="R652" s="9"/>
      <c r="S652" t="s">
        <v>44</v>
      </c>
      <c r="T652" t="s">
        <v>45</v>
      </c>
      <c r="U652" s="2" t="s">
        <v>695</v>
      </c>
      <c r="V652" s="9" t="s">
        <v>2624</v>
      </c>
      <c r="W652">
        <v>5.1260809663620003E+43</v>
      </c>
      <c r="X652" t="s">
        <v>46</v>
      </c>
      <c r="Y652" s="2" t="s">
        <v>717</v>
      </c>
      <c r="Z652" s="2" t="s">
        <v>718</v>
      </c>
      <c r="AA652" s="9" t="s">
        <v>715</v>
      </c>
      <c r="AC652" s="2"/>
      <c r="AD652" t="s">
        <v>7</v>
      </c>
      <c r="AE652" t="s">
        <v>2625</v>
      </c>
    </row>
    <row r="653" spans="1:31" x14ac:dyDescent="0.3">
      <c r="A653" s="17">
        <v>90739624000118</v>
      </c>
      <c r="B653" t="s">
        <v>65</v>
      </c>
      <c r="D653" t="s">
        <v>365</v>
      </c>
      <c r="E653" t="s">
        <v>2</v>
      </c>
      <c r="F653">
        <v>269308</v>
      </c>
      <c r="G653" s="1" t="s">
        <v>2626</v>
      </c>
      <c r="H653">
        <v>24854873</v>
      </c>
      <c r="I653">
        <v>75232</v>
      </c>
      <c r="J653" t="s">
        <v>67</v>
      </c>
      <c r="K653" s="17">
        <v>7473735006031</v>
      </c>
      <c r="L653" s="17">
        <v>90739624002323</v>
      </c>
      <c r="M653" s="9">
        <v>203.04</v>
      </c>
      <c r="N653" t="s">
        <v>43</v>
      </c>
      <c r="Q653" s="2"/>
      <c r="R653" s="9"/>
      <c r="S653" t="s">
        <v>44</v>
      </c>
      <c r="T653" t="s">
        <v>45</v>
      </c>
      <c r="U653" s="2" t="s">
        <v>695</v>
      </c>
      <c r="V653" s="9" t="s">
        <v>2627</v>
      </c>
      <c r="W653">
        <v>4.3260807473734999E+43</v>
      </c>
      <c r="X653" t="s">
        <v>46</v>
      </c>
      <c r="Y653" s="2" t="s">
        <v>717</v>
      </c>
      <c r="Z653" s="2" t="s">
        <v>718</v>
      </c>
      <c r="AA653" s="9" t="s">
        <v>715</v>
      </c>
      <c r="AC653" s="2"/>
      <c r="AD653" t="s">
        <v>7</v>
      </c>
      <c r="AE653" t="s">
        <v>2628</v>
      </c>
    </row>
    <row r="654" spans="1:31" x14ac:dyDescent="0.3">
      <c r="A654" s="17">
        <v>90739624000118</v>
      </c>
      <c r="B654" t="s">
        <v>40</v>
      </c>
      <c r="D654" t="s">
        <v>124</v>
      </c>
      <c r="E654" t="s">
        <v>2</v>
      </c>
      <c r="F654">
        <v>269308</v>
      </c>
      <c r="G654" s="1" t="s">
        <v>2629</v>
      </c>
      <c r="H654">
        <v>24854745</v>
      </c>
      <c r="I654">
        <v>168339</v>
      </c>
      <c r="J654" t="s">
        <v>42</v>
      </c>
      <c r="K654" s="17">
        <v>82156977000248</v>
      </c>
      <c r="L654" s="17">
        <v>90739624001432</v>
      </c>
      <c r="M654" s="9">
        <v>262.17</v>
      </c>
      <c r="N654" t="s">
        <v>43</v>
      </c>
      <c r="Q654" s="2"/>
      <c r="R654" s="9"/>
      <c r="S654" t="s">
        <v>44</v>
      </c>
      <c r="T654" t="s">
        <v>45</v>
      </c>
      <c r="U654" s="2" t="s">
        <v>695</v>
      </c>
      <c r="V654" s="9" t="s">
        <v>2630</v>
      </c>
      <c r="W654">
        <v>4.2260882156977001E+43</v>
      </c>
      <c r="X654" t="s">
        <v>46</v>
      </c>
      <c r="Y654" s="2" t="s">
        <v>717</v>
      </c>
      <c r="Z654" s="2" t="s">
        <v>718</v>
      </c>
      <c r="AA654" s="9" t="s">
        <v>715</v>
      </c>
      <c r="AC654" s="2"/>
      <c r="AD654" t="s">
        <v>7</v>
      </c>
      <c r="AE654" t="s">
        <v>2631</v>
      </c>
    </row>
    <row r="655" spans="1:31" x14ac:dyDescent="0.3">
      <c r="A655" s="17">
        <v>90739624000118</v>
      </c>
      <c r="B655" t="s">
        <v>28</v>
      </c>
      <c r="D655" t="s">
        <v>214</v>
      </c>
      <c r="E655" t="s">
        <v>2</v>
      </c>
      <c r="F655">
        <v>269308</v>
      </c>
      <c r="G655" s="1" t="s">
        <v>2632</v>
      </c>
      <c r="H655">
        <v>24854542</v>
      </c>
      <c r="I655">
        <v>53761</v>
      </c>
      <c r="J655" t="s">
        <v>92</v>
      </c>
      <c r="K655" s="17">
        <v>2310460000141</v>
      </c>
      <c r="L655" s="17">
        <v>90739624001947</v>
      </c>
      <c r="M655" s="9">
        <v>172.25</v>
      </c>
      <c r="N655" t="s">
        <v>43</v>
      </c>
      <c r="Q655" s="2"/>
      <c r="R655" s="9"/>
      <c r="S655" t="s">
        <v>44</v>
      </c>
      <c r="T655" t="s">
        <v>45</v>
      </c>
      <c r="U655" s="2" t="s">
        <v>695</v>
      </c>
      <c r="V655" s="9" t="s">
        <v>2633</v>
      </c>
      <c r="W655">
        <v>5.2260802310459999E+43</v>
      </c>
      <c r="X655" t="s">
        <v>46</v>
      </c>
      <c r="Y655" s="2" t="s">
        <v>717</v>
      </c>
      <c r="Z655" s="2" t="s">
        <v>718</v>
      </c>
      <c r="AA655" s="9" t="s">
        <v>715</v>
      </c>
      <c r="AC655" s="2"/>
      <c r="AD655" t="s">
        <v>7</v>
      </c>
      <c r="AE655" t="s">
        <v>2634</v>
      </c>
    </row>
    <row r="656" spans="1:31" x14ac:dyDescent="0.3">
      <c r="A656" s="17">
        <v>90739624000118</v>
      </c>
      <c r="B656" t="s">
        <v>13</v>
      </c>
      <c r="C656">
        <v>26010</v>
      </c>
      <c r="D656" t="s">
        <v>336</v>
      </c>
      <c r="E656" t="s">
        <v>2</v>
      </c>
      <c r="F656">
        <v>269308</v>
      </c>
      <c r="G656" s="1" t="s">
        <v>2635</v>
      </c>
      <c r="H656">
        <v>24854303</v>
      </c>
      <c r="I656">
        <v>117192</v>
      </c>
      <c r="J656" t="s">
        <v>340</v>
      </c>
      <c r="K656" s="17">
        <v>29127799000163</v>
      </c>
      <c r="L656" s="17">
        <v>90739624000380</v>
      </c>
      <c r="M656" s="9">
        <v>236.43</v>
      </c>
      <c r="N656" t="s">
        <v>43</v>
      </c>
      <c r="Q656" s="2"/>
      <c r="R656" s="9"/>
      <c r="S656" t="s">
        <v>44</v>
      </c>
      <c r="T656" t="s">
        <v>45</v>
      </c>
      <c r="U656" s="2" t="s">
        <v>695</v>
      </c>
      <c r="V656" s="9" t="s">
        <v>2636</v>
      </c>
      <c r="W656">
        <v>3.5260829127798998E+43</v>
      </c>
      <c r="X656" t="s">
        <v>46</v>
      </c>
      <c r="Y656" s="2" t="s">
        <v>717</v>
      </c>
      <c r="Z656" s="2" t="s">
        <v>718</v>
      </c>
      <c r="AA656" s="9" t="s">
        <v>715</v>
      </c>
      <c r="AC656" s="2"/>
      <c r="AD656" t="s">
        <v>7</v>
      </c>
      <c r="AE656" t="s">
        <v>2637</v>
      </c>
    </row>
    <row r="657" spans="1:31" x14ac:dyDescent="0.3">
      <c r="A657" s="17">
        <v>90739624000118</v>
      </c>
      <c r="B657" t="s">
        <v>58</v>
      </c>
      <c r="C657">
        <v>25078</v>
      </c>
      <c r="D657" t="s">
        <v>612</v>
      </c>
      <c r="E657" t="s">
        <v>2</v>
      </c>
      <c r="F657">
        <v>269308</v>
      </c>
      <c r="G657" s="1" t="s">
        <v>2638</v>
      </c>
      <c r="H657">
        <v>24854202</v>
      </c>
      <c r="J657" t="s">
        <v>2639</v>
      </c>
      <c r="K657" s="17">
        <v>7473735021340</v>
      </c>
      <c r="L657" s="17"/>
      <c r="M657" s="9">
        <v>295.61</v>
      </c>
      <c r="N657" t="s">
        <v>43</v>
      </c>
      <c r="Q657" s="2"/>
      <c r="R657" s="9"/>
      <c r="S657" t="s">
        <v>87</v>
      </c>
      <c r="U657" s="2"/>
      <c r="V657" s="9"/>
      <c r="X657" t="s">
        <v>88</v>
      </c>
      <c r="Y657" s="2" t="s">
        <v>717</v>
      </c>
      <c r="Z657" s="2" t="s">
        <v>718</v>
      </c>
      <c r="AA657" s="9" t="s">
        <v>715</v>
      </c>
      <c r="AC657" s="2"/>
      <c r="AD657" t="s">
        <v>7</v>
      </c>
    </row>
    <row r="658" spans="1:31" x14ac:dyDescent="0.3">
      <c r="A658" s="17">
        <v>90739624000118</v>
      </c>
      <c r="B658" t="s">
        <v>8</v>
      </c>
      <c r="D658" t="s">
        <v>238</v>
      </c>
      <c r="E658" t="s">
        <v>2</v>
      </c>
      <c r="F658">
        <v>269308</v>
      </c>
      <c r="G658" s="1" t="s">
        <v>2641</v>
      </c>
      <c r="H658">
        <v>24853990</v>
      </c>
      <c r="I658">
        <v>4284</v>
      </c>
      <c r="J658" t="s">
        <v>10</v>
      </c>
      <c r="K658" s="17">
        <v>33286065000102</v>
      </c>
      <c r="L658" s="17">
        <v>9576274000106</v>
      </c>
      <c r="M658" s="9">
        <v>231.05</v>
      </c>
      <c r="N658" t="s">
        <v>43</v>
      </c>
      <c r="Q658" s="2"/>
      <c r="R658" s="9"/>
      <c r="S658" t="s">
        <v>44</v>
      </c>
      <c r="T658" t="s">
        <v>45</v>
      </c>
      <c r="U658" s="2" t="s">
        <v>695</v>
      </c>
      <c r="V658" s="9" t="s">
        <v>2642</v>
      </c>
      <c r="W658">
        <v>4.1260833286065001E+43</v>
      </c>
      <c r="X658" t="s">
        <v>46</v>
      </c>
      <c r="Y658" s="2" t="s">
        <v>717</v>
      </c>
      <c r="Z658" s="2" t="s">
        <v>718</v>
      </c>
      <c r="AA658" s="9" t="s">
        <v>715</v>
      </c>
      <c r="AC658" s="2"/>
      <c r="AD658" t="s">
        <v>7</v>
      </c>
      <c r="AE658" t="s">
        <v>2643</v>
      </c>
    </row>
    <row r="659" spans="1:31" x14ac:dyDescent="0.3">
      <c r="A659" s="17">
        <v>90739624000118</v>
      </c>
      <c r="B659" t="s">
        <v>61</v>
      </c>
      <c r="C659">
        <v>24141</v>
      </c>
      <c r="D659" t="s">
        <v>499</v>
      </c>
      <c r="E659" t="s">
        <v>2</v>
      </c>
      <c r="F659">
        <v>269308</v>
      </c>
      <c r="G659" s="1" t="s">
        <v>2644</v>
      </c>
      <c r="H659">
        <v>24853987</v>
      </c>
      <c r="I659">
        <v>820159</v>
      </c>
      <c r="J659" t="s">
        <v>62</v>
      </c>
      <c r="K659" s="17">
        <v>79964177000591</v>
      </c>
      <c r="L659" s="17">
        <v>9576274000106</v>
      </c>
      <c r="M659" s="9">
        <v>760.18</v>
      </c>
      <c r="N659" t="s">
        <v>43</v>
      </c>
      <c r="Q659" s="2"/>
      <c r="R659" s="9"/>
      <c r="S659" t="s">
        <v>44</v>
      </c>
      <c r="T659" t="s">
        <v>45</v>
      </c>
      <c r="U659" s="2" t="s">
        <v>695</v>
      </c>
      <c r="V659" s="9" t="s">
        <v>2645</v>
      </c>
      <c r="W659">
        <v>4.1260879964176998E+43</v>
      </c>
      <c r="X659" t="s">
        <v>46</v>
      </c>
      <c r="Y659" s="2" t="s">
        <v>717</v>
      </c>
      <c r="Z659" s="2" t="s">
        <v>718</v>
      </c>
      <c r="AA659" s="9" t="s">
        <v>715</v>
      </c>
      <c r="AC659" s="2"/>
      <c r="AD659" t="s">
        <v>7</v>
      </c>
      <c r="AE659" t="s">
        <v>2646</v>
      </c>
    </row>
    <row r="660" spans="1:31" x14ac:dyDescent="0.3">
      <c r="A660" s="17">
        <v>90739624000118</v>
      </c>
      <c r="B660" t="s">
        <v>25</v>
      </c>
      <c r="C660">
        <v>24556</v>
      </c>
      <c r="D660" t="s">
        <v>468</v>
      </c>
      <c r="E660" t="s">
        <v>2</v>
      </c>
      <c r="F660">
        <v>269308</v>
      </c>
      <c r="G660" s="1" t="s">
        <v>2647</v>
      </c>
      <c r="H660">
        <v>24853851</v>
      </c>
      <c r="J660" t="s">
        <v>32</v>
      </c>
      <c r="K660" s="17">
        <v>9001879002619</v>
      </c>
      <c r="L660" s="17"/>
      <c r="M660" s="9">
        <v>305.57</v>
      </c>
      <c r="N660" t="s">
        <v>43</v>
      </c>
      <c r="Q660" s="2"/>
      <c r="R660" s="9"/>
      <c r="S660" t="s">
        <v>87</v>
      </c>
      <c r="U660" s="2"/>
      <c r="V660" s="9"/>
      <c r="X660" t="s">
        <v>88</v>
      </c>
      <c r="Y660" s="2" t="s">
        <v>717</v>
      </c>
      <c r="Z660" s="2" t="s">
        <v>718</v>
      </c>
      <c r="AA660" s="9" t="s">
        <v>715</v>
      </c>
      <c r="AC660" s="2"/>
      <c r="AD660" t="s">
        <v>7</v>
      </c>
    </row>
    <row r="661" spans="1:31" x14ac:dyDescent="0.3">
      <c r="A661" s="17">
        <v>90739624000118</v>
      </c>
      <c r="B661" t="s">
        <v>61</v>
      </c>
      <c r="D661" t="s">
        <v>191</v>
      </c>
      <c r="E661" t="s">
        <v>2</v>
      </c>
      <c r="F661">
        <v>269308</v>
      </c>
      <c r="G661" s="1" t="s">
        <v>2649</v>
      </c>
      <c r="H661">
        <v>24853559</v>
      </c>
      <c r="I661">
        <v>4283</v>
      </c>
      <c r="J661" t="s">
        <v>10</v>
      </c>
      <c r="K661" s="17">
        <v>33286065000102</v>
      </c>
      <c r="L661" s="17">
        <v>9576274000106</v>
      </c>
      <c r="M661" s="9">
        <v>1065.53</v>
      </c>
      <c r="N661" t="s">
        <v>43</v>
      </c>
      <c r="Q661" s="2"/>
      <c r="R661" s="9"/>
      <c r="S661" t="s">
        <v>44</v>
      </c>
      <c r="T661" t="s">
        <v>45</v>
      </c>
      <c r="U661" s="2" t="s">
        <v>695</v>
      </c>
      <c r="V661" s="9" t="s">
        <v>2650</v>
      </c>
      <c r="W661">
        <v>4.1260833286065001E+43</v>
      </c>
      <c r="X661" t="s">
        <v>46</v>
      </c>
      <c r="Y661" s="2" t="s">
        <v>717</v>
      </c>
      <c r="Z661" s="2" t="s">
        <v>718</v>
      </c>
      <c r="AA661" s="9" t="s">
        <v>715</v>
      </c>
      <c r="AC661" s="2"/>
      <c r="AD661" t="s">
        <v>7</v>
      </c>
      <c r="AE661" t="s">
        <v>2651</v>
      </c>
    </row>
    <row r="662" spans="1:31" x14ac:dyDescent="0.3">
      <c r="A662" s="17">
        <v>90739624000118</v>
      </c>
      <c r="B662" t="s">
        <v>61</v>
      </c>
      <c r="D662" t="s">
        <v>191</v>
      </c>
      <c r="E662" t="s">
        <v>17</v>
      </c>
      <c r="F662">
        <v>269308</v>
      </c>
      <c r="G662" s="1" t="s">
        <v>2652</v>
      </c>
      <c r="H662">
        <v>24853546</v>
      </c>
      <c r="I662">
        <v>4282</v>
      </c>
      <c r="J662" t="s">
        <v>10</v>
      </c>
      <c r="K662" s="17">
        <v>33286065000102</v>
      </c>
      <c r="L662" s="17">
        <v>9576274000106</v>
      </c>
      <c r="M662" s="9">
        <v>30.56</v>
      </c>
      <c r="N662" t="s">
        <v>43</v>
      </c>
      <c r="Q662" s="2"/>
      <c r="R662" s="9"/>
      <c r="S662" t="s">
        <v>44</v>
      </c>
      <c r="T662" t="s">
        <v>45</v>
      </c>
      <c r="U662" s="2" t="s">
        <v>695</v>
      </c>
      <c r="V662" s="9" t="s">
        <v>2653</v>
      </c>
      <c r="W662">
        <v>4.1260833286065001E+43</v>
      </c>
      <c r="X662" t="s">
        <v>46</v>
      </c>
      <c r="Y662" s="2" t="s">
        <v>717</v>
      </c>
      <c r="Z662" s="2" t="s">
        <v>718</v>
      </c>
      <c r="AA662" s="9" t="s">
        <v>715</v>
      </c>
      <c r="AC662" s="2"/>
      <c r="AD662" t="s">
        <v>7</v>
      </c>
      <c r="AE662" t="s">
        <v>2654</v>
      </c>
    </row>
    <row r="663" spans="1:31" x14ac:dyDescent="0.3">
      <c r="A663" s="17">
        <v>90739624000118</v>
      </c>
      <c r="B663" t="s">
        <v>58</v>
      </c>
      <c r="D663" t="s">
        <v>59</v>
      </c>
      <c r="E663" t="s">
        <v>17</v>
      </c>
      <c r="F663">
        <v>269308</v>
      </c>
      <c r="G663" s="1" t="s">
        <v>2655</v>
      </c>
      <c r="H663">
        <v>24853383</v>
      </c>
      <c r="I663">
        <v>74083</v>
      </c>
      <c r="J663" t="s">
        <v>60</v>
      </c>
      <c r="K663" s="17">
        <v>7473735018200</v>
      </c>
      <c r="L663" s="17">
        <v>90739624002323</v>
      </c>
      <c r="M663" s="9">
        <v>99.72</v>
      </c>
      <c r="N663" t="s">
        <v>43</v>
      </c>
      <c r="Q663" s="2"/>
      <c r="R663" s="9"/>
      <c r="S663" t="s">
        <v>44</v>
      </c>
      <c r="T663" t="s">
        <v>45</v>
      </c>
      <c r="U663" s="2" t="s">
        <v>695</v>
      </c>
      <c r="V663" s="9" t="s">
        <v>2656</v>
      </c>
      <c r="W663">
        <v>4.3260807473734999E+43</v>
      </c>
      <c r="X663" t="s">
        <v>46</v>
      </c>
      <c r="Y663" s="2" t="s">
        <v>717</v>
      </c>
      <c r="Z663" s="2" t="s">
        <v>718</v>
      </c>
      <c r="AA663" s="9" t="s">
        <v>715</v>
      </c>
      <c r="AC663" s="2"/>
      <c r="AD663" t="s">
        <v>7</v>
      </c>
      <c r="AE663" t="s">
        <v>2657</v>
      </c>
    </row>
    <row r="664" spans="1:31" x14ac:dyDescent="0.3">
      <c r="A664" s="17">
        <v>90739624000118</v>
      </c>
      <c r="B664" t="s">
        <v>58</v>
      </c>
      <c r="D664" t="s">
        <v>59</v>
      </c>
      <c r="E664" t="s">
        <v>2</v>
      </c>
      <c r="F664">
        <v>269308</v>
      </c>
      <c r="G664" s="1" t="s">
        <v>2658</v>
      </c>
      <c r="H664">
        <v>24853344</v>
      </c>
      <c r="I664">
        <v>74082</v>
      </c>
      <c r="J664" t="s">
        <v>60</v>
      </c>
      <c r="K664" s="17">
        <v>7473735018200</v>
      </c>
      <c r="L664" s="17">
        <v>90739624002323</v>
      </c>
      <c r="M664" s="9">
        <v>1044.3399999999999</v>
      </c>
      <c r="N664" t="s">
        <v>43</v>
      </c>
      <c r="Q664" s="2"/>
      <c r="R664" s="9"/>
      <c r="S664" t="s">
        <v>44</v>
      </c>
      <c r="T664" t="s">
        <v>45</v>
      </c>
      <c r="U664" s="2" t="s">
        <v>695</v>
      </c>
      <c r="V664" s="9" t="s">
        <v>2659</v>
      </c>
      <c r="W664">
        <v>4.3260807473734999E+43</v>
      </c>
      <c r="X664" t="s">
        <v>46</v>
      </c>
      <c r="Y664" s="2" t="s">
        <v>717</v>
      </c>
      <c r="Z664" s="2" t="s">
        <v>718</v>
      </c>
      <c r="AA664" s="9" t="s">
        <v>715</v>
      </c>
      <c r="AC664" s="2"/>
      <c r="AD664" t="s">
        <v>7</v>
      </c>
      <c r="AE664" t="s">
        <v>2660</v>
      </c>
    </row>
    <row r="665" spans="1:31" x14ac:dyDescent="0.3">
      <c r="A665" s="17">
        <v>90739624000118</v>
      </c>
      <c r="B665" t="s">
        <v>11</v>
      </c>
      <c r="D665" t="s">
        <v>116</v>
      </c>
      <c r="E665" t="s">
        <v>2</v>
      </c>
      <c r="F665">
        <v>269308</v>
      </c>
      <c r="G665" s="1" t="s">
        <v>2661</v>
      </c>
      <c r="H665">
        <v>24853315</v>
      </c>
      <c r="I665">
        <v>4413</v>
      </c>
      <c r="J665" t="s">
        <v>95</v>
      </c>
      <c r="K665" s="17">
        <v>37489429000102</v>
      </c>
      <c r="L665" s="17">
        <v>90739624001947</v>
      </c>
      <c r="M665" s="9">
        <v>244.2</v>
      </c>
      <c r="N665" t="s">
        <v>43</v>
      </c>
      <c r="Q665" s="2"/>
      <c r="R665" s="9"/>
      <c r="S665" t="s">
        <v>44</v>
      </c>
      <c r="T665" t="s">
        <v>45</v>
      </c>
      <c r="U665" s="2" t="s">
        <v>695</v>
      </c>
      <c r="V665" s="9" t="s">
        <v>2662</v>
      </c>
      <c r="W665">
        <v>5.2260837489428997E+43</v>
      </c>
      <c r="X665" t="s">
        <v>46</v>
      </c>
      <c r="Y665" s="2" t="s">
        <v>717</v>
      </c>
      <c r="Z665" s="2" t="s">
        <v>718</v>
      </c>
      <c r="AA665" s="9" t="s">
        <v>715</v>
      </c>
      <c r="AC665" s="2"/>
      <c r="AD665" t="s">
        <v>7</v>
      </c>
      <c r="AE665" t="s">
        <v>2663</v>
      </c>
    </row>
    <row r="666" spans="1:31" x14ac:dyDescent="0.3">
      <c r="A666" s="17">
        <v>90739624000118</v>
      </c>
      <c r="B666" t="s">
        <v>0</v>
      </c>
      <c r="D666" t="s">
        <v>284</v>
      </c>
      <c r="E666" t="s">
        <v>17</v>
      </c>
      <c r="F666">
        <v>269308</v>
      </c>
      <c r="G666" s="1" t="s">
        <v>2664</v>
      </c>
      <c r="H666">
        <v>24853311</v>
      </c>
      <c r="I666">
        <v>35405</v>
      </c>
      <c r="J666" t="s">
        <v>200</v>
      </c>
      <c r="K666" s="17">
        <v>4308884000520</v>
      </c>
      <c r="L666" s="17">
        <v>90739624001432</v>
      </c>
      <c r="M666" s="9">
        <v>54.46</v>
      </c>
      <c r="N666" t="s">
        <v>43</v>
      </c>
      <c r="Q666" s="2"/>
      <c r="R666" s="9"/>
      <c r="S666" t="s">
        <v>44</v>
      </c>
      <c r="T666" t="s">
        <v>45</v>
      </c>
      <c r="U666" s="2" t="s">
        <v>695</v>
      </c>
      <c r="V666" s="9" t="s">
        <v>2665</v>
      </c>
      <c r="W666">
        <v>4.2260804308884001E+43</v>
      </c>
      <c r="X666" t="s">
        <v>46</v>
      </c>
      <c r="Y666" s="2" t="s">
        <v>717</v>
      </c>
      <c r="Z666" s="2" t="s">
        <v>718</v>
      </c>
      <c r="AA666" s="9" t="s">
        <v>715</v>
      </c>
      <c r="AC666" s="2"/>
      <c r="AD666" t="s">
        <v>7</v>
      </c>
      <c r="AE666" t="s">
        <v>2666</v>
      </c>
    </row>
    <row r="667" spans="1:31" x14ac:dyDescent="0.3">
      <c r="A667" s="17">
        <v>90739624000118</v>
      </c>
      <c r="B667" t="s">
        <v>0</v>
      </c>
      <c r="D667" t="s">
        <v>284</v>
      </c>
      <c r="E667" t="s">
        <v>2</v>
      </c>
      <c r="F667">
        <v>269308</v>
      </c>
      <c r="G667" s="1" t="s">
        <v>2667</v>
      </c>
      <c r="H667">
        <v>24853131</v>
      </c>
      <c r="I667">
        <v>35403</v>
      </c>
      <c r="J667" t="s">
        <v>200</v>
      </c>
      <c r="K667" s="17">
        <v>4308884000520</v>
      </c>
      <c r="L667" s="17">
        <v>90739624001432</v>
      </c>
      <c r="M667" s="9">
        <v>2198.9899999999998</v>
      </c>
      <c r="N667" t="s">
        <v>43</v>
      </c>
      <c r="Q667" s="2"/>
      <c r="R667" s="9"/>
      <c r="S667" t="s">
        <v>44</v>
      </c>
      <c r="T667" t="s">
        <v>45</v>
      </c>
      <c r="U667" s="2" t="s">
        <v>695</v>
      </c>
      <c r="V667" s="9" t="s">
        <v>2668</v>
      </c>
      <c r="W667">
        <v>4.2260804308884001E+43</v>
      </c>
      <c r="X667" t="s">
        <v>46</v>
      </c>
      <c r="Y667" s="2" t="s">
        <v>717</v>
      </c>
      <c r="Z667" s="2" t="s">
        <v>718</v>
      </c>
      <c r="AA667" s="9" t="s">
        <v>715</v>
      </c>
      <c r="AC667" s="2"/>
      <c r="AD667" t="s">
        <v>7</v>
      </c>
      <c r="AE667" t="s">
        <v>2669</v>
      </c>
    </row>
    <row r="668" spans="1:31" x14ac:dyDescent="0.3">
      <c r="A668" s="17">
        <v>90739624000118</v>
      </c>
      <c r="B668" t="s">
        <v>33</v>
      </c>
      <c r="C668">
        <v>23399</v>
      </c>
      <c r="D668" t="s">
        <v>146</v>
      </c>
      <c r="E668" t="s">
        <v>2</v>
      </c>
      <c r="F668">
        <v>269308</v>
      </c>
      <c r="G668" s="1" t="s">
        <v>2670</v>
      </c>
      <c r="H668">
        <v>24853129</v>
      </c>
      <c r="I668">
        <v>1133</v>
      </c>
      <c r="J668" t="s">
        <v>35</v>
      </c>
      <c r="K668" s="17">
        <v>27933025000102</v>
      </c>
      <c r="L668" s="17">
        <v>9576274000106</v>
      </c>
      <c r="M668" s="9">
        <v>462.22</v>
      </c>
      <c r="N668" t="s">
        <v>43</v>
      </c>
      <c r="Q668" s="2"/>
      <c r="R668" s="9"/>
      <c r="S668" t="s">
        <v>44</v>
      </c>
      <c r="T668" t="s">
        <v>45</v>
      </c>
      <c r="U668" s="2" t="s">
        <v>796</v>
      </c>
      <c r="V668" s="9" t="s">
        <v>2671</v>
      </c>
      <c r="W668">
        <v>4.1260827933025001E+43</v>
      </c>
      <c r="X668" t="s">
        <v>46</v>
      </c>
      <c r="Y668" s="2" t="s">
        <v>717</v>
      </c>
      <c r="Z668" s="2" t="s">
        <v>718</v>
      </c>
      <c r="AA668" s="9" t="s">
        <v>715</v>
      </c>
      <c r="AC668" s="2"/>
      <c r="AD668" t="s">
        <v>7</v>
      </c>
      <c r="AE668" t="s">
        <v>2672</v>
      </c>
    </row>
    <row r="669" spans="1:31" x14ac:dyDescent="0.3">
      <c r="A669" s="17">
        <v>90739624000118</v>
      </c>
      <c r="B669" t="s">
        <v>8</v>
      </c>
      <c r="D669" t="s">
        <v>9</v>
      </c>
      <c r="E669" t="s">
        <v>2</v>
      </c>
      <c r="F669">
        <v>269308</v>
      </c>
      <c r="G669" s="1" t="s">
        <v>2673</v>
      </c>
      <c r="H669">
        <v>24853102</v>
      </c>
      <c r="I669">
        <v>4280</v>
      </c>
      <c r="J669" t="s">
        <v>10</v>
      </c>
      <c r="K669" s="17">
        <v>33286065000102</v>
      </c>
      <c r="L669" s="17">
        <v>9576274000106</v>
      </c>
      <c r="M669" s="9">
        <v>1386.14</v>
      </c>
      <c r="N669" t="s">
        <v>43</v>
      </c>
      <c r="Q669" s="2"/>
      <c r="R669" s="9"/>
      <c r="S669" t="s">
        <v>44</v>
      </c>
      <c r="T669" t="s">
        <v>45</v>
      </c>
      <c r="U669" s="2" t="s">
        <v>695</v>
      </c>
      <c r="V669" s="9" t="s">
        <v>2674</v>
      </c>
      <c r="W669">
        <v>4.1260833286065001E+43</v>
      </c>
      <c r="X669" t="s">
        <v>46</v>
      </c>
      <c r="Y669" s="2" t="s">
        <v>717</v>
      </c>
      <c r="Z669" s="2" t="s">
        <v>718</v>
      </c>
      <c r="AA669" s="9" t="s">
        <v>715</v>
      </c>
      <c r="AC669" s="2"/>
      <c r="AD669" t="s">
        <v>7</v>
      </c>
      <c r="AE669" t="s">
        <v>2675</v>
      </c>
    </row>
    <row r="670" spans="1:31" x14ac:dyDescent="0.3">
      <c r="A670" s="17">
        <v>90739624000118</v>
      </c>
      <c r="B670" t="s">
        <v>8</v>
      </c>
      <c r="D670" t="s">
        <v>9</v>
      </c>
      <c r="E670" t="s">
        <v>17</v>
      </c>
      <c r="F670">
        <v>269308</v>
      </c>
      <c r="G670" s="1" t="s">
        <v>2676</v>
      </c>
      <c r="H670">
        <v>24853089</v>
      </c>
      <c r="I670">
        <v>4279</v>
      </c>
      <c r="J670" t="s">
        <v>10</v>
      </c>
      <c r="K670" s="17">
        <v>33286065000102</v>
      </c>
      <c r="L670" s="17">
        <v>9576274000106</v>
      </c>
      <c r="M670" s="9">
        <v>35.950000000000003</v>
      </c>
      <c r="N670" t="s">
        <v>43</v>
      </c>
      <c r="Q670" s="2"/>
      <c r="R670" s="9"/>
      <c r="S670" t="s">
        <v>44</v>
      </c>
      <c r="T670" t="s">
        <v>45</v>
      </c>
      <c r="U670" s="2" t="s">
        <v>695</v>
      </c>
      <c r="V670" s="9" t="s">
        <v>2677</v>
      </c>
      <c r="W670">
        <v>4.1260833286065001E+43</v>
      </c>
      <c r="X670" t="s">
        <v>46</v>
      </c>
      <c r="Y670" s="2" t="s">
        <v>717</v>
      </c>
      <c r="Z670" s="2" t="s">
        <v>718</v>
      </c>
      <c r="AA670" s="9" t="s">
        <v>715</v>
      </c>
      <c r="AC670" s="2"/>
      <c r="AD670" t="s">
        <v>7</v>
      </c>
      <c r="AE670" t="s">
        <v>2678</v>
      </c>
    </row>
    <row r="671" spans="1:31" x14ac:dyDescent="0.3">
      <c r="A671" s="17">
        <v>90739624000118</v>
      </c>
      <c r="B671" t="s">
        <v>100</v>
      </c>
      <c r="D671" t="s">
        <v>151</v>
      </c>
      <c r="E671" t="s">
        <v>2</v>
      </c>
      <c r="F671">
        <v>269308</v>
      </c>
      <c r="G671" s="1" t="s">
        <v>2679</v>
      </c>
      <c r="H671">
        <v>24852840</v>
      </c>
      <c r="I671">
        <v>131504</v>
      </c>
      <c r="J671" t="s">
        <v>152</v>
      </c>
      <c r="K671" s="17">
        <v>23891404000118</v>
      </c>
      <c r="L671" s="17">
        <v>90739624001866</v>
      </c>
      <c r="M671" s="9">
        <v>81.900000000000006</v>
      </c>
      <c r="N671" t="s">
        <v>43</v>
      </c>
      <c r="Q671" s="2"/>
      <c r="R671" s="9"/>
      <c r="S671" t="s">
        <v>44</v>
      </c>
      <c r="T671" t="s">
        <v>45</v>
      </c>
      <c r="U671" s="2" t="s">
        <v>695</v>
      </c>
      <c r="V671" s="9" t="s">
        <v>2680</v>
      </c>
      <c r="W671">
        <v>5.1260823891404E+43</v>
      </c>
      <c r="X671" t="s">
        <v>46</v>
      </c>
      <c r="Y671" s="2" t="s">
        <v>717</v>
      </c>
      <c r="Z671" s="2" t="s">
        <v>718</v>
      </c>
      <c r="AA671" s="9" t="s">
        <v>715</v>
      </c>
      <c r="AC671" s="2"/>
      <c r="AD671" t="s">
        <v>7</v>
      </c>
      <c r="AE671" t="s">
        <v>2681</v>
      </c>
    </row>
    <row r="672" spans="1:31" x14ac:dyDescent="0.3">
      <c r="A672" s="17">
        <v>90739624000118</v>
      </c>
      <c r="B672" t="s">
        <v>40</v>
      </c>
      <c r="D672" t="s">
        <v>147</v>
      </c>
      <c r="E672" t="s">
        <v>2</v>
      </c>
      <c r="F672">
        <v>269308</v>
      </c>
      <c r="G672" s="1" t="s">
        <v>2682</v>
      </c>
      <c r="H672">
        <v>24852510</v>
      </c>
      <c r="I672">
        <v>168326</v>
      </c>
      <c r="J672" t="s">
        <v>42</v>
      </c>
      <c r="K672" s="17">
        <v>82156977000248</v>
      </c>
      <c r="L672" s="17">
        <v>90739624001432</v>
      </c>
      <c r="M672" s="9">
        <v>1628.43</v>
      </c>
      <c r="N672" t="s">
        <v>43</v>
      </c>
      <c r="Q672" s="2"/>
      <c r="R672" s="9"/>
      <c r="S672" t="s">
        <v>44</v>
      </c>
      <c r="T672" t="s">
        <v>45</v>
      </c>
      <c r="U672" s="2" t="s">
        <v>695</v>
      </c>
      <c r="V672" s="9" t="s">
        <v>2683</v>
      </c>
      <c r="W672">
        <v>4.2260882156977001E+43</v>
      </c>
      <c r="X672" t="s">
        <v>46</v>
      </c>
      <c r="Y672" s="2" t="s">
        <v>717</v>
      </c>
      <c r="Z672" s="2" t="s">
        <v>718</v>
      </c>
      <c r="AA672" s="9" t="s">
        <v>715</v>
      </c>
      <c r="AC672" s="2"/>
      <c r="AD672" t="s">
        <v>7</v>
      </c>
      <c r="AE672" t="s">
        <v>2684</v>
      </c>
    </row>
    <row r="673" spans="1:31" x14ac:dyDescent="0.3">
      <c r="A673" s="17">
        <v>90739624000118</v>
      </c>
      <c r="B673" t="s">
        <v>25</v>
      </c>
      <c r="D673" t="s">
        <v>586</v>
      </c>
      <c r="E673" t="s">
        <v>2</v>
      </c>
      <c r="F673">
        <v>269308</v>
      </c>
      <c r="G673" s="1" t="s">
        <v>2685</v>
      </c>
      <c r="H673">
        <v>24852509</v>
      </c>
      <c r="I673">
        <v>30444</v>
      </c>
      <c r="J673" t="s">
        <v>149</v>
      </c>
      <c r="K673" s="17">
        <v>8512459000186</v>
      </c>
      <c r="L673" s="17">
        <v>90739624001866</v>
      </c>
      <c r="M673" s="9">
        <v>153</v>
      </c>
      <c r="N673" t="s">
        <v>43</v>
      </c>
      <c r="Q673" s="2"/>
      <c r="R673" s="9"/>
      <c r="S673" t="s">
        <v>44</v>
      </c>
      <c r="T673" t="s">
        <v>45</v>
      </c>
      <c r="U673" s="2" t="s">
        <v>695</v>
      </c>
      <c r="V673" s="9" t="s">
        <v>2686</v>
      </c>
      <c r="W673">
        <v>5.1260808512458996E+43</v>
      </c>
      <c r="X673" t="s">
        <v>46</v>
      </c>
      <c r="Y673" s="2" t="s">
        <v>717</v>
      </c>
      <c r="Z673" s="2" t="s">
        <v>718</v>
      </c>
      <c r="AA673" s="9" t="s">
        <v>715</v>
      </c>
      <c r="AC673" s="2"/>
      <c r="AD673" t="s">
        <v>7</v>
      </c>
      <c r="AE673" t="s">
        <v>2687</v>
      </c>
    </row>
    <row r="674" spans="1:31" x14ac:dyDescent="0.3">
      <c r="A674" s="17">
        <v>90739624000118</v>
      </c>
      <c r="B674" t="s">
        <v>52</v>
      </c>
      <c r="C674">
        <v>22474</v>
      </c>
      <c r="D674" t="s">
        <v>536</v>
      </c>
      <c r="E674" t="s">
        <v>2</v>
      </c>
      <c r="F674">
        <v>269308</v>
      </c>
      <c r="G674" s="1" t="s">
        <v>2688</v>
      </c>
      <c r="H674">
        <v>24852412</v>
      </c>
      <c r="I674">
        <v>40773</v>
      </c>
      <c r="J674" t="s">
        <v>545</v>
      </c>
      <c r="K674" s="17">
        <v>30429333000282</v>
      </c>
      <c r="L674" s="17">
        <v>9576274000106</v>
      </c>
      <c r="M674" s="9">
        <v>127.64</v>
      </c>
      <c r="N674" t="s">
        <v>43</v>
      </c>
      <c r="Q674" s="2"/>
      <c r="R674" s="9"/>
      <c r="S674" t="s">
        <v>44</v>
      </c>
      <c r="T674" t="s">
        <v>45</v>
      </c>
      <c r="U674" s="2" t="s">
        <v>695</v>
      </c>
      <c r="V674" s="9" t="s">
        <v>2689</v>
      </c>
      <c r="W674">
        <v>4.1260830429333002E+43</v>
      </c>
      <c r="X674" t="s">
        <v>46</v>
      </c>
      <c r="Y674" s="2" t="s">
        <v>717</v>
      </c>
      <c r="Z674" s="2" t="s">
        <v>718</v>
      </c>
      <c r="AA674" s="9" t="s">
        <v>715</v>
      </c>
      <c r="AC674" s="2"/>
      <c r="AD674" t="s">
        <v>7</v>
      </c>
      <c r="AE674" t="s">
        <v>2690</v>
      </c>
    </row>
    <row r="675" spans="1:31" x14ac:dyDescent="0.3">
      <c r="A675" s="17">
        <v>90739624000118</v>
      </c>
      <c r="B675" t="s">
        <v>58</v>
      </c>
      <c r="C675">
        <v>22224</v>
      </c>
      <c r="D675" t="s">
        <v>372</v>
      </c>
      <c r="E675" t="s">
        <v>2</v>
      </c>
      <c r="F675">
        <v>269308</v>
      </c>
      <c r="G675" s="1" t="s">
        <v>2691</v>
      </c>
      <c r="H675">
        <v>24852406</v>
      </c>
      <c r="J675" t="s">
        <v>664</v>
      </c>
      <c r="K675" s="17">
        <v>7473735023122</v>
      </c>
      <c r="L675" s="17"/>
      <c r="M675" s="9">
        <v>210.03</v>
      </c>
      <c r="N675" t="s">
        <v>43</v>
      </c>
      <c r="Q675" s="2"/>
      <c r="R675" s="9"/>
      <c r="S675" t="s">
        <v>87</v>
      </c>
      <c r="U675" s="2"/>
      <c r="V675" s="9"/>
      <c r="X675" t="s">
        <v>88</v>
      </c>
      <c r="Y675" s="2" t="s">
        <v>717</v>
      </c>
      <c r="Z675" s="2" t="s">
        <v>718</v>
      </c>
      <c r="AA675" s="9" t="s">
        <v>715</v>
      </c>
      <c r="AC675" s="2"/>
      <c r="AD675" t="s">
        <v>7</v>
      </c>
    </row>
    <row r="676" spans="1:31" x14ac:dyDescent="0.3">
      <c r="A676" s="17">
        <v>90739624000118</v>
      </c>
      <c r="B676" t="s">
        <v>58</v>
      </c>
      <c r="D676" t="s">
        <v>666</v>
      </c>
      <c r="E676" t="s">
        <v>2</v>
      </c>
      <c r="F676">
        <v>269308</v>
      </c>
      <c r="G676" s="1" t="s">
        <v>2693</v>
      </c>
      <c r="H676">
        <v>24852138</v>
      </c>
      <c r="I676">
        <v>26818</v>
      </c>
      <c r="J676" t="s">
        <v>69</v>
      </c>
      <c r="K676" s="17">
        <v>7473735015375</v>
      </c>
      <c r="L676" s="17">
        <v>90739624002323</v>
      </c>
      <c r="M676" s="9">
        <v>502.94</v>
      </c>
      <c r="N676" t="s">
        <v>43</v>
      </c>
      <c r="Q676" s="2"/>
      <c r="R676" s="9"/>
      <c r="S676" t="s">
        <v>44</v>
      </c>
      <c r="T676" t="s">
        <v>45</v>
      </c>
      <c r="U676" s="2" t="s">
        <v>695</v>
      </c>
      <c r="V676" s="9" t="s">
        <v>2694</v>
      </c>
      <c r="W676">
        <v>4.3260807473734999E+43</v>
      </c>
      <c r="X676" t="s">
        <v>46</v>
      </c>
      <c r="Y676" s="2" t="s">
        <v>717</v>
      </c>
      <c r="Z676" s="2" t="s">
        <v>718</v>
      </c>
      <c r="AA676" s="9" t="s">
        <v>715</v>
      </c>
      <c r="AC676" s="2"/>
      <c r="AD676" t="s">
        <v>7</v>
      </c>
      <c r="AE676" t="s">
        <v>2695</v>
      </c>
    </row>
    <row r="677" spans="1:31" x14ac:dyDescent="0.3">
      <c r="A677" s="17">
        <v>90739624000118</v>
      </c>
      <c r="B677" t="s">
        <v>8</v>
      </c>
      <c r="D677" t="s">
        <v>297</v>
      </c>
      <c r="E677" t="s">
        <v>17</v>
      </c>
      <c r="F677">
        <v>269308</v>
      </c>
      <c r="G677" s="1" t="s">
        <v>2696</v>
      </c>
      <c r="H677">
        <v>24852136</v>
      </c>
      <c r="I677">
        <v>4274</v>
      </c>
      <c r="J677" t="s">
        <v>10</v>
      </c>
      <c r="K677" s="17">
        <v>33286065000102</v>
      </c>
      <c r="L677" s="17">
        <v>9576274000106</v>
      </c>
      <c r="M677" s="9">
        <v>40.96</v>
      </c>
      <c r="N677" t="s">
        <v>43</v>
      </c>
      <c r="Q677" s="2"/>
      <c r="R677" s="9"/>
      <c r="S677" t="s">
        <v>44</v>
      </c>
      <c r="T677" t="s">
        <v>45</v>
      </c>
      <c r="U677" s="2" t="s">
        <v>695</v>
      </c>
      <c r="V677" s="9" t="s">
        <v>2697</v>
      </c>
      <c r="W677">
        <v>4.1260833286065001E+43</v>
      </c>
      <c r="X677" t="s">
        <v>46</v>
      </c>
      <c r="Y677" s="2" t="s">
        <v>717</v>
      </c>
      <c r="Z677" s="2" t="s">
        <v>718</v>
      </c>
      <c r="AA677" s="9" t="s">
        <v>715</v>
      </c>
      <c r="AC677" s="2"/>
      <c r="AD677" t="s">
        <v>7</v>
      </c>
      <c r="AE677" t="s">
        <v>2698</v>
      </c>
    </row>
    <row r="678" spans="1:31" x14ac:dyDescent="0.3">
      <c r="A678" s="17">
        <v>90739624000118</v>
      </c>
      <c r="B678" t="s">
        <v>8</v>
      </c>
      <c r="D678" t="s">
        <v>297</v>
      </c>
      <c r="E678" t="s">
        <v>2</v>
      </c>
      <c r="F678">
        <v>269308</v>
      </c>
      <c r="G678" s="1" t="s">
        <v>2699</v>
      </c>
      <c r="H678">
        <v>24852117</v>
      </c>
      <c r="I678">
        <v>4273</v>
      </c>
      <c r="J678" t="s">
        <v>10</v>
      </c>
      <c r="K678" s="17">
        <v>33286065000102</v>
      </c>
      <c r="L678" s="17">
        <v>9576274000106</v>
      </c>
      <c r="M678" s="9">
        <v>940.69</v>
      </c>
      <c r="N678" t="s">
        <v>43</v>
      </c>
      <c r="Q678" s="2"/>
      <c r="R678" s="9"/>
      <c r="S678" t="s">
        <v>44</v>
      </c>
      <c r="T678" t="s">
        <v>45</v>
      </c>
      <c r="U678" s="2" t="s">
        <v>695</v>
      </c>
      <c r="V678" s="9" t="s">
        <v>2700</v>
      </c>
      <c r="W678">
        <v>4.1260833286065001E+43</v>
      </c>
      <c r="X678" t="s">
        <v>46</v>
      </c>
      <c r="Y678" s="2" t="s">
        <v>717</v>
      </c>
      <c r="Z678" s="2" t="s">
        <v>718</v>
      </c>
      <c r="AA678" s="9" t="s">
        <v>715</v>
      </c>
      <c r="AC678" s="2"/>
      <c r="AD678" t="s">
        <v>7</v>
      </c>
      <c r="AE678" t="s">
        <v>2701</v>
      </c>
    </row>
    <row r="679" spans="1:31" x14ac:dyDescent="0.3">
      <c r="A679" s="17">
        <v>90739624000118</v>
      </c>
      <c r="B679" t="s">
        <v>58</v>
      </c>
      <c r="D679" t="s">
        <v>542</v>
      </c>
      <c r="E679" t="s">
        <v>2</v>
      </c>
      <c r="F679">
        <v>269308</v>
      </c>
      <c r="G679" s="1" t="s">
        <v>2702</v>
      </c>
      <c r="H679">
        <v>24852069</v>
      </c>
      <c r="I679">
        <v>42844</v>
      </c>
      <c r="J679" t="s">
        <v>606</v>
      </c>
      <c r="K679" s="17">
        <v>7473735014999</v>
      </c>
      <c r="L679" s="17">
        <v>90739624002323</v>
      </c>
      <c r="M679" s="9">
        <v>372.18</v>
      </c>
      <c r="N679" t="s">
        <v>43</v>
      </c>
      <c r="Q679" s="2"/>
      <c r="R679" s="9"/>
      <c r="S679" t="s">
        <v>44</v>
      </c>
      <c r="T679" t="s">
        <v>45</v>
      </c>
      <c r="U679" s="2" t="s">
        <v>695</v>
      </c>
      <c r="V679" s="9" t="s">
        <v>2703</v>
      </c>
      <c r="W679">
        <v>4.3260807473734999E+43</v>
      </c>
      <c r="X679" t="s">
        <v>46</v>
      </c>
      <c r="Y679" s="2" t="s">
        <v>717</v>
      </c>
      <c r="Z679" s="2" t="s">
        <v>718</v>
      </c>
      <c r="AA679" s="9" t="s">
        <v>715</v>
      </c>
      <c r="AC679" s="2"/>
      <c r="AD679" t="s">
        <v>7</v>
      </c>
      <c r="AE679" t="s">
        <v>2704</v>
      </c>
    </row>
    <row r="680" spans="1:31" x14ac:dyDescent="0.3">
      <c r="A680" s="17">
        <v>90739624000118</v>
      </c>
      <c r="B680" t="s">
        <v>8</v>
      </c>
      <c r="C680">
        <v>22188</v>
      </c>
      <c r="D680" t="s">
        <v>503</v>
      </c>
      <c r="E680" t="s">
        <v>2</v>
      </c>
      <c r="F680">
        <v>269308</v>
      </c>
      <c r="G680" s="1" t="s">
        <v>2705</v>
      </c>
      <c r="H680">
        <v>24851947</v>
      </c>
      <c r="I680">
        <v>4272</v>
      </c>
      <c r="J680" t="s">
        <v>10</v>
      </c>
      <c r="K680" s="17">
        <v>33286065000102</v>
      </c>
      <c r="L680" s="17">
        <v>9576274000106</v>
      </c>
      <c r="M680" s="9">
        <v>199.84</v>
      </c>
      <c r="N680" t="s">
        <v>43</v>
      </c>
      <c r="Q680" s="2"/>
      <c r="R680" s="9"/>
      <c r="S680" t="s">
        <v>44</v>
      </c>
      <c r="T680" t="s">
        <v>45</v>
      </c>
      <c r="U680" s="2" t="s">
        <v>695</v>
      </c>
      <c r="V680" s="9" t="s">
        <v>2706</v>
      </c>
      <c r="W680">
        <v>4.1260833286065001E+43</v>
      </c>
      <c r="X680" t="s">
        <v>46</v>
      </c>
      <c r="Y680" s="2" t="s">
        <v>717</v>
      </c>
      <c r="Z680" s="2" t="s">
        <v>718</v>
      </c>
      <c r="AA680" s="9" t="s">
        <v>715</v>
      </c>
      <c r="AC680" s="2"/>
      <c r="AD680" t="s">
        <v>7</v>
      </c>
      <c r="AE680" t="s">
        <v>2707</v>
      </c>
    </row>
    <row r="681" spans="1:31" x14ac:dyDescent="0.3">
      <c r="A681" s="17">
        <v>90739624000118</v>
      </c>
      <c r="B681" t="s">
        <v>8</v>
      </c>
      <c r="C681">
        <v>24029</v>
      </c>
      <c r="D681" t="s">
        <v>627</v>
      </c>
      <c r="E681" t="s">
        <v>17</v>
      </c>
      <c r="F681">
        <v>269308</v>
      </c>
      <c r="G681" s="1" t="s">
        <v>2708</v>
      </c>
      <c r="H681">
        <v>24851940</v>
      </c>
      <c r="I681">
        <v>10555</v>
      </c>
      <c r="J681" t="s">
        <v>144</v>
      </c>
      <c r="K681" s="17">
        <v>37607755000169</v>
      </c>
      <c r="L681" s="17">
        <v>9576274000106</v>
      </c>
      <c r="M681" s="9">
        <v>10.62</v>
      </c>
      <c r="N681" t="s">
        <v>43</v>
      </c>
      <c r="Q681" s="2"/>
      <c r="R681" s="9"/>
      <c r="S681" t="s">
        <v>44</v>
      </c>
      <c r="T681" t="s">
        <v>45</v>
      </c>
      <c r="U681" s="2" t="s">
        <v>695</v>
      </c>
      <c r="V681" s="9" t="s">
        <v>2709</v>
      </c>
      <c r="W681">
        <v>4.1260837607755001E+43</v>
      </c>
      <c r="X681" t="s">
        <v>46</v>
      </c>
      <c r="Y681" s="2" t="s">
        <v>717</v>
      </c>
      <c r="Z681" s="2" t="s">
        <v>718</v>
      </c>
      <c r="AA681" s="9" t="s">
        <v>715</v>
      </c>
      <c r="AC681" s="2"/>
      <c r="AD681" t="s">
        <v>7</v>
      </c>
      <c r="AE681" t="s">
        <v>2710</v>
      </c>
    </row>
    <row r="682" spans="1:31" x14ac:dyDescent="0.3">
      <c r="A682" s="17">
        <v>90739624000118</v>
      </c>
      <c r="B682" t="s">
        <v>8</v>
      </c>
      <c r="C682">
        <v>24029</v>
      </c>
      <c r="D682" t="s">
        <v>627</v>
      </c>
      <c r="E682" t="s">
        <v>2</v>
      </c>
      <c r="F682">
        <v>269308</v>
      </c>
      <c r="G682" s="1" t="s">
        <v>2711</v>
      </c>
      <c r="H682">
        <v>24851908</v>
      </c>
      <c r="I682">
        <v>10554</v>
      </c>
      <c r="J682" t="s">
        <v>144</v>
      </c>
      <c r="K682" s="17">
        <v>37607755000169</v>
      </c>
      <c r="L682" s="17">
        <v>9576274000106</v>
      </c>
      <c r="M682" s="9">
        <v>520.58000000000004</v>
      </c>
      <c r="N682" t="s">
        <v>43</v>
      </c>
      <c r="Q682" s="2"/>
      <c r="R682" s="9"/>
      <c r="S682" t="s">
        <v>44</v>
      </c>
      <c r="T682" t="s">
        <v>45</v>
      </c>
      <c r="U682" s="2" t="s">
        <v>695</v>
      </c>
      <c r="V682" s="9" t="s">
        <v>2712</v>
      </c>
      <c r="W682">
        <v>4.1260837607755001E+43</v>
      </c>
      <c r="X682" t="s">
        <v>46</v>
      </c>
      <c r="Y682" s="2" t="s">
        <v>717</v>
      </c>
      <c r="Z682" s="2" t="s">
        <v>718</v>
      </c>
      <c r="AA682" s="9" t="s">
        <v>715</v>
      </c>
      <c r="AC682" s="2"/>
      <c r="AD682" t="s">
        <v>7</v>
      </c>
      <c r="AE682" t="s">
        <v>2713</v>
      </c>
    </row>
    <row r="683" spans="1:31" x14ac:dyDescent="0.3">
      <c r="A683" s="17">
        <v>90739624000118</v>
      </c>
      <c r="B683" t="s">
        <v>49</v>
      </c>
      <c r="D683" t="s">
        <v>478</v>
      </c>
      <c r="E683" t="s">
        <v>2</v>
      </c>
      <c r="F683">
        <v>269308</v>
      </c>
      <c r="G683" s="1" t="s">
        <v>2714</v>
      </c>
      <c r="H683">
        <v>24851740</v>
      </c>
      <c r="I683">
        <v>162891</v>
      </c>
      <c r="J683" t="s">
        <v>51</v>
      </c>
      <c r="K683" s="17">
        <v>2763612000161</v>
      </c>
      <c r="L683" s="17">
        <v>90739624003133</v>
      </c>
      <c r="M683" s="9">
        <v>193.01</v>
      </c>
      <c r="N683" t="s">
        <v>43</v>
      </c>
      <c r="Q683" s="2"/>
      <c r="R683" s="9"/>
      <c r="S683" t="s">
        <v>44</v>
      </c>
      <c r="T683" t="s">
        <v>45</v>
      </c>
      <c r="U683" s="2" t="s">
        <v>695</v>
      </c>
      <c r="V683" s="9" t="s">
        <v>2715</v>
      </c>
      <c r="W683">
        <v>4.1260802763612002E+43</v>
      </c>
      <c r="X683" t="s">
        <v>46</v>
      </c>
      <c r="Y683" s="2" t="s">
        <v>717</v>
      </c>
      <c r="Z683" s="2" t="s">
        <v>718</v>
      </c>
      <c r="AA683" s="9" t="s">
        <v>715</v>
      </c>
      <c r="AC683" s="2"/>
      <c r="AD683" t="s">
        <v>7</v>
      </c>
      <c r="AE683" t="s">
        <v>2716</v>
      </c>
    </row>
    <row r="684" spans="1:31" x14ac:dyDescent="0.3">
      <c r="A684" s="17">
        <v>90739624000118</v>
      </c>
      <c r="B684" t="s">
        <v>52</v>
      </c>
      <c r="C684">
        <v>21295</v>
      </c>
      <c r="D684" t="s">
        <v>240</v>
      </c>
      <c r="E684" t="s">
        <v>2</v>
      </c>
      <c r="F684">
        <v>269308</v>
      </c>
      <c r="G684" s="1" t="s">
        <v>2717</v>
      </c>
      <c r="H684">
        <v>24851551</v>
      </c>
      <c r="I684">
        <v>40752</v>
      </c>
      <c r="J684" t="s">
        <v>545</v>
      </c>
      <c r="K684" s="17">
        <v>30429333000282</v>
      </c>
      <c r="L684" s="17">
        <v>9576274000106</v>
      </c>
      <c r="M684" s="9">
        <v>138.24</v>
      </c>
      <c r="N684" t="s">
        <v>43</v>
      </c>
      <c r="Q684" s="2"/>
      <c r="R684" s="9"/>
      <c r="S684" t="s">
        <v>44</v>
      </c>
      <c r="T684" t="s">
        <v>45</v>
      </c>
      <c r="U684" s="2" t="s">
        <v>695</v>
      </c>
      <c r="V684" s="9" t="s">
        <v>2718</v>
      </c>
      <c r="W684">
        <v>4.1260830429333002E+43</v>
      </c>
      <c r="X684" t="s">
        <v>46</v>
      </c>
      <c r="Y684" s="2" t="s">
        <v>717</v>
      </c>
      <c r="Z684" s="2" t="s">
        <v>718</v>
      </c>
      <c r="AA684" s="9" t="s">
        <v>715</v>
      </c>
      <c r="AC684" s="2"/>
      <c r="AD684" t="s">
        <v>7</v>
      </c>
      <c r="AE684" t="s">
        <v>2719</v>
      </c>
    </row>
    <row r="685" spans="1:31" x14ac:dyDescent="0.3">
      <c r="A685" s="17">
        <v>90739624000118</v>
      </c>
      <c r="B685" t="s">
        <v>8</v>
      </c>
      <c r="C685">
        <v>22482</v>
      </c>
      <c r="D685" t="s">
        <v>512</v>
      </c>
      <c r="E685" t="s">
        <v>2</v>
      </c>
      <c r="F685">
        <v>269308</v>
      </c>
      <c r="G685" s="1" t="s">
        <v>2720</v>
      </c>
      <c r="H685">
        <v>24850920</v>
      </c>
      <c r="I685">
        <v>10549</v>
      </c>
      <c r="J685" t="s">
        <v>144</v>
      </c>
      <c r="K685" s="17">
        <v>37607755000169</v>
      </c>
      <c r="L685" s="17">
        <v>9576274000106</v>
      </c>
      <c r="M685" s="9">
        <v>168.25</v>
      </c>
      <c r="N685" t="s">
        <v>43</v>
      </c>
      <c r="Q685" s="2"/>
      <c r="R685" s="9"/>
      <c r="S685" t="s">
        <v>44</v>
      </c>
      <c r="T685" t="s">
        <v>45</v>
      </c>
      <c r="U685" s="2" t="s">
        <v>695</v>
      </c>
      <c r="V685" s="9" t="s">
        <v>2721</v>
      </c>
      <c r="W685">
        <v>4.1260837607755001E+43</v>
      </c>
      <c r="X685" t="s">
        <v>46</v>
      </c>
      <c r="Y685" s="2" t="s">
        <v>717</v>
      </c>
      <c r="Z685" s="2" t="s">
        <v>718</v>
      </c>
      <c r="AA685" s="9" t="s">
        <v>715</v>
      </c>
      <c r="AC685" s="2"/>
      <c r="AD685" t="s">
        <v>7</v>
      </c>
      <c r="AE685" t="s">
        <v>2722</v>
      </c>
    </row>
    <row r="686" spans="1:31" x14ac:dyDescent="0.3">
      <c r="A686" s="17">
        <v>90739624000118</v>
      </c>
      <c r="B686" t="s">
        <v>28</v>
      </c>
      <c r="D686" t="s">
        <v>91</v>
      </c>
      <c r="E686" t="s">
        <v>2</v>
      </c>
      <c r="F686">
        <v>269308</v>
      </c>
      <c r="G686" s="1" t="s">
        <v>2723</v>
      </c>
      <c r="H686">
        <v>24850861</v>
      </c>
      <c r="I686">
        <v>113023</v>
      </c>
      <c r="J686" t="s">
        <v>29</v>
      </c>
      <c r="K686" s="17">
        <v>47377960000139</v>
      </c>
      <c r="L686" s="17">
        <v>90739624001947</v>
      </c>
      <c r="M686" s="9">
        <v>262.02999999999997</v>
      </c>
      <c r="N686" t="s">
        <v>43</v>
      </c>
      <c r="Q686" s="2"/>
      <c r="R686" s="9"/>
      <c r="S686" t="s">
        <v>44</v>
      </c>
      <c r="T686" t="s">
        <v>45</v>
      </c>
      <c r="U686" s="2" t="s">
        <v>695</v>
      </c>
      <c r="V686" s="9" t="s">
        <v>2724</v>
      </c>
      <c r="W686">
        <v>5.2260847377959996E+43</v>
      </c>
      <c r="X686" t="s">
        <v>46</v>
      </c>
      <c r="Y686" s="2" t="s">
        <v>717</v>
      </c>
      <c r="Z686" s="2" t="s">
        <v>718</v>
      </c>
      <c r="AA686" s="9" t="s">
        <v>715</v>
      </c>
      <c r="AC686" s="2"/>
      <c r="AD686" t="s">
        <v>7</v>
      </c>
      <c r="AE686" t="s">
        <v>2725</v>
      </c>
    </row>
    <row r="687" spans="1:31" x14ac:dyDescent="0.3">
      <c r="A687" s="17">
        <v>90739624000118</v>
      </c>
      <c r="B687" t="s">
        <v>174</v>
      </c>
      <c r="D687" t="s">
        <v>286</v>
      </c>
      <c r="E687" t="s">
        <v>2</v>
      </c>
      <c r="F687">
        <v>269308</v>
      </c>
      <c r="G687" s="1" t="s">
        <v>2726</v>
      </c>
      <c r="H687">
        <v>24850526</v>
      </c>
      <c r="I687">
        <v>5571</v>
      </c>
      <c r="J687" t="s">
        <v>268</v>
      </c>
      <c r="K687" s="17">
        <v>4985282000184</v>
      </c>
      <c r="L687" s="17">
        <v>90739624000118</v>
      </c>
      <c r="M687" s="9">
        <v>335.52</v>
      </c>
      <c r="N687" t="s">
        <v>43</v>
      </c>
      <c r="Q687" s="2"/>
      <c r="R687" s="9"/>
      <c r="S687" t="s">
        <v>44</v>
      </c>
      <c r="T687" t="s">
        <v>45</v>
      </c>
      <c r="U687" s="2" t="s">
        <v>695</v>
      </c>
      <c r="V687" s="9" t="s">
        <v>2727</v>
      </c>
      <c r="W687">
        <v>1.7260804985282E+43</v>
      </c>
      <c r="X687" t="s">
        <v>46</v>
      </c>
      <c r="Y687" s="2" t="s">
        <v>717</v>
      </c>
      <c r="Z687" s="2" t="s">
        <v>718</v>
      </c>
      <c r="AA687" s="9" t="s">
        <v>715</v>
      </c>
      <c r="AC687" s="2"/>
      <c r="AD687" t="s">
        <v>7</v>
      </c>
      <c r="AE687" t="s">
        <v>2728</v>
      </c>
    </row>
    <row r="688" spans="1:31" x14ac:dyDescent="0.3">
      <c r="A688" s="17">
        <v>90739624000118</v>
      </c>
      <c r="B688" t="s">
        <v>73</v>
      </c>
      <c r="D688" t="s">
        <v>159</v>
      </c>
      <c r="E688" t="s">
        <v>2</v>
      </c>
      <c r="F688">
        <v>269308</v>
      </c>
      <c r="G688" s="1" t="s">
        <v>2729</v>
      </c>
      <c r="H688">
        <v>24850181</v>
      </c>
      <c r="J688" t="s">
        <v>694</v>
      </c>
      <c r="K688" s="17">
        <v>7473735020026</v>
      </c>
      <c r="L688" s="17"/>
      <c r="M688" s="9">
        <v>299.75</v>
      </c>
      <c r="N688" t="s">
        <v>43</v>
      </c>
      <c r="Q688" s="2"/>
      <c r="R688" s="9"/>
      <c r="S688" t="s">
        <v>87</v>
      </c>
      <c r="U688" s="2"/>
      <c r="V688" s="9"/>
      <c r="X688" t="s">
        <v>88</v>
      </c>
      <c r="Y688" s="2" t="s">
        <v>717</v>
      </c>
      <c r="Z688" s="2" t="s">
        <v>718</v>
      </c>
      <c r="AA688" s="9" t="s">
        <v>715</v>
      </c>
      <c r="AC688" s="2"/>
      <c r="AD688" t="s">
        <v>7</v>
      </c>
    </row>
    <row r="689" spans="1:31" x14ac:dyDescent="0.3">
      <c r="A689" s="17">
        <v>90739624000118</v>
      </c>
      <c r="B689" t="s">
        <v>61</v>
      </c>
      <c r="D689" t="s">
        <v>569</v>
      </c>
      <c r="E689" t="s">
        <v>2</v>
      </c>
      <c r="F689">
        <v>269308</v>
      </c>
      <c r="G689" s="1" t="s">
        <v>2731</v>
      </c>
      <c r="H689">
        <v>24849624</v>
      </c>
      <c r="I689">
        <v>2506</v>
      </c>
      <c r="J689" t="s">
        <v>85</v>
      </c>
      <c r="K689" s="17">
        <v>1975878000105</v>
      </c>
      <c r="L689" s="17">
        <v>9576274000106</v>
      </c>
      <c r="M689" s="9">
        <v>275.08999999999997</v>
      </c>
      <c r="N689" t="s">
        <v>43</v>
      </c>
      <c r="Q689" s="2"/>
      <c r="R689" s="9"/>
      <c r="S689" t="s">
        <v>44</v>
      </c>
      <c r="T689" t="s">
        <v>45</v>
      </c>
      <c r="U689" s="2" t="s">
        <v>695</v>
      </c>
      <c r="V689" s="9" t="s">
        <v>2732</v>
      </c>
      <c r="W689">
        <v>4.1260801975878E+43</v>
      </c>
      <c r="X689" t="s">
        <v>46</v>
      </c>
      <c r="Y689" s="2" t="s">
        <v>717</v>
      </c>
      <c r="Z689" s="2" t="s">
        <v>718</v>
      </c>
      <c r="AA689" s="9" t="s">
        <v>715</v>
      </c>
      <c r="AC689" s="2"/>
      <c r="AD689" t="s">
        <v>7</v>
      </c>
      <c r="AE689" t="s">
        <v>2733</v>
      </c>
    </row>
    <row r="690" spans="1:31" x14ac:dyDescent="0.3">
      <c r="A690" s="17">
        <v>90739624000118</v>
      </c>
      <c r="B690" t="s">
        <v>25</v>
      </c>
      <c r="D690" t="s">
        <v>108</v>
      </c>
      <c r="E690" t="s">
        <v>2</v>
      </c>
      <c r="F690">
        <v>269308</v>
      </c>
      <c r="G690" s="1" t="s">
        <v>2734</v>
      </c>
      <c r="H690">
        <v>24849028</v>
      </c>
      <c r="I690">
        <v>297872</v>
      </c>
      <c r="J690" t="s">
        <v>109</v>
      </c>
      <c r="K690" s="17">
        <v>5218335000102</v>
      </c>
      <c r="L690" s="17">
        <v>90739624001866</v>
      </c>
      <c r="M690" s="9">
        <v>146.66999999999999</v>
      </c>
      <c r="N690" t="s">
        <v>43</v>
      </c>
      <c r="Q690" s="2"/>
      <c r="R690" s="9"/>
      <c r="S690" t="s">
        <v>44</v>
      </c>
      <c r="T690" t="s">
        <v>45</v>
      </c>
      <c r="U690" s="2" t="s">
        <v>695</v>
      </c>
      <c r="V690" s="9" t="s">
        <v>2735</v>
      </c>
      <c r="W690">
        <v>5.1260805218334996E+43</v>
      </c>
      <c r="X690" t="s">
        <v>46</v>
      </c>
      <c r="Y690" s="2" t="s">
        <v>717</v>
      </c>
      <c r="Z690" s="2" t="s">
        <v>718</v>
      </c>
      <c r="AA690" s="9" t="s">
        <v>715</v>
      </c>
      <c r="AC690" s="2"/>
      <c r="AD690" t="s">
        <v>7</v>
      </c>
      <c r="AE690" t="s">
        <v>2736</v>
      </c>
    </row>
    <row r="691" spans="1:31" x14ac:dyDescent="0.3">
      <c r="A691" s="17">
        <v>90739624000118</v>
      </c>
      <c r="B691" t="s">
        <v>28</v>
      </c>
      <c r="C691">
        <v>23725</v>
      </c>
      <c r="D691" t="s">
        <v>560</v>
      </c>
      <c r="E691" t="s">
        <v>2</v>
      </c>
      <c r="F691">
        <v>269308</v>
      </c>
      <c r="G691" s="1" t="s">
        <v>2737</v>
      </c>
      <c r="H691">
        <v>24847496</v>
      </c>
      <c r="I691">
        <v>81224</v>
      </c>
      <c r="J691" t="s">
        <v>48</v>
      </c>
      <c r="K691" s="17">
        <v>1272434001002</v>
      </c>
      <c r="L691" s="17">
        <v>90739624001947</v>
      </c>
      <c r="M691" s="9">
        <v>134.6</v>
      </c>
      <c r="N691" t="s">
        <v>43</v>
      </c>
      <c r="Q691" s="2"/>
      <c r="R691" s="9"/>
      <c r="S691" t="s">
        <v>44</v>
      </c>
      <c r="T691" t="s">
        <v>45</v>
      </c>
      <c r="U691" s="2" t="s">
        <v>695</v>
      </c>
      <c r="V691" s="9" t="s">
        <v>2738</v>
      </c>
      <c r="W691">
        <v>5.2260801272433996E+43</v>
      </c>
      <c r="X691" t="s">
        <v>46</v>
      </c>
      <c r="Y691" s="2" t="s">
        <v>717</v>
      </c>
      <c r="Z691" s="2" t="s">
        <v>718</v>
      </c>
      <c r="AA691" s="9" t="s">
        <v>715</v>
      </c>
      <c r="AC691" s="2"/>
      <c r="AD691" t="s">
        <v>7</v>
      </c>
      <c r="AE691" t="s">
        <v>2739</v>
      </c>
    </row>
    <row r="692" spans="1:31" x14ac:dyDescent="0.3">
      <c r="A692" s="17">
        <v>90739624000118</v>
      </c>
      <c r="B692" t="s">
        <v>61</v>
      </c>
      <c r="D692" t="s">
        <v>269</v>
      </c>
      <c r="E692" t="s">
        <v>2</v>
      </c>
      <c r="F692">
        <v>269308</v>
      </c>
      <c r="G692" s="1" t="s">
        <v>2740</v>
      </c>
      <c r="H692">
        <v>24847484</v>
      </c>
      <c r="I692">
        <v>820140</v>
      </c>
      <c r="J692" t="s">
        <v>62</v>
      </c>
      <c r="K692" s="17">
        <v>79964177000591</v>
      </c>
      <c r="L692" s="17">
        <v>9576274000106</v>
      </c>
      <c r="M692" s="9">
        <v>2758.56</v>
      </c>
      <c r="N692" t="s">
        <v>43</v>
      </c>
      <c r="Q692" s="2"/>
      <c r="R692" s="9"/>
      <c r="S692" t="s">
        <v>44</v>
      </c>
      <c r="T692" t="s">
        <v>45</v>
      </c>
      <c r="U692" s="2" t="s">
        <v>695</v>
      </c>
      <c r="V692" s="9" t="s">
        <v>2741</v>
      </c>
      <c r="W692">
        <v>4.1260879964176998E+43</v>
      </c>
      <c r="X692" t="s">
        <v>46</v>
      </c>
      <c r="Y692" s="2" t="s">
        <v>717</v>
      </c>
      <c r="Z692" s="2" t="s">
        <v>718</v>
      </c>
      <c r="AA692" s="9" t="s">
        <v>715</v>
      </c>
      <c r="AC692" s="2"/>
      <c r="AD692" t="s">
        <v>7</v>
      </c>
      <c r="AE692" t="s">
        <v>2742</v>
      </c>
    </row>
    <row r="693" spans="1:31" x14ac:dyDescent="0.3">
      <c r="A693" s="17">
        <v>90739624000118</v>
      </c>
      <c r="B693" t="s">
        <v>63</v>
      </c>
      <c r="C693">
        <v>26140</v>
      </c>
      <c r="D693" t="s">
        <v>195</v>
      </c>
      <c r="E693" t="s">
        <v>2</v>
      </c>
      <c r="F693">
        <v>269308</v>
      </c>
      <c r="G693" s="1" t="s">
        <v>2743</v>
      </c>
      <c r="H693">
        <v>24847042</v>
      </c>
      <c r="I693">
        <v>178972</v>
      </c>
      <c r="J693" t="s">
        <v>64</v>
      </c>
      <c r="K693" s="17">
        <v>23448964001921</v>
      </c>
      <c r="L693" s="17">
        <v>90739624001432</v>
      </c>
      <c r="M693" s="9">
        <v>203.02</v>
      </c>
      <c r="N693" t="s">
        <v>43</v>
      </c>
      <c r="Q693" s="2"/>
      <c r="R693" s="9"/>
      <c r="S693" t="s">
        <v>44</v>
      </c>
      <c r="T693" t="s">
        <v>45</v>
      </c>
      <c r="U693" s="2" t="s">
        <v>695</v>
      </c>
      <c r="V693" s="9" t="s">
        <v>2744</v>
      </c>
      <c r="W693">
        <v>4.2260823448963998E+43</v>
      </c>
      <c r="X693" t="s">
        <v>46</v>
      </c>
      <c r="Y693" s="2" t="s">
        <v>717</v>
      </c>
      <c r="Z693" s="2" t="s">
        <v>718</v>
      </c>
      <c r="AA693" s="9" t="s">
        <v>715</v>
      </c>
      <c r="AC693" s="2"/>
      <c r="AD693" t="s">
        <v>7</v>
      </c>
      <c r="AE693" t="s">
        <v>2745</v>
      </c>
    </row>
    <row r="694" spans="1:31" x14ac:dyDescent="0.3">
      <c r="A694" s="17">
        <v>90739624000118</v>
      </c>
      <c r="B694" t="s">
        <v>120</v>
      </c>
      <c r="C694">
        <v>22471</v>
      </c>
      <c r="D694" t="s">
        <v>244</v>
      </c>
      <c r="E694" t="s">
        <v>2</v>
      </c>
      <c r="F694">
        <v>269308</v>
      </c>
      <c r="G694" s="1" t="s">
        <v>2746</v>
      </c>
      <c r="H694">
        <v>24846840</v>
      </c>
      <c r="I694">
        <v>60970</v>
      </c>
      <c r="J694" t="s">
        <v>150</v>
      </c>
      <c r="K694" s="17">
        <v>27643038000139</v>
      </c>
      <c r="L694" s="17">
        <v>90739624001432</v>
      </c>
      <c r="M694" s="9">
        <v>228.55</v>
      </c>
      <c r="N694" t="s">
        <v>43</v>
      </c>
      <c r="Q694" s="2"/>
      <c r="R694" s="9"/>
      <c r="S694" t="s">
        <v>44</v>
      </c>
      <c r="T694" t="s">
        <v>45</v>
      </c>
      <c r="U694" s="2" t="s">
        <v>695</v>
      </c>
      <c r="V694" s="9" t="s">
        <v>2747</v>
      </c>
      <c r="W694">
        <v>4.2260827643038002E+43</v>
      </c>
      <c r="X694" t="s">
        <v>46</v>
      </c>
      <c r="Y694" s="2" t="s">
        <v>717</v>
      </c>
      <c r="Z694" s="2" t="s">
        <v>718</v>
      </c>
      <c r="AA694" s="9" t="s">
        <v>715</v>
      </c>
      <c r="AC694" s="2"/>
      <c r="AD694" t="s">
        <v>7</v>
      </c>
      <c r="AE694" t="s">
        <v>2748</v>
      </c>
    </row>
    <row r="695" spans="1:31" x14ac:dyDescent="0.3">
      <c r="A695" s="17">
        <v>90739624000118</v>
      </c>
      <c r="B695" t="s">
        <v>73</v>
      </c>
      <c r="D695" t="s">
        <v>506</v>
      </c>
      <c r="E695" t="s">
        <v>2</v>
      </c>
      <c r="F695">
        <v>269308</v>
      </c>
      <c r="G695" s="1" t="s">
        <v>2749</v>
      </c>
      <c r="H695">
        <v>24846641</v>
      </c>
      <c r="I695">
        <v>45577</v>
      </c>
      <c r="J695" t="s">
        <v>604</v>
      </c>
      <c r="K695" s="17">
        <v>7473735013593</v>
      </c>
      <c r="L695" s="17">
        <v>90739624002323</v>
      </c>
      <c r="M695" s="9">
        <v>194.8</v>
      </c>
      <c r="N695" t="s">
        <v>43</v>
      </c>
      <c r="Q695" s="2"/>
      <c r="R695" s="9"/>
      <c r="S695" t="s">
        <v>44</v>
      </c>
      <c r="T695" t="s">
        <v>45</v>
      </c>
      <c r="U695" s="2" t="s">
        <v>695</v>
      </c>
      <c r="V695" s="9" t="s">
        <v>2750</v>
      </c>
      <c r="W695">
        <v>4.3260807473734999E+43</v>
      </c>
      <c r="X695" t="s">
        <v>46</v>
      </c>
      <c r="Y695" s="2" t="s">
        <v>717</v>
      </c>
      <c r="Z695" s="2" t="s">
        <v>718</v>
      </c>
      <c r="AA695" s="9" t="s">
        <v>715</v>
      </c>
      <c r="AC695" s="2"/>
      <c r="AD695" t="s">
        <v>7</v>
      </c>
      <c r="AE695" t="s">
        <v>2751</v>
      </c>
    </row>
    <row r="696" spans="1:31" x14ac:dyDescent="0.3">
      <c r="A696" s="17">
        <v>90739624000118</v>
      </c>
      <c r="B696" t="s">
        <v>13</v>
      </c>
      <c r="D696" t="s">
        <v>376</v>
      </c>
      <c r="E696" t="s">
        <v>2</v>
      </c>
      <c r="F696">
        <v>269308</v>
      </c>
      <c r="G696" s="1" t="s">
        <v>2752</v>
      </c>
      <c r="H696">
        <v>24846345</v>
      </c>
      <c r="I696">
        <v>91529</v>
      </c>
      <c r="J696" t="s">
        <v>465</v>
      </c>
      <c r="K696" s="17">
        <v>24601882000109</v>
      </c>
      <c r="L696" s="17">
        <v>90739624001190</v>
      </c>
      <c r="M696" s="9">
        <v>286.01</v>
      </c>
      <c r="N696" t="s">
        <v>43</v>
      </c>
      <c r="Q696" s="2"/>
      <c r="R696" s="9"/>
      <c r="S696" t="s">
        <v>44</v>
      </c>
      <c r="T696" t="s">
        <v>45</v>
      </c>
      <c r="U696" s="2" t="s">
        <v>583</v>
      </c>
      <c r="V696" s="9" t="s">
        <v>658</v>
      </c>
      <c r="W696">
        <v>5.0260824601881997E+43</v>
      </c>
      <c r="X696" t="s">
        <v>46</v>
      </c>
      <c r="Y696" s="2" t="s">
        <v>717</v>
      </c>
      <c r="Z696" s="2" t="s">
        <v>718</v>
      </c>
      <c r="AA696" s="9" t="s">
        <v>715</v>
      </c>
      <c r="AC696" s="2"/>
      <c r="AD696" t="s">
        <v>7</v>
      </c>
      <c r="AE696" t="s">
        <v>2753</v>
      </c>
    </row>
    <row r="697" spans="1:31" x14ac:dyDescent="0.3">
      <c r="A697" s="17">
        <v>90739624000118</v>
      </c>
      <c r="B697" t="s">
        <v>170</v>
      </c>
      <c r="C697">
        <v>24207</v>
      </c>
      <c r="D697" t="s">
        <v>588</v>
      </c>
      <c r="E697" t="s">
        <v>2</v>
      </c>
      <c r="F697">
        <v>269308</v>
      </c>
      <c r="G697" s="1" t="s">
        <v>2754</v>
      </c>
      <c r="H697">
        <v>24846141</v>
      </c>
      <c r="I697">
        <v>129360</v>
      </c>
      <c r="J697" t="s">
        <v>178</v>
      </c>
      <c r="K697" s="17">
        <v>83392050000199</v>
      </c>
      <c r="L697" s="17">
        <v>90739624001432</v>
      </c>
      <c r="M697" s="9">
        <v>152.47</v>
      </c>
      <c r="N697" t="s">
        <v>43</v>
      </c>
      <c r="Q697" s="2"/>
      <c r="R697" s="9"/>
      <c r="S697" t="s">
        <v>44</v>
      </c>
      <c r="T697" t="s">
        <v>45</v>
      </c>
      <c r="U697" s="2" t="s">
        <v>695</v>
      </c>
      <c r="V697" s="9" t="s">
        <v>2755</v>
      </c>
      <c r="W697">
        <v>4.2260883392050001E+43</v>
      </c>
      <c r="X697" t="s">
        <v>46</v>
      </c>
      <c r="Y697" s="2" t="s">
        <v>717</v>
      </c>
      <c r="Z697" s="2" t="s">
        <v>718</v>
      </c>
      <c r="AA697" s="9" t="s">
        <v>715</v>
      </c>
      <c r="AC697" s="2"/>
      <c r="AD697" t="s">
        <v>7</v>
      </c>
      <c r="AE697" t="s">
        <v>2756</v>
      </c>
    </row>
    <row r="698" spans="1:31" x14ac:dyDescent="0.3">
      <c r="A698" s="17">
        <v>90739624000118</v>
      </c>
      <c r="B698" t="s">
        <v>170</v>
      </c>
      <c r="C698">
        <v>22329</v>
      </c>
      <c r="D698" t="s">
        <v>359</v>
      </c>
      <c r="E698" t="s">
        <v>2</v>
      </c>
      <c r="F698">
        <v>269308</v>
      </c>
      <c r="G698" s="1" t="s">
        <v>2757</v>
      </c>
      <c r="H698">
        <v>24846083</v>
      </c>
      <c r="I698">
        <v>129359</v>
      </c>
      <c r="J698" t="s">
        <v>178</v>
      </c>
      <c r="K698" s="17">
        <v>83392050000199</v>
      </c>
      <c r="L698" s="17">
        <v>90739624001432</v>
      </c>
      <c r="M698" s="9">
        <v>283.92</v>
      </c>
      <c r="N698" t="s">
        <v>43</v>
      </c>
      <c r="Q698" s="2"/>
      <c r="R698" s="9"/>
      <c r="S698" t="s">
        <v>44</v>
      </c>
      <c r="T698" t="s">
        <v>45</v>
      </c>
      <c r="U698" s="2" t="s">
        <v>695</v>
      </c>
      <c r="V698" s="9" t="s">
        <v>1678</v>
      </c>
      <c r="W698">
        <v>4.2260883392050001E+43</v>
      </c>
      <c r="X698" t="s">
        <v>46</v>
      </c>
      <c r="Y698" s="2" t="s">
        <v>717</v>
      </c>
      <c r="Z698" s="2" t="s">
        <v>718</v>
      </c>
      <c r="AA698" s="9" t="s">
        <v>715</v>
      </c>
      <c r="AC698" s="2"/>
      <c r="AD698" t="s">
        <v>7</v>
      </c>
      <c r="AE698" t="s">
        <v>2758</v>
      </c>
    </row>
    <row r="699" spans="1:31" x14ac:dyDescent="0.3">
      <c r="A699" s="17">
        <v>90739624000118</v>
      </c>
      <c r="B699" t="s">
        <v>52</v>
      </c>
      <c r="D699" t="s">
        <v>934</v>
      </c>
      <c r="E699" t="s">
        <v>2</v>
      </c>
      <c r="F699">
        <v>269308</v>
      </c>
      <c r="G699" s="1" t="s">
        <v>2759</v>
      </c>
      <c r="H699">
        <v>24846031</v>
      </c>
      <c r="I699">
        <v>40751</v>
      </c>
      <c r="J699" t="s">
        <v>545</v>
      </c>
      <c r="K699" s="17">
        <v>30429333000282</v>
      </c>
      <c r="L699" s="17">
        <v>9576274000106</v>
      </c>
      <c r="M699" s="9">
        <v>176.65</v>
      </c>
      <c r="N699" t="s">
        <v>43</v>
      </c>
      <c r="Q699" s="2"/>
      <c r="R699" s="9"/>
      <c r="S699" t="s">
        <v>44</v>
      </c>
      <c r="T699" t="s">
        <v>45</v>
      </c>
      <c r="U699" s="2" t="s">
        <v>695</v>
      </c>
      <c r="V699" s="9" t="s">
        <v>2760</v>
      </c>
      <c r="W699">
        <v>4.1260830429333002E+43</v>
      </c>
      <c r="X699" t="s">
        <v>46</v>
      </c>
      <c r="Y699" s="2" t="s">
        <v>717</v>
      </c>
      <c r="Z699" s="2" t="s">
        <v>718</v>
      </c>
      <c r="AA699" s="9" t="s">
        <v>715</v>
      </c>
      <c r="AC699" s="2"/>
      <c r="AD699" t="s">
        <v>7</v>
      </c>
      <c r="AE699" t="s">
        <v>2761</v>
      </c>
    </row>
    <row r="700" spans="1:31" x14ac:dyDescent="0.3">
      <c r="A700" s="17">
        <v>90739624000118</v>
      </c>
      <c r="B700" t="s">
        <v>0</v>
      </c>
      <c r="C700">
        <v>26119</v>
      </c>
      <c r="D700" t="s">
        <v>1</v>
      </c>
      <c r="E700" t="s">
        <v>2</v>
      </c>
      <c r="F700">
        <v>269308</v>
      </c>
      <c r="G700" s="1" t="s">
        <v>2762</v>
      </c>
      <c r="H700">
        <v>24845946</v>
      </c>
      <c r="I700">
        <v>101166</v>
      </c>
      <c r="J700" t="s">
        <v>134</v>
      </c>
      <c r="K700" s="17">
        <v>81326258000770</v>
      </c>
      <c r="L700" s="17">
        <v>90739624001432</v>
      </c>
      <c r="M700" s="9">
        <v>390.2</v>
      </c>
      <c r="N700" t="s">
        <v>43</v>
      </c>
      <c r="Q700" s="2"/>
      <c r="R700" s="9"/>
      <c r="S700" t="s">
        <v>44</v>
      </c>
      <c r="T700" t="s">
        <v>45</v>
      </c>
      <c r="U700" s="2" t="s">
        <v>695</v>
      </c>
      <c r="V700" s="9" t="s">
        <v>2763</v>
      </c>
      <c r="W700">
        <v>4.2260881326258001E+43</v>
      </c>
      <c r="X700" t="s">
        <v>46</v>
      </c>
      <c r="Y700" s="2" t="s">
        <v>717</v>
      </c>
      <c r="Z700" s="2" t="s">
        <v>718</v>
      </c>
      <c r="AA700" s="9" t="s">
        <v>715</v>
      </c>
      <c r="AC700" s="2"/>
      <c r="AD700" t="s">
        <v>7</v>
      </c>
      <c r="AE700" t="s">
        <v>2764</v>
      </c>
    </row>
    <row r="701" spans="1:31" x14ac:dyDescent="0.3">
      <c r="A701" s="17">
        <v>90739624000118</v>
      </c>
      <c r="B701" t="s">
        <v>36</v>
      </c>
      <c r="D701" t="s">
        <v>493</v>
      </c>
      <c r="E701" t="s">
        <v>2</v>
      </c>
      <c r="F701">
        <v>269308</v>
      </c>
      <c r="G701" s="1" t="s">
        <v>2765</v>
      </c>
      <c r="H701">
        <v>24845830</v>
      </c>
      <c r="I701">
        <v>4142</v>
      </c>
      <c r="J701" t="s">
        <v>186</v>
      </c>
      <c r="K701" s="17">
        <v>7822636000168</v>
      </c>
      <c r="L701" s="17">
        <v>90739624004458</v>
      </c>
      <c r="M701" s="9">
        <v>241.64</v>
      </c>
      <c r="N701" t="s">
        <v>43</v>
      </c>
      <c r="Q701" s="2"/>
      <c r="R701" s="9"/>
      <c r="S701" t="s">
        <v>44</v>
      </c>
      <c r="T701" t="s">
        <v>45</v>
      </c>
      <c r="U701" s="2" t="s">
        <v>695</v>
      </c>
      <c r="V701" s="9" t="s">
        <v>2767</v>
      </c>
      <c r="W701">
        <v>5.3260807822636003E+43</v>
      </c>
      <c r="X701" t="s">
        <v>46</v>
      </c>
      <c r="Y701" s="2" t="s">
        <v>717</v>
      </c>
      <c r="Z701" s="2" t="s">
        <v>718</v>
      </c>
      <c r="AA701" s="9" t="s">
        <v>715</v>
      </c>
      <c r="AC701" s="2"/>
      <c r="AD701" t="s">
        <v>7</v>
      </c>
      <c r="AE701" t="s">
        <v>2768</v>
      </c>
    </row>
    <row r="702" spans="1:31" x14ac:dyDescent="0.3">
      <c r="A702" s="17">
        <v>90739624000118</v>
      </c>
      <c r="B702" t="s">
        <v>170</v>
      </c>
      <c r="C702">
        <v>22448</v>
      </c>
      <c r="D702" t="s">
        <v>381</v>
      </c>
      <c r="E702" t="s">
        <v>2</v>
      </c>
      <c r="F702">
        <v>269308</v>
      </c>
      <c r="G702" s="1" t="s">
        <v>2769</v>
      </c>
      <c r="H702">
        <v>24845817</v>
      </c>
      <c r="I702">
        <v>129358</v>
      </c>
      <c r="J702" t="s">
        <v>178</v>
      </c>
      <c r="K702" s="17">
        <v>83392050000199</v>
      </c>
      <c r="L702" s="17">
        <v>90739624001432</v>
      </c>
      <c r="M702" s="9">
        <v>245.52</v>
      </c>
      <c r="N702" t="s">
        <v>43</v>
      </c>
      <c r="Q702" s="2"/>
      <c r="R702" s="9"/>
      <c r="S702" t="s">
        <v>44</v>
      </c>
      <c r="T702" t="s">
        <v>45</v>
      </c>
      <c r="U702" s="2" t="s">
        <v>695</v>
      </c>
      <c r="V702" s="9" t="s">
        <v>2770</v>
      </c>
      <c r="W702">
        <v>4.2260883392050001E+43</v>
      </c>
      <c r="X702" t="s">
        <v>46</v>
      </c>
      <c r="Y702" s="2" t="s">
        <v>717</v>
      </c>
      <c r="Z702" s="2" t="s">
        <v>718</v>
      </c>
      <c r="AA702" s="9" t="s">
        <v>715</v>
      </c>
      <c r="AC702" s="2"/>
      <c r="AD702" t="s">
        <v>7</v>
      </c>
      <c r="AE702" t="s">
        <v>2771</v>
      </c>
    </row>
    <row r="703" spans="1:31" x14ac:dyDescent="0.3">
      <c r="A703" s="17">
        <v>90739624000118</v>
      </c>
      <c r="B703" t="s">
        <v>28</v>
      </c>
      <c r="C703">
        <v>22480</v>
      </c>
      <c r="D703" t="s">
        <v>322</v>
      </c>
      <c r="E703" t="s">
        <v>2</v>
      </c>
      <c r="F703">
        <v>269308</v>
      </c>
      <c r="G703" s="1" t="s">
        <v>2772</v>
      </c>
      <c r="H703">
        <v>24845757</v>
      </c>
      <c r="I703">
        <v>124962</v>
      </c>
      <c r="J703" t="s">
        <v>487</v>
      </c>
      <c r="K703" s="17">
        <v>148072000180</v>
      </c>
      <c r="L703" s="17">
        <v>90739624001947</v>
      </c>
      <c r="M703" s="9">
        <v>322.91000000000003</v>
      </c>
      <c r="N703" t="s">
        <v>43</v>
      </c>
      <c r="Q703" s="2"/>
      <c r="R703" s="9"/>
      <c r="S703" t="s">
        <v>44</v>
      </c>
      <c r="T703" t="s">
        <v>45</v>
      </c>
      <c r="U703" s="2" t="s">
        <v>581</v>
      </c>
      <c r="V703" s="9" t="s">
        <v>2773</v>
      </c>
      <c r="W703">
        <v>5.2260800148072004E+43</v>
      </c>
      <c r="X703" t="s">
        <v>46</v>
      </c>
      <c r="Y703" s="2" t="s">
        <v>717</v>
      </c>
      <c r="Z703" s="2" t="s">
        <v>718</v>
      </c>
      <c r="AA703" s="9" t="s">
        <v>715</v>
      </c>
      <c r="AC703" s="2"/>
      <c r="AD703" t="s">
        <v>7</v>
      </c>
      <c r="AE703" t="s">
        <v>2774</v>
      </c>
    </row>
    <row r="704" spans="1:31" x14ac:dyDescent="0.3">
      <c r="A704" s="17">
        <v>90739624000118</v>
      </c>
      <c r="B704" t="s">
        <v>8</v>
      </c>
      <c r="C704">
        <v>21719</v>
      </c>
      <c r="D704" t="s">
        <v>145</v>
      </c>
      <c r="E704" t="s">
        <v>2</v>
      </c>
      <c r="F704">
        <v>269308</v>
      </c>
      <c r="G704" s="1" t="s">
        <v>2775</v>
      </c>
      <c r="H704">
        <v>24845707</v>
      </c>
      <c r="I704">
        <v>10548</v>
      </c>
      <c r="J704" t="s">
        <v>144</v>
      </c>
      <c r="K704" s="17">
        <v>37607755000169</v>
      </c>
      <c r="L704" s="17">
        <v>9576274000106</v>
      </c>
      <c r="M704" s="9">
        <v>139.05000000000001</v>
      </c>
      <c r="N704" t="s">
        <v>43</v>
      </c>
      <c r="Q704" s="2"/>
      <c r="R704" s="9"/>
      <c r="S704" t="s">
        <v>44</v>
      </c>
      <c r="T704" t="s">
        <v>45</v>
      </c>
      <c r="U704" s="2" t="s">
        <v>695</v>
      </c>
      <c r="V704" s="9" t="s">
        <v>2776</v>
      </c>
      <c r="W704">
        <v>4.1260837607755001E+43</v>
      </c>
      <c r="X704" t="s">
        <v>46</v>
      </c>
      <c r="Y704" s="2" t="s">
        <v>717</v>
      </c>
      <c r="Z704" s="2" t="s">
        <v>718</v>
      </c>
      <c r="AA704" s="9" t="s">
        <v>715</v>
      </c>
      <c r="AC704" s="2"/>
      <c r="AD704" t="s">
        <v>7</v>
      </c>
      <c r="AE704" t="s">
        <v>2777</v>
      </c>
    </row>
    <row r="705" spans="1:31" x14ac:dyDescent="0.3">
      <c r="A705" s="17">
        <v>90739624000118</v>
      </c>
      <c r="B705" t="s">
        <v>8</v>
      </c>
      <c r="C705">
        <v>24443</v>
      </c>
      <c r="D705" t="s">
        <v>155</v>
      </c>
      <c r="E705" t="s">
        <v>2</v>
      </c>
      <c r="F705">
        <v>269308</v>
      </c>
      <c r="G705" s="1" t="s">
        <v>2778</v>
      </c>
      <c r="H705">
        <v>24845653</v>
      </c>
      <c r="I705">
        <v>10400</v>
      </c>
      <c r="J705" t="s">
        <v>10</v>
      </c>
      <c r="K705" s="17">
        <v>33286065000102</v>
      </c>
      <c r="L705" s="17">
        <v>9576274000106</v>
      </c>
      <c r="M705" s="9">
        <v>208.19</v>
      </c>
      <c r="N705" t="s">
        <v>43</v>
      </c>
      <c r="Q705" s="2"/>
      <c r="R705" s="9"/>
      <c r="S705" t="s">
        <v>44</v>
      </c>
      <c r="T705" t="s">
        <v>45</v>
      </c>
      <c r="U705" s="2" t="s">
        <v>695</v>
      </c>
      <c r="V705" s="9" t="s">
        <v>2779</v>
      </c>
      <c r="W705">
        <v>4.1260833286065001E+43</v>
      </c>
      <c r="X705" t="s">
        <v>46</v>
      </c>
      <c r="Y705" s="2" t="s">
        <v>717</v>
      </c>
      <c r="Z705" s="2" t="s">
        <v>718</v>
      </c>
      <c r="AA705" s="9" t="s">
        <v>715</v>
      </c>
      <c r="AC705" s="2"/>
      <c r="AD705" t="s">
        <v>7</v>
      </c>
      <c r="AE705" t="s">
        <v>2780</v>
      </c>
    </row>
    <row r="706" spans="1:31" x14ac:dyDescent="0.3">
      <c r="A706" s="17">
        <v>90739624000118</v>
      </c>
      <c r="B706" t="s">
        <v>100</v>
      </c>
      <c r="D706" t="s">
        <v>151</v>
      </c>
      <c r="E706" t="s">
        <v>2</v>
      </c>
      <c r="F706">
        <v>269308</v>
      </c>
      <c r="G706" s="1" t="s">
        <v>2781</v>
      </c>
      <c r="H706">
        <v>24845556</v>
      </c>
      <c r="I706">
        <v>323336</v>
      </c>
      <c r="J706" t="s">
        <v>634</v>
      </c>
      <c r="K706" s="17">
        <v>22611652000286</v>
      </c>
      <c r="L706" s="17">
        <v>90739624001866</v>
      </c>
      <c r="M706" s="9">
        <v>293.36</v>
      </c>
      <c r="N706" t="s">
        <v>43</v>
      </c>
      <c r="Q706" s="2"/>
      <c r="R706" s="9"/>
      <c r="S706" t="s">
        <v>44</v>
      </c>
      <c r="T706" t="s">
        <v>45</v>
      </c>
      <c r="U706" s="2" t="s">
        <v>695</v>
      </c>
      <c r="V706" s="9" t="s">
        <v>2782</v>
      </c>
      <c r="W706">
        <v>5.1260822611652001E+43</v>
      </c>
      <c r="X706" t="s">
        <v>46</v>
      </c>
      <c r="Y706" s="2" t="s">
        <v>717</v>
      </c>
      <c r="Z706" s="2" t="s">
        <v>718</v>
      </c>
      <c r="AA706" s="9" t="s">
        <v>715</v>
      </c>
      <c r="AC706" s="2"/>
      <c r="AD706" t="s">
        <v>7</v>
      </c>
      <c r="AE706" t="s">
        <v>2783</v>
      </c>
    </row>
    <row r="707" spans="1:31" x14ac:dyDescent="0.3">
      <c r="A707" s="17">
        <v>90739624000118</v>
      </c>
      <c r="B707" t="s">
        <v>100</v>
      </c>
      <c r="D707" t="s">
        <v>598</v>
      </c>
      <c r="E707" t="s">
        <v>2</v>
      </c>
      <c r="F707">
        <v>269308</v>
      </c>
      <c r="G707" s="1" t="s">
        <v>2784</v>
      </c>
      <c r="H707">
        <v>24845545</v>
      </c>
      <c r="I707">
        <v>44389</v>
      </c>
      <c r="J707" t="s">
        <v>303</v>
      </c>
      <c r="K707" s="17">
        <v>9380191000139</v>
      </c>
      <c r="L707" s="17">
        <v>90739624001866</v>
      </c>
      <c r="M707" s="9">
        <v>426.42</v>
      </c>
      <c r="N707" t="s">
        <v>43</v>
      </c>
      <c r="Q707" s="2"/>
      <c r="R707" s="9"/>
      <c r="S707" t="s">
        <v>44</v>
      </c>
      <c r="T707" t="s">
        <v>45</v>
      </c>
      <c r="U707" s="2" t="s">
        <v>695</v>
      </c>
      <c r="V707" s="9" t="s">
        <v>2785</v>
      </c>
      <c r="W707">
        <v>5.1260809380190997E+43</v>
      </c>
      <c r="X707" t="s">
        <v>46</v>
      </c>
      <c r="Y707" s="2" t="s">
        <v>717</v>
      </c>
      <c r="Z707" s="2" t="s">
        <v>718</v>
      </c>
      <c r="AA707" s="9" t="s">
        <v>715</v>
      </c>
      <c r="AC707" s="2"/>
      <c r="AD707" t="s">
        <v>7</v>
      </c>
      <c r="AE707" t="s">
        <v>2786</v>
      </c>
    </row>
    <row r="708" spans="1:31" x14ac:dyDescent="0.3">
      <c r="A708" s="17">
        <v>90739624000118</v>
      </c>
      <c r="B708" t="s">
        <v>63</v>
      </c>
      <c r="D708" t="s">
        <v>193</v>
      </c>
      <c r="E708" t="s">
        <v>2</v>
      </c>
      <c r="F708">
        <v>269308</v>
      </c>
      <c r="G708" s="1" t="s">
        <v>2787</v>
      </c>
      <c r="H708">
        <v>24845534</v>
      </c>
      <c r="I708">
        <v>178956</v>
      </c>
      <c r="J708" t="s">
        <v>64</v>
      </c>
      <c r="K708" s="17">
        <v>23448964001921</v>
      </c>
      <c r="L708" s="17">
        <v>90739624001432</v>
      </c>
      <c r="M708" s="9">
        <v>169.39</v>
      </c>
      <c r="N708" t="s">
        <v>43</v>
      </c>
      <c r="Q708" s="2"/>
      <c r="R708" s="9"/>
      <c r="S708" t="s">
        <v>44</v>
      </c>
      <c r="T708" t="s">
        <v>45</v>
      </c>
      <c r="U708" s="2" t="s">
        <v>695</v>
      </c>
      <c r="V708" s="9" t="s">
        <v>2788</v>
      </c>
      <c r="W708">
        <v>4.2260823448963998E+43</v>
      </c>
      <c r="X708" t="s">
        <v>46</v>
      </c>
      <c r="Y708" s="2" t="s">
        <v>717</v>
      </c>
      <c r="Z708" s="2" t="s">
        <v>718</v>
      </c>
      <c r="AA708" s="9" t="s">
        <v>715</v>
      </c>
      <c r="AC708" s="2"/>
      <c r="AD708" t="s">
        <v>7</v>
      </c>
      <c r="AE708" t="s">
        <v>2789</v>
      </c>
    </row>
    <row r="709" spans="1:31" x14ac:dyDescent="0.3">
      <c r="A709" s="17">
        <v>90739624000118</v>
      </c>
      <c r="B709" t="s">
        <v>58</v>
      </c>
      <c r="D709" t="s">
        <v>153</v>
      </c>
      <c r="E709" t="s">
        <v>2</v>
      </c>
      <c r="F709">
        <v>269308</v>
      </c>
      <c r="G709" s="1" t="s">
        <v>2790</v>
      </c>
      <c r="H709">
        <v>24845512</v>
      </c>
      <c r="I709">
        <v>110832</v>
      </c>
      <c r="J709" t="s">
        <v>106</v>
      </c>
      <c r="K709" s="17">
        <v>7473735015103</v>
      </c>
      <c r="L709" s="17">
        <v>90739624002323</v>
      </c>
      <c r="M709" s="9">
        <v>95.18</v>
      </c>
      <c r="N709" t="s">
        <v>43</v>
      </c>
      <c r="Q709" s="2"/>
      <c r="R709" s="9"/>
      <c r="S709" t="s">
        <v>44</v>
      </c>
      <c r="T709" t="s">
        <v>45</v>
      </c>
      <c r="U709" s="2" t="s">
        <v>695</v>
      </c>
      <c r="V709" s="9" t="s">
        <v>2791</v>
      </c>
      <c r="W709">
        <v>4.3260807473734999E+43</v>
      </c>
      <c r="X709" t="s">
        <v>46</v>
      </c>
      <c r="Y709" s="2" t="s">
        <v>717</v>
      </c>
      <c r="Z709" s="2" t="s">
        <v>718</v>
      </c>
      <c r="AA709" s="9" t="s">
        <v>715</v>
      </c>
      <c r="AC709" s="2"/>
      <c r="AD709" t="s">
        <v>7</v>
      </c>
      <c r="AE709" t="s">
        <v>2792</v>
      </c>
    </row>
    <row r="710" spans="1:31" x14ac:dyDescent="0.3">
      <c r="A710" s="17">
        <v>90739624000118</v>
      </c>
      <c r="B710" t="s">
        <v>61</v>
      </c>
      <c r="D710" t="s">
        <v>158</v>
      </c>
      <c r="E710" t="s">
        <v>2</v>
      </c>
      <c r="F710">
        <v>269308</v>
      </c>
      <c r="G710" s="1" t="s">
        <v>2793</v>
      </c>
      <c r="H710">
        <v>24845474</v>
      </c>
      <c r="I710">
        <v>820129</v>
      </c>
      <c r="J710" t="s">
        <v>62</v>
      </c>
      <c r="K710" s="17">
        <v>79964177000591</v>
      </c>
      <c r="L710" s="17">
        <v>9576274000106</v>
      </c>
      <c r="M710" s="9">
        <v>2212.92</v>
      </c>
      <c r="N710" t="s">
        <v>43</v>
      </c>
      <c r="Q710" s="2"/>
      <c r="R710" s="9"/>
      <c r="S710" t="s">
        <v>44</v>
      </c>
      <c r="T710" t="s">
        <v>45</v>
      </c>
      <c r="U710" s="2" t="s">
        <v>695</v>
      </c>
      <c r="V710" s="9" t="s">
        <v>2795</v>
      </c>
      <c r="W710">
        <v>4.1260879964176998E+43</v>
      </c>
      <c r="X710" t="s">
        <v>46</v>
      </c>
      <c r="Y710" s="2" t="s">
        <v>717</v>
      </c>
      <c r="Z710" s="2" t="s">
        <v>718</v>
      </c>
      <c r="AA710" s="9" t="s">
        <v>715</v>
      </c>
      <c r="AC710" s="2"/>
      <c r="AD710" t="s">
        <v>7</v>
      </c>
      <c r="AE710" t="s">
        <v>2796</v>
      </c>
    </row>
    <row r="711" spans="1:31" x14ac:dyDescent="0.3">
      <c r="A711" s="17">
        <v>90739624000118</v>
      </c>
      <c r="B711" t="s">
        <v>126</v>
      </c>
      <c r="D711" t="s">
        <v>533</v>
      </c>
      <c r="E711" t="s">
        <v>2</v>
      </c>
      <c r="F711">
        <v>269308</v>
      </c>
      <c r="G711" s="1" t="s">
        <v>2797</v>
      </c>
      <c r="H711">
        <v>24845302</v>
      </c>
      <c r="I711">
        <v>820127</v>
      </c>
      <c r="J711" t="s">
        <v>62</v>
      </c>
      <c r="K711" s="17">
        <v>79964177000591</v>
      </c>
      <c r="L711" s="17">
        <v>9576274000106</v>
      </c>
      <c r="M711" s="9">
        <v>394.1</v>
      </c>
      <c r="N711" t="s">
        <v>43</v>
      </c>
      <c r="Q711" s="2"/>
      <c r="R711" s="9"/>
      <c r="S711" t="s">
        <v>44</v>
      </c>
      <c r="T711" t="s">
        <v>45</v>
      </c>
      <c r="U711" s="2" t="s">
        <v>695</v>
      </c>
      <c r="V711" s="9" t="s">
        <v>2799</v>
      </c>
      <c r="W711">
        <v>4.1260879964176998E+43</v>
      </c>
      <c r="X711" t="s">
        <v>46</v>
      </c>
      <c r="Y711" s="2" t="s">
        <v>717</v>
      </c>
      <c r="Z711" s="2" t="s">
        <v>718</v>
      </c>
      <c r="AA711" s="9" t="s">
        <v>715</v>
      </c>
      <c r="AC711" s="2"/>
      <c r="AD711" t="s">
        <v>7</v>
      </c>
      <c r="AE711" t="s">
        <v>2800</v>
      </c>
    </row>
    <row r="712" spans="1:31" x14ac:dyDescent="0.3">
      <c r="A712" s="17">
        <v>90739624000118</v>
      </c>
      <c r="B712" t="s">
        <v>31</v>
      </c>
      <c r="D712" t="s">
        <v>273</v>
      </c>
      <c r="E712" t="s">
        <v>2</v>
      </c>
      <c r="F712">
        <v>269308</v>
      </c>
      <c r="G712" s="1" t="s">
        <v>2801</v>
      </c>
      <c r="H712">
        <v>24845074</v>
      </c>
      <c r="I712">
        <v>190335</v>
      </c>
      <c r="J712" t="s">
        <v>2612</v>
      </c>
      <c r="K712" s="17">
        <v>32962458000118</v>
      </c>
      <c r="L712" s="17">
        <v>90739624001866</v>
      </c>
      <c r="M712" s="9">
        <v>89.59</v>
      </c>
      <c r="N712" t="s">
        <v>43</v>
      </c>
      <c r="Q712" s="2"/>
      <c r="R712" s="9"/>
      <c r="S712" t="s">
        <v>44</v>
      </c>
      <c r="T712" t="s">
        <v>45</v>
      </c>
      <c r="U712" s="2" t="s">
        <v>695</v>
      </c>
      <c r="V712" s="9" t="s">
        <v>2802</v>
      </c>
      <c r="W712">
        <v>5.1260832962457996E+43</v>
      </c>
      <c r="X712" t="s">
        <v>46</v>
      </c>
      <c r="Y712" s="2" t="s">
        <v>717</v>
      </c>
      <c r="Z712" s="2" t="s">
        <v>718</v>
      </c>
      <c r="AA712" s="9" t="s">
        <v>715</v>
      </c>
      <c r="AC712" s="2"/>
      <c r="AD712" t="s">
        <v>7</v>
      </c>
      <c r="AE712" t="s">
        <v>2803</v>
      </c>
    </row>
    <row r="713" spans="1:31" x14ac:dyDescent="0.3">
      <c r="A713" s="17">
        <v>90739624000118</v>
      </c>
      <c r="B713" t="s">
        <v>63</v>
      </c>
      <c r="D713" t="s">
        <v>1309</v>
      </c>
      <c r="E713" t="s">
        <v>17</v>
      </c>
      <c r="F713">
        <v>269308</v>
      </c>
      <c r="G713" s="1" t="s">
        <v>2804</v>
      </c>
      <c r="H713">
        <v>24845066</v>
      </c>
      <c r="I713">
        <v>178949</v>
      </c>
      <c r="J713" t="s">
        <v>64</v>
      </c>
      <c r="K713" s="17">
        <v>23448964001921</v>
      </c>
      <c r="L713" s="17">
        <v>90739624001432</v>
      </c>
      <c r="M713" s="9">
        <v>11.97</v>
      </c>
      <c r="N713" t="s">
        <v>43</v>
      </c>
      <c r="Q713" s="2"/>
      <c r="R713" s="9"/>
      <c r="S713" t="s">
        <v>44</v>
      </c>
      <c r="T713" t="s">
        <v>45</v>
      </c>
      <c r="U713" s="2" t="s">
        <v>695</v>
      </c>
      <c r="V713" s="9" t="s">
        <v>2805</v>
      </c>
      <c r="W713">
        <v>4.2260823448963998E+43</v>
      </c>
      <c r="X713" t="s">
        <v>46</v>
      </c>
      <c r="Y713" s="2" t="s">
        <v>717</v>
      </c>
      <c r="Z713" s="2" t="s">
        <v>718</v>
      </c>
      <c r="AA713" s="9" t="s">
        <v>715</v>
      </c>
      <c r="AC713" s="2"/>
      <c r="AD713" t="s">
        <v>7</v>
      </c>
      <c r="AE713" t="s">
        <v>2806</v>
      </c>
    </row>
    <row r="714" spans="1:31" x14ac:dyDescent="0.3">
      <c r="A714" s="17">
        <v>90739624000118</v>
      </c>
      <c r="B714" t="s">
        <v>63</v>
      </c>
      <c r="D714" t="s">
        <v>1309</v>
      </c>
      <c r="E714" t="s">
        <v>2</v>
      </c>
      <c r="F714">
        <v>269308</v>
      </c>
      <c r="G714" s="1" t="s">
        <v>2807</v>
      </c>
      <c r="H714">
        <v>24845051</v>
      </c>
      <c r="I714">
        <v>178948</v>
      </c>
      <c r="J714" t="s">
        <v>64</v>
      </c>
      <c r="K714" s="17">
        <v>23448964001921</v>
      </c>
      <c r="L714" s="17">
        <v>90739624001432</v>
      </c>
      <c r="M714" s="9">
        <v>228.67</v>
      </c>
      <c r="N714" t="s">
        <v>43</v>
      </c>
      <c r="Q714" s="2"/>
      <c r="R714" s="9"/>
      <c r="S714" t="s">
        <v>44</v>
      </c>
      <c r="T714" t="s">
        <v>45</v>
      </c>
      <c r="U714" s="2" t="s">
        <v>695</v>
      </c>
      <c r="V714" s="9" t="s">
        <v>2808</v>
      </c>
      <c r="W714">
        <v>4.2260823448963998E+43</v>
      </c>
      <c r="X714" t="s">
        <v>46</v>
      </c>
      <c r="Y714" s="2" t="s">
        <v>717</v>
      </c>
      <c r="Z714" s="2" t="s">
        <v>718</v>
      </c>
      <c r="AA714" s="9" t="s">
        <v>715</v>
      </c>
      <c r="AC714" s="2"/>
      <c r="AD714" t="s">
        <v>7</v>
      </c>
      <c r="AE714" t="s">
        <v>2809</v>
      </c>
    </row>
    <row r="715" spans="1:31" x14ac:dyDescent="0.3">
      <c r="A715" s="17">
        <v>90739624000118</v>
      </c>
      <c r="B715" t="s">
        <v>61</v>
      </c>
      <c r="C715">
        <v>26247</v>
      </c>
      <c r="D715" t="s">
        <v>343</v>
      </c>
      <c r="E715" t="s">
        <v>2</v>
      </c>
      <c r="F715">
        <v>269308</v>
      </c>
      <c r="G715" s="1" t="s">
        <v>2810</v>
      </c>
      <c r="H715">
        <v>24844914</v>
      </c>
      <c r="I715">
        <v>315909</v>
      </c>
      <c r="J715" t="s">
        <v>2226</v>
      </c>
      <c r="K715" s="17">
        <v>45587003000101</v>
      </c>
      <c r="L715" s="17">
        <v>90739624000380</v>
      </c>
      <c r="M715" s="9">
        <v>981.13</v>
      </c>
      <c r="N715" t="s">
        <v>43</v>
      </c>
      <c r="Q715" s="2"/>
      <c r="R715" s="9"/>
      <c r="S715" t="s">
        <v>44</v>
      </c>
      <c r="T715" t="s">
        <v>45</v>
      </c>
      <c r="U715" s="2" t="s">
        <v>695</v>
      </c>
      <c r="V715" s="9" t="s">
        <v>2811</v>
      </c>
      <c r="W715">
        <v>3.5260845587003002E+43</v>
      </c>
      <c r="X715" t="s">
        <v>46</v>
      </c>
      <c r="Y715" s="2" t="s">
        <v>717</v>
      </c>
      <c r="Z715" s="2" t="s">
        <v>718</v>
      </c>
      <c r="AA715" s="9" t="s">
        <v>715</v>
      </c>
      <c r="AC715" s="2"/>
      <c r="AD715" t="s">
        <v>7</v>
      </c>
      <c r="AE715" t="s">
        <v>2812</v>
      </c>
    </row>
    <row r="716" spans="1:31" x14ac:dyDescent="0.3">
      <c r="A716" s="17">
        <v>90739624000118</v>
      </c>
      <c r="B716" t="s">
        <v>36</v>
      </c>
      <c r="C716">
        <v>22446</v>
      </c>
      <c r="D716" t="s">
        <v>196</v>
      </c>
      <c r="E716" t="s">
        <v>2</v>
      </c>
      <c r="F716">
        <v>269308</v>
      </c>
      <c r="G716" s="1" t="s">
        <v>2813</v>
      </c>
      <c r="H716">
        <v>24844909</v>
      </c>
      <c r="I716">
        <v>4141</v>
      </c>
      <c r="J716" t="s">
        <v>186</v>
      </c>
      <c r="K716" s="17">
        <v>7822636000168</v>
      </c>
      <c r="L716" s="17">
        <v>90739624004458</v>
      </c>
      <c r="M716" s="9">
        <v>306.32</v>
      </c>
      <c r="N716" t="s">
        <v>43</v>
      </c>
      <c r="Q716" s="2"/>
      <c r="R716" s="9"/>
      <c r="S716" t="s">
        <v>44</v>
      </c>
      <c r="T716" t="s">
        <v>45</v>
      </c>
      <c r="U716" s="2" t="s">
        <v>695</v>
      </c>
      <c r="V716" s="9" t="s">
        <v>2815</v>
      </c>
      <c r="W716">
        <v>5.3260807822636003E+43</v>
      </c>
      <c r="X716" t="s">
        <v>46</v>
      </c>
      <c r="Y716" s="2" t="s">
        <v>717</v>
      </c>
      <c r="Z716" s="2" t="s">
        <v>718</v>
      </c>
      <c r="AA716" s="9" t="s">
        <v>715</v>
      </c>
      <c r="AC716" s="2"/>
      <c r="AD716" t="s">
        <v>7</v>
      </c>
      <c r="AE716" t="s">
        <v>2816</v>
      </c>
    </row>
    <row r="717" spans="1:31" x14ac:dyDescent="0.3">
      <c r="A717" s="17">
        <v>90739624000118</v>
      </c>
      <c r="B717" t="s">
        <v>33</v>
      </c>
      <c r="D717" t="s">
        <v>472</v>
      </c>
      <c r="E717" t="s">
        <v>2</v>
      </c>
      <c r="F717">
        <v>269308</v>
      </c>
      <c r="G717" s="1" t="s">
        <v>2817</v>
      </c>
      <c r="H717">
        <v>24844890</v>
      </c>
      <c r="J717" t="s">
        <v>35</v>
      </c>
      <c r="K717" s="17">
        <v>27933025000102</v>
      </c>
      <c r="L717" s="17"/>
      <c r="M717" s="9">
        <v>171.88</v>
      </c>
      <c r="N717" t="s">
        <v>43</v>
      </c>
      <c r="Q717" s="2"/>
      <c r="R717" s="9"/>
      <c r="S717" t="s">
        <v>87</v>
      </c>
      <c r="U717" s="2"/>
      <c r="V717" s="9"/>
      <c r="X717" t="s">
        <v>88</v>
      </c>
      <c r="Y717" s="2" t="s">
        <v>717</v>
      </c>
      <c r="Z717" s="2" t="s">
        <v>718</v>
      </c>
      <c r="AA717" s="9" t="s">
        <v>715</v>
      </c>
      <c r="AC717" s="2"/>
      <c r="AD717" t="s">
        <v>7</v>
      </c>
    </row>
    <row r="718" spans="1:31" x14ac:dyDescent="0.3">
      <c r="A718" s="17">
        <v>90739624000118</v>
      </c>
      <c r="B718" t="s">
        <v>13</v>
      </c>
      <c r="D718" t="s">
        <v>207</v>
      </c>
      <c r="E718" t="s">
        <v>2</v>
      </c>
      <c r="F718">
        <v>269308</v>
      </c>
      <c r="G718" s="1" t="s">
        <v>2819</v>
      </c>
      <c r="H718">
        <v>24844881</v>
      </c>
      <c r="I718">
        <v>15912</v>
      </c>
      <c r="J718" t="s">
        <v>315</v>
      </c>
      <c r="K718" s="17">
        <v>2322969000104</v>
      </c>
      <c r="L718" s="17">
        <v>90739624001190</v>
      </c>
      <c r="M718" s="9">
        <v>255.1</v>
      </c>
      <c r="N718" t="s">
        <v>43</v>
      </c>
      <c r="Q718" s="2"/>
      <c r="R718" s="9"/>
      <c r="S718" t="s">
        <v>44</v>
      </c>
      <c r="T718" t="s">
        <v>45</v>
      </c>
      <c r="U718" s="2" t="s">
        <v>695</v>
      </c>
      <c r="V718" s="9" t="s">
        <v>2820</v>
      </c>
      <c r="W718">
        <v>5.0260802322968997E+43</v>
      </c>
      <c r="X718" t="s">
        <v>46</v>
      </c>
      <c r="Y718" s="2" t="s">
        <v>717</v>
      </c>
      <c r="Z718" s="2" t="s">
        <v>718</v>
      </c>
      <c r="AA718" s="9" t="s">
        <v>715</v>
      </c>
      <c r="AC718" s="2"/>
      <c r="AD718" t="s">
        <v>7</v>
      </c>
      <c r="AE718" t="s">
        <v>2821</v>
      </c>
    </row>
    <row r="719" spans="1:31" x14ac:dyDescent="0.3">
      <c r="A719" s="17">
        <v>90739624000118</v>
      </c>
      <c r="B719" t="s">
        <v>58</v>
      </c>
      <c r="C719">
        <v>22006</v>
      </c>
      <c r="D719" t="s">
        <v>162</v>
      </c>
      <c r="E719" t="s">
        <v>2</v>
      </c>
      <c r="F719">
        <v>269308</v>
      </c>
      <c r="G719" s="1" t="s">
        <v>2822</v>
      </c>
      <c r="H719">
        <v>24844872</v>
      </c>
      <c r="I719">
        <v>13680</v>
      </c>
      <c r="J719" t="s">
        <v>192</v>
      </c>
      <c r="K719" s="17">
        <v>7473735022312</v>
      </c>
      <c r="L719" s="17">
        <v>90739624002323</v>
      </c>
      <c r="M719" s="9">
        <v>228.03</v>
      </c>
      <c r="N719" t="s">
        <v>43</v>
      </c>
      <c r="Q719" s="2"/>
      <c r="R719" s="9"/>
      <c r="S719" t="s">
        <v>44</v>
      </c>
      <c r="T719" t="s">
        <v>45</v>
      </c>
      <c r="U719" s="2" t="s">
        <v>695</v>
      </c>
      <c r="V719" s="9" t="s">
        <v>2823</v>
      </c>
      <c r="W719">
        <v>4.3260807473734999E+43</v>
      </c>
      <c r="X719" t="s">
        <v>46</v>
      </c>
      <c r="Y719" s="2" t="s">
        <v>717</v>
      </c>
      <c r="Z719" s="2" t="s">
        <v>718</v>
      </c>
      <c r="AA719" s="9" t="s">
        <v>715</v>
      </c>
      <c r="AC719" s="2"/>
      <c r="AD719" t="s">
        <v>7</v>
      </c>
      <c r="AE719" t="s">
        <v>2824</v>
      </c>
    </row>
    <row r="720" spans="1:31" x14ac:dyDescent="0.3">
      <c r="A720" s="17">
        <v>90739624000118</v>
      </c>
      <c r="B720" t="s">
        <v>170</v>
      </c>
      <c r="C720">
        <v>24444</v>
      </c>
      <c r="D720" t="s">
        <v>281</v>
      </c>
      <c r="E720" t="s">
        <v>2</v>
      </c>
      <c r="F720">
        <v>269308</v>
      </c>
      <c r="G720" s="1" t="s">
        <v>2825</v>
      </c>
      <c r="H720">
        <v>24844662</v>
      </c>
      <c r="I720">
        <v>47503</v>
      </c>
      <c r="J720" t="s">
        <v>171</v>
      </c>
      <c r="K720" s="17">
        <v>14631967000186</v>
      </c>
      <c r="L720" s="17">
        <v>90739624001432</v>
      </c>
      <c r="M720" s="9">
        <v>158.02000000000001</v>
      </c>
      <c r="N720" t="s">
        <v>43</v>
      </c>
      <c r="Q720" s="2"/>
      <c r="R720" s="9"/>
      <c r="S720" t="s">
        <v>44</v>
      </c>
      <c r="T720" t="s">
        <v>45</v>
      </c>
      <c r="U720" s="2" t="s">
        <v>695</v>
      </c>
      <c r="V720" s="9" t="s">
        <v>2826</v>
      </c>
      <c r="W720">
        <v>4.2260814631966998E+43</v>
      </c>
      <c r="X720" t="s">
        <v>46</v>
      </c>
      <c r="Y720" s="2" t="s">
        <v>717</v>
      </c>
      <c r="Z720" s="2" t="s">
        <v>718</v>
      </c>
      <c r="AA720" s="9" t="s">
        <v>715</v>
      </c>
      <c r="AC720" s="2"/>
      <c r="AD720" t="s">
        <v>7</v>
      </c>
      <c r="AE720" t="s">
        <v>2827</v>
      </c>
    </row>
    <row r="721" spans="1:31" x14ac:dyDescent="0.3">
      <c r="A721" s="17">
        <v>90739624000118</v>
      </c>
      <c r="B721" t="s">
        <v>63</v>
      </c>
      <c r="D721" t="s">
        <v>466</v>
      </c>
      <c r="E721" t="s">
        <v>2</v>
      </c>
      <c r="F721">
        <v>269308</v>
      </c>
      <c r="G721" s="1" t="s">
        <v>2828</v>
      </c>
      <c r="H721">
        <v>24844536</v>
      </c>
      <c r="I721">
        <v>178940</v>
      </c>
      <c r="J721" t="s">
        <v>64</v>
      </c>
      <c r="K721" s="17">
        <v>23448964001921</v>
      </c>
      <c r="L721" s="17">
        <v>90739624001432</v>
      </c>
      <c r="M721" s="9">
        <v>169.33</v>
      </c>
      <c r="N721" t="s">
        <v>43</v>
      </c>
      <c r="Q721" s="2"/>
      <c r="R721" s="9"/>
      <c r="S721" t="s">
        <v>44</v>
      </c>
      <c r="T721" t="s">
        <v>45</v>
      </c>
      <c r="U721" s="2" t="s">
        <v>695</v>
      </c>
      <c r="V721" s="9" t="s">
        <v>2829</v>
      </c>
      <c r="W721">
        <v>4.2260823448963998E+43</v>
      </c>
      <c r="X721" t="s">
        <v>46</v>
      </c>
      <c r="Y721" s="2" t="s">
        <v>717</v>
      </c>
      <c r="Z721" s="2" t="s">
        <v>718</v>
      </c>
      <c r="AA721" s="9" t="s">
        <v>715</v>
      </c>
      <c r="AC721" s="2"/>
      <c r="AD721" t="s">
        <v>7</v>
      </c>
      <c r="AE721" t="s">
        <v>2830</v>
      </c>
    </row>
    <row r="722" spans="1:31" x14ac:dyDescent="0.3">
      <c r="A722" s="17">
        <v>90739624000118</v>
      </c>
      <c r="B722" t="s">
        <v>99</v>
      </c>
      <c r="C722">
        <v>22634</v>
      </c>
      <c r="D722" t="s">
        <v>641</v>
      </c>
      <c r="E722" t="s">
        <v>2</v>
      </c>
      <c r="F722">
        <v>269308</v>
      </c>
      <c r="G722" s="1" t="s">
        <v>2831</v>
      </c>
      <c r="H722">
        <v>24844534</v>
      </c>
      <c r="I722">
        <v>50508</v>
      </c>
      <c r="J722" t="s">
        <v>507</v>
      </c>
      <c r="K722" s="17">
        <v>3626094001330</v>
      </c>
      <c r="L722" s="17">
        <v>9576274000106</v>
      </c>
      <c r="M722" s="9">
        <v>116.29</v>
      </c>
      <c r="N722" t="s">
        <v>43</v>
      </c>
      <c r="Q722" s="2"/>
      <c r="R722" s="9"/>
      <c r="S722" t="s">
        <v>44</v>
      </c>
      <c r="T722" t="s">
        <v>45</v>
      </c>
      <c r="U722" s="2" t="s">
        <v>695</v>
      </c>
      <c r="V722" s="9" t="s">
        <v>2832</v>
      </c>
      <c r="W722">
        <v>4.1260803626093998E+43</v>
      </c>
      <c r="X722" t="s">
        <v>46</v>
      </c>
      <c r="Y722" s="2" t="s">
        <v>717</v>
      </c>
      <c r="Z722" s="2" t="s">
        <v>718</v>
      </c>
      <c r="AA722" s="9" t="s">
        <v>715</v>
      </c>
      <c r="AC722" s="2"/>
      <c r="AD722" t="s">
        <v>7</v>
      </c>
      <c r="AE722" t="s">
        <v>2833</v>
      </c>
    </row>
    <row r="723" spans="1:31" x14ac:dyDescent="0.3">
      <c r="A723" s="17">
        <v>90739624000118</v>
      </c>
      <c r="B723" t="s">
        <v>63</v>
      </c>
      <c r="D723" t="s">
        <v>561</v>
      </c>
      <c r="E723" t="s">
        <v>2</v>
      </c>
      <c r="F723">
        <v>269308</v>
      </c>
      <c r="G723" s="1" t="s">
        <v>2834</v>
      </c>
      <c r="H723">
        <v>24844522</v>
      </c>
      <c r="I723">
        <v>178938</v>
      </c>
      <c r="J723" t="s">
        <v>64</v>
      </c>
      <c r="K723" s="17">
        <v>23448964001921</v>
      </c>
      <c r="L723" s="17">
        <v>90739624001432</v>
      </c>
      <c r="M723" s="9">
        <v>284.42</v>
      </c>
      <c r="N723" t="s">
        <v>43</v>
      </c>
      <c r="Q723" s="2"/>
      <c r="R723" s="9"/>
      <c r="S723" t="s">
        <v>44</v>
      </c>
      <c r="T723" t="s">
        <v>45</v>
      </c>
      <c r="U723" s="2" t="s">
        <v>695</v>
      </c>
      <c r="V723" s="9" t="s">
        <v>2835</v>
      </c>
      <c r="W723">
        <v>4.2260823448963998E+43</v>
      </c>
      <c r="X723" t="s">
        <v>46</v>
      </c>
      <c r="Y723" s="2" t="s">
        <v>717</v>
      </c>
      <c r="Z723" s="2" t="s">
        <v>718</v>
      </c>
      <c r="AA723" s="9" t="s">
        <v>715</v>
      </c>
      <c r="AC723" s="2"/>
      <c r="AD723" t="s">
        <v>7</v>
      </c>
      <c r="AE723" t="s">
        <v>2836</v>
      </c>
    </row>
    <row r="724" spans="1:31" x14ac:dyDescent="0.3">
      <c r="A724" s="17">
        <v>90739624000118</v>
      </c>
      <c r="B724" t="s">
        <v>58</v>
      </c>
      <c r="D724" t="s">
        <v>391</v>
      </c>
      <c r="E724" t="s">
        <v>2</v>
      </c>
      <c r="F724">
        <v>269308</v>
      </c>
      <c r="G724" s="1" t="s">
        <v>2837</v>
      </c>
      <c r="H724">
        <v>24844383</v>
      </c>
      <c r="I724">
        <v>110825</v>
      </c>
      <c r="J724" t="s">
        <v>106</v>
      </c>
      <c r="K724" s="17">
        <v>7473735015103</v>
      </c>
      <c r="L724" s="17">
        <v>90739624002323</v>
      </c>
      <c r="M724" s="9">
        <v>117.45</v>
      </c>
      <c r="N724" t="s">
        <v>43</v>
      </c>
      <c r="Q724" s="2"/>
      <c r="R724" s="9"/>
      <c r="S724" t="s">
        <v>44</v>
      </c>
      <c r="T724" t="s">
        <v>45</v>
      </c>
      <c r="U724" s="2" t="s">
        <v>695</v>
      </c>
      <c r="V724" s="9" t="s">
        <v>2838</v>
      </c>
      <c r="W724">
        <v>4.3260807473734999E+43</v>
      </c>
      <c r="X724" t="s">
        <v>46</v>
      </c>
      <c r="Y724" s="2" t="s">
        <v>717</v>
      </c>
      <c r="Z724" s="2" t="s">
        <v>718</v>
      </c>
      <c r="AA724" s="9" t="s">
        <v>715</v>
      </c>
      <c r="AC724" s="2"/>
      <c r="AD724" t="s">
        <v>7</v>
      </c>
      <c r="AE724" t="s">
        <v>2839</v>
      </c>
    </row>
    <row r="725" spans="1:31" x14ac:dyDescent="0.3">
      <c r="A725" s="17">
        <v>90739624000118</v>
      </c>
      <c r="B725" t="s">
        <v>63</v>
      </c>
      <c r="D725" t="s">
        <v>373</v>
      </c>
      <c r="E725" t="s">
        <v>17</v>
      </c>
      <c r="F725">
        <v>269308</v>
      </c>
      <c r="G725" s="1" t="s">
        <v>2840</v>
      </c>
      <c r="H725">
        <v>24844377</v>
      </c>
      <c r="I725">
        <v>178933</v>
      </c>
      <c r="J725" t="s">
        <v>64</v>
      </c>
      <c r="K725" s="17">
        <v>23448964001921</v>
      </c>
      <c r="L725" s="17">
        <v>90739624001432</v>
      </c>
      <c r="M725" s="9">
        <v>43.89</v>
      </c>
      <c r="N725" t="s">
        <v>43</v>
      </c>
      <c r="Q725" s="2"/>
      <c r="R725" s="9"/>
      <c r="S725" t="s">
        <v>44</v>
      </c>
      <c r="T725" t="s">
        <v>45</v>
      </c>
      <c r="U725" s="2" t="s">
        <v>695</v>
      </c>
      <c r="V725" s="9" t="s">
        <v>2841</v>
      </c>
      <c r="W725">
        <v>4.2260823448963998E+43</v>
      </c>
      <c r="X725" t="s">
        <v>46</v>
      </c>
      <c r="Y725" s="2" t="s">
        <v>717</v>
      </c>
      <c r="Z725" s="2" t="s">
        <v>718</v>
      </c>
      <c r="AA725" s="9" t="s">
        <v>715</v>
      </c>
      <c r="AC725" s="2"/>
      <c r="AD725" t="s">
        <v>7</v>
      </c>
      <c r="AE725" t="s">
        <v>2842</v>
      </c>
    </row>
    <row r="726" spans="1:31" x14ac:dyDescent="0.3">
      <c r="A726" s="17">
        <v>90739624000118</v>
      </c>
      <c r="B726" t="s">
        <v>61</v>
      </c>
      <c r="D726" t="s">
        <v>293</v>
      </c>
      <c r="E726" t="s">
        <v>2</v>
      </c>
      <c r="F726">
        <v>269308</v>
      </c>
      <c r="G726" s="1" t="s">
        <v>2843</v>
      </c>
      <c r="H726">
        <v>24844369</v>
      </c>
      <c r="I726">
        <v>820121</v>
      </c>
      <c r="J726" t="s">
        <v>62</v>
      </c>
      <c r="K726" s="17">
        <v>79964177000591</v>
      </c>
      <c r="L726" s="17">
        <v>9576274000106</v>
      </c>
      <c r="M726" s="9">
        <v>1839.06</v>
      </c>
      <c r="N726" t="s">
        <v>43</v>
      </c>
      <c r="Q726" s="2"/>
      <c r="R726" s="9"/>
      <c r="S726" t="s">
        <v>44</v>
      </c>
      <c r="T726" t="s">
        <v>45</v>
      </c>
      <c r="U726" s="2" t="s">
        <v>695</v>
      </c>
      <c r="V726" s="9" t="s">
        <v>2844</v>
      </c>
      <c r="W726">
        <v>4.1260879964176998E+43</v>
      </c>
      <c r="X726" t="s">
        <v>46</v>
      </c>
      <c r="Y726" s="2" t="s">
        <v>717</v>
      </c>
      <c r="Z726" s="2" t="s">
        <v>718</v>
      </c>
      <c r="AA726" s="9" t="s">
        <v>715</v>
      </c>
      <c r="AC726" s="2"/>
      <c r="AD726" t="s">
        <v>7</v>
      </c>
      <c r="AE726" t="s">
        <v>2845</v>
      </c>
    </row>
    <row r="727" spans="1:31" x14ac:dyDescent="0.3">
      <c r="A727" s="17">
        <v>90739624000118</v>
      </c>
      <c r="B727" t="s">
        <v>63</v>
      </c>
      <c r="D727" t="s">
        <v>373</v>
      </c>
      <c r="E727" t="s">
        <v>2</v>
      </c>
      <c r="F727">
        <v>269308</v>
      </c>
      <c r="G727" s="1" t="s">
        <v>2846</v>
      </c>
      <c r="H727">
        <v>24844367</v>
      </c>
      <c r="I727">
        <v>178932</v>
      </c>
      <c r="J727" t="s">
        <v>64</v>
      </c>
      <c r="K727" s="17">
        <v>23448964001921</v>
      </c>
      <c r="L727" s="17">
        <v>90739624001432</v>
      </c>
      <c r="M727" s="9">
        <v>596.03</v>
      </c>
      <c r="N727" t="s">
        <v>43</v>
      </c>
      <c r="Q727" s="2"/>
      <c r="R727" s="9"/>
      <c r="S727" t="s">
        <v>44</v>
      </c>
      <c r="T727" t="s">
        <v>45</v>
      </c>
      <c r="U727" s="2" t="s">
        <v>695</v>
      </c>
      <c r="V727" s="9" t="s">
        <v>2847</v>
      </c>
      <c r="W727">
        <v>4.2260823448963998E+43</v>
      </c>
      <c r="X727" t="s">
        <v>46</v>
      </c>
      <c r="Y727" s="2" t="s">
        <v>717</v>
      </c>
      <c r="Z727" s="2" t="s">
        <v>718</v>
      </c>
      <c r="AA727" s="9" t="s">
        <v>715</v>
      </c>
      <c r="AC727" s="2"/>
      <c r="AD727" t="s">
        <v>7</v>
      </c>
      <c r="AE727" t="s">
        <v>2848</v>
      </c>
    </row>
    <row r="728" spans="1:31" x14ac:dyDescent="0.3">
      <c r="A728" s="17">
        <v>90739624000118</v>
      </c>
      <c r="B728" t="s">
        <v>100</v>
      </c>
      <c r="D728" t="s">
        <v>135</v>
      </c>
      <c r="E728" t="s">
        <v>2</v>
      </c>
      <c r="F728">
        <v>269308</v>
      </c>
      <c r="G728" s="1" t="s">
        <v>2849</v>
      </c>
      <c r="H728">
        <v>24844366</v>
      </c>
      <c r="I728">
        <v>154770</v>
      </c>
      <c r="J728" t="s">
        <v>241</v>
      </c>
      <c r="K728" s="17">
        <v>14948822000103</v>
      </c>
      <c r="L728" s="17">
        <v>90739624001866</v>
      </c>
      <c r="M728" s="9">
        <v>164.81</v>
      </c>
      <c r="N728" t="s">
        <v>43</v>
      </c>
      <c r="Q728" s="2"/>
      <c r="R728" s="9"/>
      <c r="S728" t="s">
        <v>44</v>
      </c>
      <c r="T728" t="s">
        <v>45</v>
      </c>
      <c r="U728" s="2" t="s">
        <v>695</v>
      </c>
      <c r="V728" s="9" t="s">
        <v>2850</v>
      </c>
      <c r="W728">
        <v>5.1260814948822004E+43</v>
      </c>
      <c r="X728" t="s">
        <v>46</v>
      </c>
      <c r="Y728" s="2" t="s">
        <v>717</v>
      </c>
      <c r="Z728" s="2" t="s">
        <v>718</v>
      </c>
      <c r="AA728" s="9" t="s">
        <v>715</v>
      </c>
      <c r="AC728" s="2"/>
      <c r="AD728" t="s">
        <v>7</v>
      </c>
      <c r="AE728" t="s">
        <v>2851</v>
      </c>
    </row>
    <row r="729" spans="1:31" x14ac:dyDescent="0.3">
      <c r="A729" s="17">
        <v>90739624000118</v>
      </c>
      <c r="B729" t="s">
        <v>58</v>
      </c>
      <c r="D729" t="s">
        <v>388</v>
      </c>
      <c r="E729" t="s">
        <v>2</v>
      </c>
      <c r="F729">
        <v>269308</v>
      </c>
      <c r="G729" s="1" t="s">
        <v>2852</v>
      </c>
      <c r="H729">
        <v>24844207</v>
      </c>
      <c r="I729">
        <v>110822</v>
      </c>
      <c r="J729" t="s">
        <v>106</v>
      </c>
      <c r="K729" s="17">
        <v>7473735015103</v>
      </c>
      <c r="L729" s="17">
        <v>90739624002323</v>
      </c>
      <c r="M729" s="9">
        <v>285.45</v>
      </c>
      <c r="N729" t="s">
        <v>43</v>
      </c>
      <c r="Q729" s="2"/>
      <c r="R729" s="9"/>
      <c r="S729" t="s">
        <v>44</v>
      </c>
      <c r="T729" t="s">
        <v>45</v>
      </c>
      <c r="U729" s="2" t="s">
        <v>695</v>
      </c>
      <c r="V729" s="9" t="s">
        <v>682</v>
      </c>
      <c r="W729">
        <v>4.3260807473734999E+43</v>
      </c>
      <c r="X729" t="s">
        <v>46</v>
      </c>
      <c r="Y729" s="2" t="s">
        <v>717</v>
      </c>
      <c r="Z729" s="2" t="s">
        <v>718</v>
      </c>
      <c r="AA729" s="9" t="s">
        <v>715</v>
      </c>
      <c r="AC729" s="2"/>
      <c r="AD729" t="s">
        <v>7</v>
      </c>
      <c r="AE729" t="s">
        <v>2853</v>
      </c>
    </row>
    <row r="730" spans="1:31" x14ac:dyDescent="0.3">
      <c r="A730" s="17">
        <v>90739624000118</v>
      </c>
      <c r="B730" t="s">
        <v>58</v>
      </c>
      <c r="D730" t="s">
        <v>386</v>
      </c>
      <c r="E730" t="s">
        <v>2</v>
      </c>
      <c r="F730">
        <v>269308</v>
      </c>
      <c r="G730" s="1" t="s">
        <v>2854</v>
      </c>
      <c r="H730">
        <v>24843813</v>
      </c>
      <c r="I730">
        <v>56200</v>
      </c>
      <c r="J730" t="s">
        <v>532</v>
      </c>
      <c r="K730" s="17">
        <v>7473735018552</v>
      </c>
      <c r="L730" s="17">
        <v>90739624002323</v>
      </c>
      <c r="M730" s="9">
        <v>230.1</v>
      </c>
      <c r="N730" t="s">
        <v>43</v>
      </c>
      <c r="Q730" s="2"/>
      <c r="R730" s="9"/>
      <c r="S730" t="s">
        <v>44</v>
      </c>
      <c r="T730" t="s">
        <v>45</v>
      </c>
      <c r="U730" s="2" t="s">
        <v>695</v>
      </c>
      <c r="V730" s="9" t="s">
        <v>2855</v>
      </c>
      <c r="W730">
        <v>4.3260807473734999E+43</v>
      </c>
      <c r="X730" t="s">
        <v>46</v>
      </c>
      <c r="Y730" s="2" t="s">
        <v>717</v>
      </c>
      <c r="Z730" s="2" t="s">
        <v>718</v>
      </c>
      <c r="AA730" s="9" t="s">
        <v>715</v>
      </c>
      <c r="AC730" s="2"/>
      <c r="AD730" t="s">
        <v>7</v>
      </c>
      <c r="AE730" t="s">
        <v>2856</v>
      </c>
    </row>
    <row r="731" spans="1:31" x14ac:dyDescent="0.3">
      <c r="A731" s="17">
        <v>90739624000118</v>
      </c>
      <c r="B731" t="s">
        <v>0</v>
      </c>
      <c r="C731">
        <v>23385</v>
      </c>
      <c r="D731" t="s">
        <v>501</v>
      </c>
      <c r="E731" t="s">
        <v>2</v>
      </c>
      <c r="F731">
        <v>269308</v>
      </c>
      <c r="G731" s="1" t="s">
        <v>2857</v>
      </c>
      <c r="H731">
        <v>24843799</v>
      </c>
      <c r="I731">
        <v>101158</v>
      </c>
      <c r="J731" t="s">
        <v>134</v>
      </c>
      <c r="K731" s="17">
        <v>81326258000770</v>
      </c>
      <c r="L731" s="17">
        <v>90739624001432</v>
      </c>
      <c r="M731" s="9">
        <v>226.17</v>
      </c>
      <c r="N731" t="s">
        <v>43</v>
      </c>
      <c r="Q731" s="2"/>
      <c r="R731" s="9"/>
      <c r="S731" t="s">
        <v>44</v>
      </c>
      <c r="T731" t="s">
        <v>45</v>
      </c>
      <c r="U731" s="2" t="s">
        <v>695</v>
      </c>
      <c r="V731" s="9" t="s">
        <v>2858</v>
      </c>
      <c r="W731">
        <v>4.2260881326258001E+43</v>
      </c>
      <c r="X731" t="s">
        <v>46</v>
      </c>
      <c r="Y731" s="2" t="s">
        <v>717</v>
      </c>
      <c r="Z731" s="2" t="s">
        <v>718</v>
      </c>
      <c r="AA731" s="9" t="s">
        <v>715</v>
      </c>
      <c r="AC731" s="2"/>
      <c r="AD731" t="s">
        <v>7</v>
      </c>
      <c r="AE731" t="s">
        <v>2859</v>
      </c>
    </row>
    <row r="732" spans="1:31" x14ac:dyDescent="0.3">
      <c r="A732" s="17">
        <v>90739624000118</v>
      </c>
      <c r="B732" t="s">
        <v>61</v>
      </c>
      <c r="D732" t="s">
        <v>243</v>
      </c>
      <c r="E732" t="s">
        <v>2</v>
      </c>
      <c r="F732">
        <v>269308</v>
      </c>
      <c r="G732" s="1" t="s">
        <v>2860</v>
      </c>
      <c r="H732">
        <v>24843657</v>
      </c>
      <c r="I732">
        <v>2505</v>
      </c>
      <c r="J732" t="s">
        <v>85</v>
      </c>
      <c r="K732" s="17">
        <v>1975878000105</v>
      </c>
      <c r="L732" s="17">
        <v>9576274000106</v>
      </c>
      <c r="M732" s="9">
        <v>142.44</v>
      </c>
      <c r="N732" t="s">
        <v>43</v>
      </c>
      <c r="Q732" s="2"/>
      <c r="R732" s="9"/>
      <c r="S732" t="s">
        <v>44</v>
      </c>
      <c r="T732" t="s">
        <v>45</v>
      </c>
      <c r="U732" s="2" t="s">
        <v>695</v>
      </c>
      <c r="V732" s="9" t="s">
        <v>2862</v>
      </c>
      <c r="W732">
        <v>4.1260801975878E+43</v>
      </c>
      <c r="X732" t="s">
        <v>46</v>
      </c>
      <c r="Y732" s="2" t="s">
        <v>717</v>
      </c>
      <c r="Z732" s="2" t="s">
        <v>718</v>
      </c>
      <c r="AA732" s="9" t="s">
        <v>715</v>
      </c>
      <c r="AC732" s="2"/>
      <c r="AD732" t="s">
        <v>7</v>
      </c>
      <c r="AE732" t="s">
        <v>2863</v>
      </c>
    </row>
    <row r="733" spans="1:31" x14ac:dyDescent="0.3">
      <c r="A733" s="17">
        <v>90739624000118</v>
      </c>
      <c r="B733" t="s">
        <v>36</v>
      </c>
      <c r="D733" t="s">
        <v>2864</v>
      </c>
      <c r="E733" t="s">
        <v>2</v>
      </c>
      <c r="F733">
        <v>269308</v>
      </c>
      <c r="G733" s="1" t="s">
        <v>2865</v>
      </c>
      <c r="H733">
        <v>24843367</v>
      </c>
      <c r="I733">
        <v>4140</v>
      </c>
      <c r="J733" t="s">
        <v>186</v>
      </c>
      <c r="K733" s="17">
        <v>7822636000168</v>
      </c>
      <c r="L733" s="17">
        <v>90739624004458</v>
      </c>
      <c r="M733" s="9">
        <v>307.58</v>
      </c>
      <c r="N733" t="s">
        <v>43</v>
      </c>
      <c r="Q733" s="2"/>
      <c r="R733" s="9"/>
      <c r="S733" t="s">
        <v>44</v>
      </c>
      <c r="T733" t="s">
        <v>45</v>
      </c>
      <c r="U733" s="2" t="s">
        <v>695</v>
      </c>
      <c r="V733" s="9" t="s">
        <v>2867</v>
      </c>
      <c r="W733">
        <v>5.3260807822636003E+43</v>
      </c>
      <c r="X733" t="s">
        <v>46</v>
      </c>
      <c r="Y733" s="2" t="s">
        <v>717</v>
      </c>
      <c r="Z733" s="2" t="s">
        <v>718</v>
      </c>
      <c r="AA733" s="9" t="s">
        <v>715</v>
      </c>
      <c r="AC733" s="2"/>
      <c r="AD733" t="s">
        <v>7</v>
      </c>
      <c r="AE733" t="s">
        <v>2868</v>
      </c>
    </row>
    <row r="734" spans="1:31" x14ac:dyDescent="0.3">
      <c r="A734" s="17">
        <v>90739624000118</v>
      </c>
      <c r="B734" t="s">
        <v>61</v>
      </c>
      <c r="D734" t="s">
        <v>294</v>
      </c>
      <c r="E734" t="s">
        <v>2</v>
      </c>
      <c r="F734">
        <v>269308</v>
      </c>
      <c r="G734" s="1" t="s">
        <v>2869</v>
      </c>
      <c r="H734">
        <v>24843357</v>
      </c>
      <c r="I734">
        <v>820114</v>
      </c>
      <c r="J734" t="s">
        <v>62</v>
      </c>
      <c r="K734" s="17">
        <v>79964177000591</v>
      </c>
      <c r="L734" s="17">
        <v>9576274000106</v>
      </c>
      <c r="M734" s="9">
        <v>2182.2800000000002</v>
      </c>
      <c r="N734" t="s">
        <v>43</v>
      </c>
      <c r="Q734" s="2"/>
      <c r="R734" s="9"/>
      <c r="S734" t="s">
        <v>44</v>
      </c>
      <c r="T734" t="s">
        <v>45</v>
      </c>
      <c r="U734" s="2" t="s">
        <v>695</v>
      </c>
      <c r="V734" s="9" t="s">
        <v>2870</v>
      </c>
      <c r="W734">
        <v>4.1260879964176998E+43</v>
      </c>
      <c r="X734" t="s">
        <v>46</v>
      </c>
      <c r="Y734" s="2" t="s">
        <v>717</v>
      </c>
      <c r="Z734" s="2" t="s">
        <v>718</v>
      </c>
      <c r="AA734" s="9" t="s">
        <v>715</v>
      </c>
      <c r="AC734" s="2"/>
      <c r="AD734" t="s">
        <v>7</v>
      </c>
      <c r="AE734" t="s">
        <v>2871</v>
      </c>
    </row>
    <row r="735" spans="1:31" x14ac:dyDescent="0.3">
      <c r="A735" s="17">
        <v>90739624000118</v>
      </c>
      <c r="B735" t="s">
        <v>52</v>
      </c>
      <c r="C735">
        <v>21148</v>
      </c>
      <c r="D735" t="s">
        <v>53</v>
      </c>
      <c r="E735" t="s">
        <v>2</v>
      </c>
      <c r="F735">
        <v>269308</v>
      </c>
      <c r="G735" s="1" t="s">
        <v>2872</v>
      </c>
      <c r="H735">
        <v>24843346</v>
      </c>
      <c r="I735">
        <v>16795</v>
      </c>
      <c r="J735" t="s">
        <v>54</v>
      </c>
      <c r="K735" s="17">
        <v>79130647000198</v>
      </c>
      <c r="L735" s="17">
        <v>9576274000106</v>
      </c>
      <c r="M735" s="9">
        <v>232.93</v>
      </c>
      <c r="N735" t="s">
        <v>43</v>
      </c>
      <c r="Q735" s="2"/>
      <c r="R735" s="9"/>
      <c r="S735" t="s">
        <v>44</v>
      </c>
      <c r="T735" t="s">
        <v>45</v>
      </c>
      <c r="U735" s="2" t="s">
        <v>695</v>
      </c>
      <c r="V735" s="9" t="s">
        <v>2873</v>
      </c>
      <c r="W735">
        <v>4.1260879130646998E+43</v>
      </c>
      <c r="X735" t="s">
        <v>46</v>
      </c>
      <c r="Y735" s="2" t="s">
        <v>717</v>
      </c>
      <c r="Z735" s="2" t="s">
        <v>718</v>
      </c>
      <c r="AA735" s="9" t="s">
        <v>715</v>
      </c>
      <c r="AC735" s="2"/>
      <c r="AD735" t="s">
        <v>7</v>
      </c>
      <c r="AE735" t="s">
        <v>2874</v>
      </c>
    </row>
    <row r="736" spans="1:31" x14ac:dyDescent="0.3">
      <c r="A736" s="17">
        <v>90739624000118</v>
      </c>
      <c r="B736" t="s">
        <v>0</v>
      </c>
      <c r="D736" t="s">
        <v>133</v>
      </c>
      <c r="E736" t="s">
        <v>2</v>
      </c>
      <c r="F736">
        <v>269308</v>
      </c>
      <c r="G736" s="1" t="s">
        <v>2875</v>
      </c>
      <c r="H736">
        <v>24843236</v>
      </c>
      <c r="I736">
        <v>2047</v>
      </c>
      <c r="J736" t="s">
        <v>200</v>
      </c>
      <c r="K736" s="17">
        <v>4308884000520</v>
      </c>
      <c r="L736" s="17">
        <v>90739624001432</v>
      </c>
      <c r="M736" s="9">
        <v>146.18</v>
      </c>
      <c r="N736" t="s">
        <v>43</v>
      </c>
      <c r="Q736" s="2"/>
      <c r="R736" s="9"/>
      <c r="S736" t="s">
        <v>44</v>
      </c>
      <c r="T736" t="s">
        <v>45</v>
      </c>
      <c r="U736" s="2" t="s">
        <v>792</v>
      </c>
      <c r="V736" s="9" t="s">
        <v>2877</v>
      </c>
      <c r="W736">
        <v>4.2260804308884001E+43</v>
      </c>
      <c r="X736" t="s">
        <v>46</v>
      </c>
      <c r="Y736" s="2" t="s">
        <v>717</v>
      </c>
      <c r="Z736" s="2" t="s">
        <v>718</v>
      </c>
      <c r="AA736" s="9" t="s">
        <v>715</v>
      </c>
      <c r="AC736" s="2"/>
      <c r="AD736" t="s">
        <v>7</v>
      </c>
      <c r="AE736" t="s">
        <v>2878</v>
      </c>
    </row>
    <row r="737" spans="1:31" x14ac:dyDescent="0.3">
      <c r="A737" s="17">
        <v>90739624000118</v>
      </c>
      <c r="B737" t="s">
        <v>99</v>
      </c>
      <c r="C737">
        <v>25069</v>
      </c>
      <c r="D737" t="s">
        <v>253</v>
      </c>
      <c r="E737" t="s">
        <v>2</v>
      </c>
      <c r="F737">
        <v>269308</v>
      </c>
      <c r="G737" s="1" t="s">
        <v>2879</v>
      </c>
      <c r="H737">
        <v>24843235</v>
      </c>
      <c r="I737">
        <v>50507</v>
      </c>
      <c r="J737" t="s">
        <v>507</v>
      </c>
      <c r="K737" s="17">
        <v>3626094001330</v>
      </c>
      <c r="L737" s="17">
        <v>9576274000106</v>
      </c>
      <c r="M737" s="9">
        <v>217.14</v>
      </c>
      <c r="N737" t="s">
        <v>43</v>
      </c>
      <c r="Q737" s="2"/>
      <c r="R737" s="9"/>
      <c r="S737" t="s">
        <v>44</v>
      </c>
      <c r="T737" t="s">
        <v>45</v>
      </c>
      <c r="U737" s="2" t="s">
        <v>695</v>
      </c>
      <c r="V737" s="9" t="s">
        <v>2880</v>
      </c>
      <c r="W737">
        <v>4.1260803626093998E+43</v>
      </c>
      <c r="X737" t="s">
        <v>46</v>
      </c>
      <c r="Y737" s="2" t="s">
        <v>717</v>
      </c>
      <c r="Z737" s="2" t="s">
        <v>718</v>
      </c>
      <c r="AA737" s="9" t="s">
        <v>715</v>
      </c>
      <c r="AC737" s="2"/>
      <c r="AD737" t="s">
        <v>7</v>
      </c>
      <c r="AE737" t="s">
        <v>2881</v>
      </c>
    </row>
    <row r="738" spans="1:31" x14ac:dyDescent="0.3">
      <c r="A738" s="17">
        <v>90739624000118</v>
      </c>
      <c r="B738" t="s">
        <v>58</v>
      </c>
      <c r="D738" t="s">
        <v>308</v>
      </c>
      <c r="E738" t="s">
        <v>17</v>
      </c>
      <c r="F738">
        <v>269308</v>
      </c>
      <c r="G738" s="1" t="s">
        <v>2882</v>
      </c>
      <c r="H738">
        <v>24842919</v>
      </c>
      <c r="I738">
        <v>88506</v>
      </c>
      <c r="J738" t="s">
        <v>309</v>
      </c>
      <c r="K738" s="17">
        <v>7473735017661</v>
      </c>
      <c r="L738" s="17">
        <v>90739624002323</v>
      </c>
      <c r="M738" s="9">
        <v>51.22</v>
      </c>
      <c r="N738" t="s">
        <v>43</v>
      </c>
      <c r="Q738" s="2"/>
      <c r="R738" s="9"/>
      <c r="S738" t="s">
        <v>44</v>
      </c>
      <c r="T738" t="s">
        <v>45</v>
      </c>
      <c r="U738" s="2" t="s">
        <v>695</v>
      </c>
      <c r="V738" s="9" t="s">
        <v>2883</v>
      </c>
      <c r="W738">
        <v>4.3260807473734999E+43</v>
      </c>
      <c r="X738" t="s">
        <v>46</v>
      </c>
      <c r="Y738" s="2" t="s">
        <v>717</v>
      </c>
      <c r="Z738" s="2" t="s">
        <v>718</v>
      </c>
      <c r="AA738" s="9" t="s">
        <v>715</v>
      </c>
      <c r="AC738" s="2"/>
      <c r="AD738" t="s">
        <v>7</v>
      </c>
      <c r="AE738" t="s">
        <v>2884</v>
      </c>
    </row>
    <row r="739" spans="1:31" x14ac:dyDescent="0.3">
      <c r="A739" s="17">
        <v>90739624000118</v>
      </c>
      <c r="B739" t="s">
        <v>58</v>
      </c>
      <c r="D739" t="s">
        <v>308</v>
      </c>
      <c r="E739" t="s">
        <v>2</v>
      </c>
      <c r="F739">
        <v>269308</v>
      </c>
      <c r="G739" s="1" t="s">
        <v>2885</v>
      </c>
      <c r="H739">
        <v>24842908</v>
      </c>
      <c r="I739">
        <v>88505</v>
      </c>
      <c r="J739" t="s">
        <v>309</v>
      </c>
      <c r="K739" s="17">
        <v>7473735017661</v>
      </c>
      <c r="L739" s="17">
        <v>90739624002323</v>
      </c>
      <c r="M739" s="9">
        <v>581.54</v>
      </c>
      <c r="N739" t="s">
        <v>43</v>
      </c>
      <c r="Q739" s="2"/>
      <c r="R739" s="9"/>
      <c r="S739" t="s">
        <v>44</v>
      </c>
      <c r="T739" t="s">
        <v>45</v>
      </c>
      <c r="U739" s="2" t="s">
        <v>695</v>
      </c>
      <c r="V739" s="9" t="s">
        <v>2886</v>
      </c>
      <c r="W739">
        <v>4.3260807473734999E+43</v>
      </c>
      <c r="X739" t="s">
        <v>46</v>
      </c>
      <c r="Y739" s="2" t="s">
        <v>717</v>
      </c>
      <c r="Z739" s="2" t="s">
        <v>718</v>
      </c>
      <c r="AA739" s="9" t="s">
        <v>715</v>
      </c>
      <c r="AC739" s="2"/>
      <c r="AD739" t="s">
        <v>7</v>
      </c>
      <c r="AE739" t="s">
        <v>2887</v>
      </c>
    </row>
    <row r="740" spans="1:31" x14ac:dyDescent="0.3">
      <c r="A740" s="17">
        <v>90739624000118</v>
      </c>
      <c r="B740" t="s">
        <v>61</v>
      </c>
      <c r="D740" t="s">
        <v>521</v>
      </c>
      <c r="E740" t="s">
        <v>2</v>
      </c>
      <c r="F740">
        <v>269308</v>
      </c>
      <c r="G740" s="1" t="s">
        <v>2888</v>
      </c>
      <c r="H740">
        <v>24842762</v>
      </c>
      <c r="I740">
        <v>1102</v>
      </c>
      <c r="J740" t="s">
        <v>2889</v>
      </c>
      <c r="K740" s="17">
        <v>80786031000159</v>
      </c>
      <c r="L740" s="17">
        <v>9576274000106</v>
      </c>
      <c r="M740" s="9">
        <v>281.25</v>
      </c>
      <c r="N740" t="s">
        <v>43</v>
      </c>
      <c r="Q740" s="2"/>
      <c r="R740" s="9"/>
      <c r="S740" t="s">
        <v>44</v>
      </c>
      <c r="T740" t="s">
        <v>45</v>
      </c>
      <c r="U740" s="2" t="s">
        <v>583</v>
      </c>
      <c r="V740" s="9" t="s">
        <v>2890</v>
      </c>
      <c r="W740">
        <v>4.1260880786031E+43</v>
      </c>
      <c r="X740" t="s">
        <v>46</v>
      </c>
      <c r="Y740" s="2" t="s">
        <v>717</v>
      </c>
      <c r="Z740" s="2" t="s">
        <v>718</v>
      </c>
      <c r="AA740" s="9" t="s">
        <v>715</v>
      </c>
      <c r="AC740" s="2"/>
      <c r="AD740" t="s">
        <v>7</v>
      </c>
      <c r="AE740" t="s">
        <v>2891</v>
      </c>
    </row>
    <row r="741" spans="1:31" x14ac:dyDescent="0.3">
      <c r="A741" s="17">
        <v>90739624000118</v>
      </c>
      <c r="B741" t="s">
        <v>18</v>
      </c>
      <c r="D741" t="s">
        <v>19</v>
      </c>
      <c r="E741" t="s">
        <v>2</v>
      </c>
      <c r="F741">
        <v>269308</v>
      </c>
      <c r="G741" s="1" t="s">
        <v>2892</v>
      </c>
      <c r="H741">
        <v>24842757</v>
      </c>
      <c r="I741">
        <v>373256</v>
      </c>
      <c r="J741" t="s">
        <v>202</v>
      </c>
      <c r="K741" s="17">
        <v>5065447000162</v>
      </c>
      <c r="L741" s="17">
        <v>90739624000380</v>
      </c>
      <c r="M741" s="9">
        <v>212.87</v>
      </c>
      <c r="N741" t="s">
        <v>43</v>
      </c>
      <c r="Q741" s="2"/>
      <c r="R741" s="9"/>
      <c r="S741" t="s">
        <v>44</v>
      </c>
      <c r="T741" t="s">
        <v>45</v>
      </c>
      <c r="U741" s="2" t="s">
        <v>695</v>
      </c>
      <c r="V741" s="9" t="s">
        <v>2893</v>
      </c>
      <c r="W741">
        <v>3.5260805065447002E+43</v>
      </c>
      <c r="X741" t="s">
        <v>46</v>
      </c>
      <c r="Y741" s="2" t="s">
        <v>717</v>
      </c>
      <c r="Z741" s="2" t="s">
        <v>718</v>
      </c>
      <c r="AA741" s="9" t="s">
        <v>715</v>
      </c>
      <c r="AC741" s="2"/>
      <c r="AD741" t="s">
        <v>7</v>
      </c>
      <c r="AE741" t="s">
        <v>2894</v>
      </c>
    </row>
    <row r="742" spans="1:31" x14ac:dyDescent="0.3">
      <c r="A742" s="17">
        <v>90739624000118</v>
      </c>
      <c r="B742" t="s">
        <v>58</v>
      </c>
      <c r="D742" t="s">
        <v>390</v>
      </c>
      <c r="E742" t="s">
        <v>2</v>
      </c>
      <c r="F742">
        <v>269308</v>
      </c>
      <c r="G742" s="1" t="s">
        <v>2895</v>
      </c>
      <c r="H742">
        <v>24842197</v>
      </c>
      <c r="I742">
        <v>110815</v>
      </c>
      <c r="J742" t="s">
        <v>106</v>
      </c>
      <c r="K742" s="17">
        <v>7473735015103</v>
      </c>
      <c r="L742" s="17">
        <v>90739624002323</v>
      </c>
      <c r="M742" s="9">
        <v>245.36</v>
      </c>
      <c r="N742" t="s">
        <v>43</v>
      </c>
      <c r="Q742" s="2"/>
      <c r="R742" s="9"/>
      <c r="S742" t="s">
        <v>44</v>
      </c>
      <c r="T742" t="s">
        <v>45</v>
      </c>
      <c r="U742" s="2" t="s">
        <v>695</v>
      </c>
      <c r="V742" s="9" t="s">
        <v>669</v>
      </c>
      <c r="W742">
        <v>4.3260807473734999E+43</v>
      </c>
      <c r="X742" t="s">
        <v>46</v>
      </c>
      <c r="Y742" s="2" t="s">
        <v>717</v>
      </c>
      <c r="Z742" s="2" t="s">
        <v>718</v>
      </c>
      <c r="AA742" s="9" t="s">
        <v>715</v>
      </c>
      <c r="AC742" s="2"/>
      <c r="AD742" t="s">
        <v>7</v>
      </c>
      <c r="AE742" t="s">
        <v>2896</v>
      </c>
    </row>
    <row r="743" spans="1:31" x14ac:dyDescent="0.3">
      <c r="A743" s="17">
        <v>90739624000118</v>
      </c>
      <c r="B743" t="s">
        <v>11</v>
      </c>
      <c r="C743">
        <v>26124</v>
      </c>
      <c r="D743" t="s">
        <v>453</v>
      </c>
      <c r="E743" t="s">
        <v>2</v>
      </c>
      <c r="F743">
        <v>269308</v>
      </c>
      <c r="G743" s="1" t="s">
        <v>2897</v>
      </c>
      <c r="H743">
        <v>24837650</v>
      </c>
      <c r="I743">
        <v>311250</v>
      </c>
      <c r="J743" t="s">
        <v>204</v>
      </c>
      <c r="K743" s="17">
        <v>24187119000183</v>
      </c>
      <c r="L743" s="17">
        <v>90739624000118</v>
      </c>
      <c r="M743" s="9">
        <v>290.83</v>
      </c>
      <c r="N743" t="s">
        <v>43</v>
      </c>
      <c r="Q743" s="2"/>
      <c r="R743" s="9"/>
      <c r="S743" t="s">
        <v>44</v>
      </c>
      <c r="T743" t="s">
        <v>45</v>
      </c>
      <c r="U743" s="2" t="s">
        <v>695</v>
      </c>
      <c r="V743" s="9" t="s">
        <v>2898</v>
      </c>
      <c r="W743">
        <v>3.1260824187118999E+43</v>
      </c>
      <c r="X743" t="s">
        <v>46</v>
      </c>
      <c r="Y743" s="2" t="s">
        <v>717</v>
      </c>
      <c r="Z743" s="2" t="s">
        <v>718</v>
      </c>
      <c r="AA743" s="9" t="s">
        <v>715</v>
      </c>
      <c r="AC743" s="2"/>
      <c r="AD743" t="s">
        <v>7</v>
      </c>
      <c r="AE743" t="s">
        <v>2899</v>
      </c>
    </row>
    <row r="744" spans="1:31" x14ac:dyDescent="0.3">
      <c r="A744" s="17">
        <v>90739624000118</v>
      </c>
      <c r="B744" t="s">
        <v>13</v>
      </c>
      <c r="C744">
        <v>24495</v>
      </c>
      <c r="D744" t="s">
        <v>14</v>
      </c>
      <c r="E744" t="s">
        <v>2</v>
      </c>
      <c r="F744">
        <v>269308</v>
      </c>
      <c r="G744" s="1" t="s">
        <v>2900</v>
      </c>
      <c r="H744">
        <v>24837166</v>
      </c>
      <c r="I744">
        <v>48815</v>
      </c>
      <c r="J744" t="s">
        <v>348</v>
      </c>
      <c r="K744" s="17">
        <v>26416003000102</v>
      </c>
      <c r="L744" s="17">
        <v>90739624001190</v>
      </c>
      <c r="M744" s="9">
        <v>324.06</v>
      </c>
      <c r="N744" t="s">
        <v>43</v>
      </c>
      <c r="Q744" s="2"/>
      <c r="R744" s="9"/>
      <c r="S744" t="s">
        <v>44</v>
      </c>
      <c r="T744" t="s">
        <v>45</v>
      </c>
      <c r="U744" s="2" t="s">
        <v>792</v>
      </c>
      <c r="V744" s="9" t="s">
        <v>2901</v>
      </c>
      <c r="W744">
        <v>5.0260826416002996E+43</v>
      </c>
      <c r="X744" t="s">
        <v>46</v>
      </c>
      <c r="Y744" s="2" t="s">
        <v>717</v>
      </c>
      <c r="Z744" s="2" t="s">
        <v>718</v>
      </c>
      <c r="AA744" s="9" t="s">
        <v>715</v>
      </c>
      <c r="AC744" s="2"/>
      <c r="AD744" t="s">
        <v>7</v>
      </c>
      <c r="AE744" t="s">
        <v>2902</v>
      </c>
    </row>
    <row r="745" spans="1:31" x14ac:dyDescent="0.3">
      <c r="A745" s="17">
        <v>90739624000118</v>
      </c>
      <c r="B745" t="s">
        <v>25</v>
      </c>
      <c r="C745">
        <v>24556</v>
      </c>
      <c r="D745" t="s">
        <v>468</v>
      </c>
      <c r="E745" t="s">
        <v>2</v>
      </c>
      <c r="F745">
        <v>269308</v>
      </c>
      <c r="G745" s="1" t="s">
        <v>2903</v>
      </c>
      <c r="H745">
        <v>24837062</v>
      </c>
      <c r="I745">
        <v>144496</v>
      </c>
      <c r="J745" t="s">
        <v>206</v>
      </c>
      <c r="K745" s="17">
        <v>50128357000128</v>
      </c>
      <c r="L745" s="17">
        <v>90739624003486</v>
      </c>
      <c r="M745" s="9">
        <v>388.18</v>
      </c>
      <c r="N745" t="s">
        <v>43</v>
      </c>
      <c r="Q745" s="2"/>
      <c r="R745" s="9"/>
      <c r="S745" t="s">
        <v>44</v>
      </c>
      <c r="T745" t="s">
        <v>45</v>
      </c>
      <c r="U745" s="2" t="s">
        <v>695</v>
      </c>
      <c r="V745" s="9" t="s">
        <v>2904</v>
      </c>
      <c r="W745">
        <v>5.1260850128356998E+43</v>
      </c>
      <c r="X745" t="s">
        <v>46</v>
      </c>
      <c r="Y745" s="2" t="s">
        <v>717</v>
      </c>
      <c r="Z745" s="2" t="s">
        <v>718</v>
      </c>
      <c r="AA745" s="9" t="s">
        <v>715</v>
      </c>
      <c r="AC745" s="2"/>
      <c r="AD745" t="s">
        <v>7</v>
      </c>
      <c r="AE745" t="s">
        <v>2905</v>
      </c>
    </row>
    <row r="746" spans="1:31" x14ac:dyDescent="0.3">
      <c r="A746" s="17">
        <v>90739624000118</v>
      </c>
      <c r="B746" t="s">
        <v>126</v>
      </c>
      <c r="D746" t="s">
        <v>533</v>
      </c>
      <c r="E746" t="s">
        <v>2</v>
      </c>
      <c r="F746">
        <v>269308</v>
      </c>
      <c r="G746" s="1" t="s">
        <v>2906</v>
      </c>
      <c r="H746">
        <v>24836235</v>
      </c>
      <c r="I746">
        <v>561577</v>
      </c>
      <c r="J746" t="s">
        <v>488</v>
      </c>
      <c r="K746" s="17">
        <v>54052204000103</v>
      </c>
      <c r="L746" s="17">
        <v>90739624000380</v>
      </c>
      <c r="M746" s="9">
        <v>1224.6099999999999</v>
      </c>
      <c r="N746" t="s">
        <v>43</v>
      </c>
      <c r="Q746" s="2"/>
      <c r="R746" s="9"/>
      <c r="S746" t="s">
        <v>44</v>
      </c>
      <c r="T746" t="s">
        <v>45</v>
      </c>
      <c r="U746" s="2" t="s">
        <v>695</v>
      </c>
      <c r="V746" s="9" t="s">
        <v>2907</v>
      </c>
      <c r="W746">
        <v>3.5260854052203999E+43</v>
      </c>
      <c r="X746" t="s">
        <v>46</v>
      </c>
      <c r="Y746" s="2" t="s">
        <v>717</v>
      </c>
      <c r="Z746" s="2" t="s">
        <v>718</v>
      </c>
      <c r="AA746" s="9" t="s">
        <v>715</v>
      </c>
      <c r="AC746" s="2"/>
      <c r="AD746" t="s">
        <v>7</v>
      </c>
      <c r="AE746" t="s">
        <v>2908</v>
      </c>
    </row>
    <row r="747" spans="1:31" x14ac:dyDescent="0.3">
      <c r="A747" s="17">
        <v>90739624000118</v>
      </c>
      <c r="B747" t="s">
        <v>18</v>
      </c>
      <c r="C747">
        <v>26123</v>
      </c>
      <c r="D747" t="s">
        <v>39</v>
      </c>
      <c r="E747" t="s">
        <v>2</v>
      </c>
      <c r="F747">
        <v>269308</v>
      </c>
      <c r="G747" s="1" t="s">
        <v>2909</v>
      </c>
      <c r="H747">
        <v>24836167</v>
      </c>
      <c r="I747">
        <v>970</v>
      </c>
      <c r="J747" t="s">
        <v>20</v>
      </c>
      <c r="K747" s="17">
        <v>27751075017640</v>
      </c>
      <c r="L747" s="17">
        <v>90739624000380</v>
      </c>
      <c r="M747" s="9">
        <v>224.12</v>
      </c>
      <c r="N747" t="s">
        <v>43</v>
      </c>
      <c r="Q747" s="2"/>
      <c r="R747" s="9"/>
      <c r="S747" t="s">
        <v>44</v>
      </c>
      <c r="T747" t="s">
        <v>45</v>
      </c>
      <c r="U747" s="2" t="s">
        <v>695</v>
      </c>
      <c r="V747" s="9" t="s">
        <v>1321</v>
      </c>
      <c r="W747">
        <v>3.5260827751075001E+43</v>
      </c>
      <c r="X747" t="s">
        <v>46</v>
      </c>
      <c r="Y747" s="2" t="s">
        <v>717</v>
      </c>
      <c r="Z747" s="2" t="s">
        <v>718</v>
      </c>
      <c r="AA747" s="9" t="s">
        <v>715</v>
      </c>
      <c r="AC747" s="2"/>
      <c r="AD747" t="s">
        <v>7</v>
      </c>
      <c r="AE747" t="s">
        <v>2910</v>
      </c>
    </row>
    <row r="748" spans="1:31" x14ac:dyDescent="0.3">
      <c r="A748" s="17">
        <v>90739624000118</v>
      </c>
      <c r="B748" t="s">
        <v>58</v>
      </c>
      <c r="D748" t="s">
        <v>1419</v>
      </c>
      <c r="E748" t="s">
        <v>17</v>
      </c>
      <c r="F748">
        <v>269308</v>
      </c>
      <c r="G748" s="1" t="s">
        <v>2911</v>
      </c>
      <c r="H748">
        <v>24831121</v>
      </c>
      <c r="I748">
        <v>88488</v>
      </c>
      <c r="J748" t="s">
        <v>309</v>
      </c>
      <c r="K748" s="17">
        <v>7473735017661</v>
      </c>
      <c r="L748" s="17">
        <v>90739624002323</v>
      </c>
      <c r="M748" s="9">
        <v>48.61</v>
      </c>
      <c r="N748" t="s">
        <v>43</v>
      </c>
      <c r="Q748" s="2"/>
      <c r="R748" s="9"/>
      <c r="S748" t="s">
        <v>44</v>
      </c>
      <c r="T748" t="s">
        <v>45</v>
      </c>
      <c r="U748" s="2" t="s">
        <v>695</v>
      </c>
      <c r="V748" s="9" t="s">
        <v>2912</v>
      </c>
      <c r="W748">
        <v>4.3260807473734999E+43</v>
      </c>
      <c r="X748" t="s">
        <v>46</v>
      </c>
      <c r="Y748" s="2" t="s">
        <v>717</v>
      </c>
      <c r="Z748" s="2" t="s">
        <v>718</v>
      </c>
      <c r="AA748" s="9" t="s">
        <v>715</v>
      </c>
      <c r="AC748" s="2"/>
      <c r="AD748" t="s">
        <v>7</v>
      </c>
      <c r="AE748" t="s">
        <v>2913</v>
      </c>
    </row>
    <row r="749" spans="1:31" x14ac:dyDescent="0.3">
      <c r="A749" s="17">
        <v>90739624000118</v>
      </c>
      <c r="B749" t="s">
        <v>58</v>
      </c>
      <c r="D749" t="s">
        <v>1419</v>
      </c>
      <c r="E749" t="s">
        <v>2</v>
      </c>
      <c r="F749">
        <v>269308</v>
      </c>
      <c r="G749" s="1" t="s">
        <v>2914</v>
      </c>
      <c r="H749">
        <v>24830929</v>
      </c>
      <c r="I749">
        <v>88487</v>
      </c>
      <c r="J749" t="s">
        <v>309</v>
      </c>
      <c r="K749" s="17">
        <v>7473735017661</v>
      </c>
      <c r="L749" s="17">
        <v>90739624002323</v>
      </c>
      <c r="M749" s="9">
        <v>533.46</v>
      </c>
      <c r="N749" t="s">
        <v>43</v>
      </c>
      <c r="Q749" s="2"/>
      <c r="R749" s="9"/>
      <c r="S749" t="s">
        <v>44</v>
      </c>
      <c r="T749" t="s">
        <v>45</v>
      </c>
      <c r="U749" s="2" t="s">
        <v>695</v>
      </c>
      <c r="V749" s="9" t="s">
        <v>2915</v>
      </c>
      <c r="W749">
        <v>4.3260807473734999E+43</v>
      </c>
      <c r="X749" t="s">
        <v>46</v>
      </c>
      <c r="Y749" s="2" t="s">
        <v>717</v>
      </c>
      <c r="Z749" s="2" t="s">
        <v>718</v>
      </c>
      <c r="AA749" s="9" t="s">
        <v>715</v>
      </c>
      <c r="AC749" s="2"/>
      <c r="AD749" t="s">
        <v>7</v>
      </c>
      <c r="AE749" t="s">
        <v>2916</v>
      </c>
    </row>
    <row r="750" spans="1:31" x14ac:dyDescent="0.3">
      <c r="A750" s="17">
        <v>90739624000118</v>
      </c>
      <c r="B750" t="s">
        <v>28</v>
      </c>
      <c r="D750" t="s">
        <v>208</v>
      </c>
      <c r="E750" t="s">
        <v>2</v>
      </c>
      <c r="F750">
        <v>269308</v>
      </c>
      <c r="G750" s="1" t="s">
        <v>2917</v>
      </c>
      <c r="H750">
        <v>24830481</v>
      </c>
      <c r="I750">
        <v>38304</v>
      </c>
      <c r="J750" t="s">
        <v>209</v>
      </c>
      <c r="K750" s="17">
        <v>33360405000190</v>
      </c>
      <c r="L750" s="17">
        <v>90739624001947</v>
      </c>
      <c r="M750" s="9">
        <v>280.98</v>
      </c>
      <c r="N750" t="s">
        <v>43</v>
      </c>
      <c r="Q750" s="2"/>
      <c r="R750" s="9"/>
      <c r="S750" t="s">
        <v>44</v>
      </c>
      <c r="T750" t="s">
        <v>45</v>
      </c>
      <c r="U750" s="2" t="s">
        <v>585</v>
      </c>
      <c r="V750" s="9" t="s">
        <v>2918</v>
      </c>
      <c r="W750">
        <v>5.2260833360404998E+43</v>
      </c>
      <c r="X750" t="s">
        <v>46</v>
      </c>
      <c r="Y750" s="2" t="s">
        <v>717</v>
      </c>
      <c r="Z750" s="2" t="s">
        <v>718</v>
      </c>
      <c r="AA750" s="9" t="s">
        <v>715</v>
      </c>
      <c r="AC750" s="2"/>
      <c r="AD750" t="s">
        <v>7</v>
      </c>
      <c r="AE750" t="s">
        <v>2919</v>
      </c>
    </row>
    <row r="751" spans="1:31" x14ac:dyDescent="0.3">
      <c r="A751" s="17">
        <v>90739624000118</v>
      </c>
      <c r="B751" t="s">
        <v>61</v>
      </c>
      <c r="D751" t="s">
        <v>459</v>
      </c>
      <c r="E751" t="s">
        <v>2</v>
      </c>
      <c r="F751">
        <v>269308</v>
      </c>
      <c r="G751" s="1" t="s">
        <v>2920</v>
      </c>
      <c r="H751">
        <v>24829757</v>
      </c>
      <c r="I751">
        <v>820087</v>
      </c>
      <c r="J751" t="s">
        <v>62</v>
      </c>
      <c r="K751" s="17">
        <v>79964177000591</v>
      </c>
      <c r="L751" s="17">
        <v>9576274000106</v>
      </c>
      <c r="M751" s="9">
        <v>307.97000000000003</v>
      </c>
      <c r="N751" t="s">
        <v>43</v>
      </c>
      <c r="Q751" s="2"/>
      <c r="R751" s="9"/>
      <c r="S751" t="s">
        <v>44</v>
      </c>
      <c r="T751" t="s">
        <v>45</v>
      </c>
      <c r="U751" s="2" t="s">
        <v>585</v>
      </c>
      <c r="V751" s="9" t="s">
        <v>2921</v>
      </c>
      <c r="W751">
        <v>4.1260879964176998E+43</v>
      </c>
      <c r="X751" t="s">
        <v>46</v>
      </c>
      <c r="Y751" s="2" t="s">
        <v>717</v>
      </c>
      <c r="Z751" s="2" t="s">
        <v>718</v>
      </c>
      <c r="AA751" s="9" t="s">
        <v>715</v>
      </c>
      <c r="AC751" s="2"/>
      <c r="AD751" t="s">
        <v>7</v>
      </c>
      <c r="AE751" t="s">
        <v>2922</v>
      </c>
    </row>
    <row r="752" spans="1:31" x14ac:dyDescent="0.3">
      <c r="A752" s="17">
        <v>90739624000118</v>
      </c>
      <c r="B752" t="s">
        <v>18</v>
      </c>
      <c r="D752" t="s">
        <v>19</v>
      </c>
      <c r="E752" t="s">
        <v>2</v>
      </c>
      <c r="F752">
        <v>269308</v>
      </c>
      <c r="G752" s="1" t="s">
        <v>2923</v>
      </c>
      <c r="H752">
        <v>24829748</v>
      </c>
      <c r="I752">
        <v>968</v>
      </c>
      <c r="J752" t="s">
        <v>20</v>
      </c>
      <c r="K752" s="17">
        <v>27751075017640</v>
      </c>
      <c r="L752" s="17">
        <v>90739624000380</v>
      </c>
      <c r="M752" s="9">
        <v>369.34</v>
      </c>
      <c r="N752" t="s">
        <v>43</v>
      </c>
      <c r="Q752" s="2"/>
      <c r="R752" s="9"/>
      <c r="S752" t="s">
        <v>44</v>
      </c>
      <c r="T752" t="s">
        <v>45</v>
      </c>
      <c r="U752" s="2" t="s">
        <v>585</v>
      </c>
      <c r="V752" s="9" t="s">
        <v>2924</v>
      </c>
      <c r="W752">
        <v>3.5260827751075001E+43</v>
      </c>
      <c r="X752" t="s">
        <v>46</v>
      </c>
      <c r="Y752" s="2" t="s">
        <v>717</v>
      </c>
      <c r="Z752" s="2" t="s">
        <v>718</v>
      </c>
      <c r="AA752" s="9" t="s">
        <v>715</v>
      </c>
      <c r="AC752" s="2"/>
      <c r="AD752" t="s">
        <v>7</v>
      </c>
      <c r="AE752" t="s">
        <v>2925</v>
      </c>
    </row>
    <row r="753" spans="1:31" x14ac:dyDescent="0.3">
      <c r="A753" s="17">
        <v>90739624000118</v>
      </c>
      <c r="B753" t="s">
        <v>174</v>
      </c>
      <c r="D753" t="s">
        <v>543</v>
      </c>
      <c r="E753" t="s">
        <v>2</v>
      </c>
      <c r="F753">
        <v>269308</v>
      </c>
      <c r="G753" s="1" t="s">
        <v>2926</v>
      </c>
      <c r="H753">
        <v>24829614</v>
      </c>
      <c r="I753">
        <v>38303</v>
      </c>
      <c r="J753" t="s">
        <v>209</v>
      </c>
      <c r="K753" s="17">
        <v>33360405000190</v>
      </c>
      <c r="L753" s="17">
        <v>90739624001947</v>
      </c>
      <c r="M753" s="9">
        <v>247.53</v>
      </c>
      <c r="N753" t="s">
        <v>43</v>
      </c>
      <c r="Q753" s="2"/>
      <c r="R753" s="9"/>
      <c r="S753" t="s">
        <v>44</v>
      </c>
      <c r="T753" t="s">
        <v>45</v>
      </c>
      <c r="U753" s="2" t="s">
        <v>585</v>
      </c>
      <c r="V753" s="9" t="s">
        <v>1430</v>
      </c>
      <c r="W753">
        <v>5.2260833360404998E+43</v>
      </c>
      <c r="X753" t="s">
        <v>46</v>
      </c>
      <c r="Y753" s="2" t="s">
        <v>717</v>
      </c>
      <c r="Z753" s="2" t="s">
        <v>718</v>
      </c>
      <c r="AA753" s="9" t="s">
        <v>715</v>
      </c>
      <c r="AC753" s="2"/>
      <c r="AD753" t="s">
        <v>7</v>
      </c>
      <c r="AE753" t="s">
        <v>2927</v>
      </c>
    </row>
    <row r="754" spans="1:31" x14ac:dyDescent="0.3">
      <c r="A754" s="17">
        <v>90739624000118</v>
      </c>
      <c r="B754" t="s">
        <v>8</v>
      </c>
      <c r="D754" t="s">
        <v>297</v>
      </c>
      <c r="E754" t="s">
        <v>2</v>
      </c>
      <c r="F754">
        <v>269308</v>
      </c>
      <c r="G754" s="1" t="s">
        <v>2928</v>
      </c>
      <c r="H754">
        <v>24829465</v>
      </c>
      <c r="I754">
        <v>162888</v>
      </c>
      <c r="J754" t="s">
        <v>51</v>
      </c>
      <c r="K754" s="17">
        <v>2763612000161</v>
      </c>
      <c r="L754" s="17">
        <v>90739624003133</v>
      </c>
      <c r="M754" s="9">
        <v>765.27</v>
      </c>
      <c r="N754" t="s">
        <v>43</v>
      </c>
      <c r="Q754" s="2"/>
      <c r="R754" s="9"/>
      <c r="S754" t="s">
        <v>44</v>
      </c>
      <c r="T754" t="s">
        <v>45</v>
      </c>
      <c r="U754" s="2" t="s">
        <v>585</v>
      </c>
      <c r="V754" s="9" t="s">
        <v>2929</v>
      </c>
      <c r="W754">
        <v>4.1260802763612002E+43</v>
      </c>
      <c r="X754" t="s">
        <v>46</v>
      </c>
      <c r="Y754" s="2" t="s">
        <v>717</v>
      </c>
      <c r="Z754" s="2" t="s">
        <v>718</v>
      </c>
      <c r="AA754" s="9" t="s">
        <v>715</v>
      </c>
      <c r="AC754" s="2"/>
      <c r="AD754" t="s">
        <v>7</v>
      </c>
      <c r="AE754" t="s">
        <v>2930</v>
      </c>
    </row>
    <row r="755" spans="1:31" x14ac:dyDescent="0.3">
      <c r="A755" s="17">
        <v>90739624000118</v>
      </c>
      <c r="B755" t="s">
        <v>11</v>
      </c>
      <c r="D755" t="s">
        <v>203</v>
      </c>
      <c r="E755" t="s">
        <v>2</v>
      </c>
      <c r="F755">
        <v>269308</v>
      </c>
      <c r="G755" s="1" t="s">
        <v>2931</v>
      </c>
      <c r="H755">
        <v>24829315</v>
      </c>
      <c r="I755">
        <v>5294</v>
      </c>
      <c r="J755" t="s">
        <v>310</v>
      </c>
      <c r="K755" s="17">
        <v>42733072000198</v>
      </c>
      <c r="L755" s="17">
        <v>90739624000380</v>
      </c>
      <c r="M755" s="9">
        <v>276.51</v>
      </c>
      <c r="N755" t="s">
        <v>43</v>
      </c>
      <c r="Q755" s="2"/>
      <c r="R755" s="9"/>
      <c r="S755" t="s">
        <v>44</v>
      </c>
      <c r="T755" t="s">
        <v>45</v>
      </c>
      <c r="U755" s="2" t="s">
        <v>695</v>
      </c>
      <c r="V755" s="9" t="s">
        <v>2932</v>
      </c>
      <c r="W755">
        <v>3.5260842733072E+43</v>
      </c>
      <c r="X755" t="s">
        <v>46</v>
      </c>
      <c r="Y755" s="2" t="s">
        <v>717</v>
      </c>
      <c r="Z755" s="2" t="s">
        <v>718</v>
      </c>
      <c r="AA755" s="9" t="s">
        <v>715</v>
      </c>
      <c r="AC755" s="2"/>
      <c r="AD755" t="s">
        <v>7</v>
      </c>
      <c r="AE755" t="s">
        <v>2933</v>
      </c>
    </row>
    <row r="756" spans="1:31" x14ac:dyDescent="0.3">
      <c r="A756" s="17">
        <v>90739624000118</v>
      </c>
      <c r="B756" t="s">
        <v>11</v>
      </c>
      <c r="C756">
        <v>26124</v>
      </c>
      <c r="D756" t="s">
        <v>453</v>
      </c>
      <c r="E756" t="s">
        <v>2</v>
      </c>
      <c r="F756">
        <v>269308</v>
      </c>
      <c r="G756" s="1" t="s">
        <v>2934</v>
      </c>
      <c r="H756">
        <v>24829131</v>
      </c>
      <c r="I756">
        <v>1050204</v>
      </c>
      <c r="J756" t="s">
        <v>210</v>
      </c>
      <c r="K756" s="17">
        <v>55973291000196</v>
      </c>
      <c r="L756" s="17">
        <v>90739624000380</v>
      </c>
      <c r="M756" s="9">
        <v>272.38</v>
      </c>
      <c r="N756" t="s">
        <v>43</v>
      </c>
      <c r="Q756" s="2"/>
      <c r="R756" s="9"/>
      <c r="S756" t="s">
        <v>44</v>
      </c>
      <c r="T756" t="s">
        <v>45</v>
      </c>
      <c r="U756" s="2" t="s">
        <v>585</v>
      </c>
      <c r="V756" s="9" t="s">
        <v>2935</v>
      </c>
      <c r="W756">
        <v>3.5260855973290999E+43</v>
      </c>
      <c r="X756" t="s">
        <v>46</v>
      </c>
      <c r="Y756" s="2" t="s">
        <v>717</v>
      </c>
      <c r="Z756" s="2" t="s">
        <v>718</v>
      </c>
      <c r="AA756" s="9" t="s">
        <v>715</v>
      </c>
      <c r="AC756" s="2"/>
      <c r="AD756" t="s">
        <v>7</v>
      </c>
      <c r="AE756" t="s">
        <v>2936</v>
      </c>
    </row>
    <row r="757" spans="1:31" x14ac:dyDescent="0.3">
      <c r="A757" s="17">
        <v>90739624000118</v>
      </c>
      <c r="B757" t="s">
        <v>63</v>
      </c>
      <c r="D757" t="s">
        <v>104</v>
      </c>
      <c r="E757" t="s">
        <v>2</v>
      </c>
      <c r="F757">
        <v>269308</v>
      </c>
      <c r="G757" s="1" t="s">
        <v>2937</v>
      </c>
      <c r="H757">
        <v>24828768</v>
      </c>
      <c r="I757">
        <v>4421</v>
      </c>
      <c r="J757" t="s">
        <v>482</v>
      </c>
      <c r="K757" s="17">
        <v>93489243007471</v>
      </c>
      <c r="L757" s="17">
        <v>90739624002323</v>
      </c>
      <c r="M757" s="9">
        <v>1349.62</v>
      </c>
      <c r="N757" t="s">
        <v>43</v>
      </c>
      <c r="Q757" s="2"/>
      <c r="R757" s="9"/>
      <c r="S757" t="s">
        <v>44</v>
      </c>
      <c r="T757" t="s">
        <v>45</v>
      </c>
      <c r="U757" s="2" t="s">
        <v>585</v>
      </c>
      <c r="V757" s="9" t="s">
        <v>2938</v>
      </c>
      <c r="W757">
        <v>4.3260893489242999E+43</v>
      </c>
      <c r="X757" t="s">
        <v>46</v>
      </c>
      <c r="Y757" s="2" t="s">
        <v>717</v>
      </c>
      <c r="Z757" s="2" t="s">
        <v>718</v>
      </c>
      <c r="AA757" s="9" t="s">
        <v>715</v>
      </c>
      <c r="AC757" s="2"/>
      <c r="AD757" t="s">
        <v>7</v>
      </c>
      <c r="AE757" t="s">
        <v>2939</v>
      </c>
    </row>
    <row r="758" spans="1:31" x14ac:dyDescent="0.3">
      <c r="A758" s="17">
        <v>90739624000118</v>
      </c>
      <c r="B758" t="s">
        <v>0</v>
      </c>
      <c r="C758">
        <v>21134</v>
      </c>
      <c r="D758" t="s">
        <v>342</v>
      </c>
      <c r="E758" t="s">
        <v>2</v>
      </c>
      <c r="F758">
        <v>269308</v>
      </c>
      <c r="G758" s="1" t="s">
        <v>2940</v>
      </c>
      <c r="H758">
        <v>24828760</v>
      </c>
      <c r="I758">
        <v>820073</v>
      </c>
      <c r="J758" t="s">
        <v>62</v>
      </c>
      <c r="K758" s="17">
        <v>79964177000591</v>
      </c>
      <c r="L758" s="17">
        <v>9576274000106</v>
      </c>
      <c r="M758" s="9">
        <v>664.43</v>
      </c>
      <c r="N758" t="s">
        <v>43</v>
      </c>
      <c r="Q758" s="2"/>
      <c r="R758" s="9"/>
      <c r="S758" t="s">
        <v>44</v>
      </c>
      <c r="T758" t="s">
        <v>45</v>
      </c>
      <c r="U758" s="2" t="s">
        <v>585</v>
      </c>
      <c r="V758" s="9" t="s">
        <v>2941</v>
      </c>
      <c r="W758">
        <v>4.1260879964176998E+43</v>
      </c>
      <c r="X758" t="s">
        <v>46</v>
      </c>
      <c r="Y758" s="2" t="s">
        <v>717</v>
      </c>
      <c r="Z758" s="2" t="s">
        <v>718</v>
      </c>
      <c r="AA758" s="9" t="s">
        <v>715</v>
      </c>
      <c r="AC758" s="2"/>
      <c r="AD758" t="s">
        <v>7</v>
      </c>
      <c r="AE758" t="s">
        <v>2942</v>
      </c>
    </row>
    <row r="759" spans="1:31" x14ac:dyDescent="0.3">
      <c r="A759" s="17">
        <v>90739624000118</v>
      </c>
      <c r="B759" t="s">
        <v>18</v>
      </c>
      <c r="C759">
        <v>26123</v>
      </c>
      <c r="D759" t="s">
        <v>39</v>
      </c>
      <c r="E759" t="s">
        <v>2</v>
      </c>
      <c r="F759">
        <v>269308</v>
      </c>
      <c r="G759" s="1" t="s">
        <v>2943</v>
      </c>
      <c r="H759">
        <v>24828311</v>
      </c>
      <c r="I759">
        <v>373214</v>
      </c>
      <c r="J759" t="s">
        <v>202</v>
      </c>
      <c r="K759" s="17">
        <v>5065447000162</v>
      </c>
      <c r="L759" s="17">
        <v>90739624000380</v>
      </c>
      <c r="M759" s="9">
        <v>199.56</v>
      </c>
      <c r="N759" t="s">
        <v>43</v>
      </c>
      <c r="Q759" s="2"/>
      <c r="R759" s="9"/>
      <c r="S759" t="s">
        <v>44</v>
      </c>
      <c r="T759" t="s">
        <v>45</v>
      </c>
      <c r="U759" s="2" t="s">
        <v>585</v>
      </c>
      <c r="V759" s="9" t="s">
        <v>2944</v>
      </c>
      <c r="W759">
        <v>3.5260805065447002E+43</v>
      </c>
      <c r="X759" t="s">
        <v>46</v>
      </c>
      <c r="Y759" s="2" t="s">
        <v>717</v>
      </c>
      <c r="Z759" s="2" t="s">
        <v>718</v>
      </c>
      <c r="AA759" s="9" t="s">
        <v>715</v>
      </c>
      <c r="AC759" s="2"/>
      <c r="AD759" t="s">
        <v>7</v>
      </c>
      <c r="AE759" t="s">
        <v>2945</v>
      </c>
    </row>
    <row r="760" spans="1:31" x14ac:dyDescent="0.3">
      <c r="A760" s="17">
        <v>90739624000118</v>
      </c>
      <c r="B760" t="s">
        <v>61</v>
      </c>
      <c r="D760" t="s">
        <v>211</v>
      </c>
      <c r="E760" t="s">
        <v>2</v>
      </c>
      <c r="F760">
        <v>269308</v>
      </c>
      <c r="G760" s="1" t="s">
        <v>2946</v>
      </c>
      <c r="H760">
        <v>24827822</v>
      </c>
      <c r="I760">
        <v>820068</v>
      </c>
      <c r="J760" t="s">
        <v>62</v>
      </c>
      <c r="K760" s="17">
        <v>79964177000591</v>
      </c>
      <c r="L760" s="17">
        <v>9576274000106</v>
      </c>
      <c r="M760" s="9">
        <v>350.94</v>
      </c>
      <c r="N760" t="s">
        <v>43</v>
      </c>
      <c r="Q760" s="2"/>
      <c r="R760" s="9"/>
      <c r="S760" t="s">
        <v>44</v>
      </c>
      <c r="T760" t="s">
        <v>45</v>
      </c>
      <c r="U760" s="2" t="s">
        <v>585</v>
      </c>
      <c r="V760" s="9" t="s">
        <v>2947</v>
      </c>
      <c r="W760">
        <v>4.1260879964176998E+43</v>
      </c>
      <c r="X760" t="s">
        <v>46</v>
      </c>
      <c r="Y760" s="2" t="s">
        <v>717</v>
      </c>
      <c r="Z760" s="2" t="s">
        <v>718</v>
      </c>
      <c r="AA760" s="9" t="s">
        <v>715</v>
      </c>
      <c r="AC760" s="2"/>
      <c r="AD760" t="s">
        <v>7</v>
      </c>
      <c r="AE760" t="s">
        <v>2948</v>
      </c>
    </row>
    <row r="761" spans="1:31" x14ac:dyDescent="0.3">
      <c r="A761" s="17">
        <v>90739624000118</v>
      </c>
      <c r="B761" t="s">
        <v>58</v>
      </c>
      <c r="D761" t="s">
        <v>392</v>
      </c>
      <c r="E761" t="s">
        <v>2</v>
      </c>
      <c r="F761">
        <v>269308</v>
      </c>
      <c r="G761" s="1" t="s">
        <v>2949</v>
      </c>
      <c r="H761">
        <v>24824127</v>
      </c>
      <c r="I761">
        <v>110793</v>
      </c>
      <c r="J761" t="s">
        <v>106</v>
      </c>
      <c r="K761" s="17">
        <v>7473735015103</v>
      </c>
      <c r="L761" s="17">
        <v>90739624002323</v>
      </c>
      <c r="M761" s="9">
        <v>293.32</v>
      </c>
      <c r="N761" t="s">
        <v>43</v>
      </c>
      <c r="Q761" s="2"/>
      <c r="R761" s="9"/>
      <c r="S761" t="s">
        <v>44</v>
      </c>
      <c r="T761" t="s">
        <v>45</v>
      </c>
      <c r="U761" s="2" t="s">
        <v>585</v>
      </c>
      <c r="V761" s="9" t="s">
        <v>2950</v>
      </c>
      <c r="W761">
        <v>4.3260807473734999E+43</v>
      </c>
      <c r="X761" t="s">
        <v>46</v>
      </c>
      <c r="Y761" s="2" t="s">
        <v>717</v>
      </c>
      <c r="Z761" s="2" t="s">
        <v>718</v>
      </c>
      <c r="AA761" s="9" t="s">
        <v>715</v>
      </c>
      <c r="AC761" s="2"/>
      <c r="AD761" t="s">
        <v>7</v>
      </c>
      <c r="AE761" t="s">
        <v>2951</v>
      </c>
    </row>
    <row r="762" spans="1:31" x14ac:dyDescent="0.3">
      <c r="A762" s="17">
        <v>90739624000118</v>
      </c>
      <c r="B762" t="s">
        <v>31</v>
      </c>
      <c r="D762" t="s">
        <v>110</v>
      </c>
      <c r="E762" t="s">
        <v>2</v>
      </c>
      <c r="F762">
        <v>269308</v>
      </c>
      <c r="G762" s="1" t="s">
        <v>2952</v>
      </c>
      <c r="H762">
        <v>24823225</v>
      </c>
      <c r="I762">
        <v>15853</v>
      </c>
      <c r="J762" t="s">
        <v>142</v>
      </c>
      <c r="K762" s="17">
        <v>54494203000100</v>
      </c>
      <c r="L762" s="17">
        <v>90739624001866</v>
      </c>
      <c r="M762" s="9">
        <v>191.41</v>
      </c>
      <c r="N762" t="s">
        <v>43</v>
      </c>
      <c r="Q762" s="2"/>
      <c r="R762" s="9"/>
      <c r="S762" t="s">
        <v>44</v>
      </c>
      <c r="T762" t="s">
        <v>45</v>
      </c>
      <c r="U762" s="2" t="s">
        <v>590</v>
      </c>
      <c r="V762" s="9" t="s">
        <v>2953</v>
      </c>
      <c r="W762">
        <v>5.1260854494202996E+43</v>
      </c>
      <c r="X762" t="s">
        <v>46</v>
      </c>
      <c r="Y762" s="2" t="s">
        <v>717</v>
      </c>
      <c r="Z762" s="2" t="s">
        <v>718</v>
      </c>
      <c r="AA762" s="9" t="s">
        <v>715</v>
      </c>
      <c r="AC762" s="2"/>
      <c r="AD762" t="s">
        <v>7</v>
      </c>
      <c r="AE762" t="s">
        <v>2954</v>
      </c>
    </row>
    <row r="763" spans="1:31" x14ac:dyDescent="0.3">
      <c r="A763" s="17">
        <v>90739624000118</v>
      </c>
      <c r="B763" t="s">
        <v>174</v>
      </c>
      <c r="D763" t="s">
        <v>175</v>
      </c>
      <c r="E763" t="s">
        <v>2</v>
      </c>
      <c r="F763">
        <v>269308</v>
      </c>
      <c r="G763" s="1" t="s">
        <v>2955</v>
      </c>
      <c r="H763">
        <v>24823202</v>
      </c>
      <c r="I763">
        <v>99045</v>
      </c>
      <c r="J763" t="s">
        <v>176</v>
      </c>
      <c r="K763" s="17">
        <v>4219621000111</v>
      </c>
      <c r="L763" s="17">
        <v>90739624000118</v>
      </c>
      <c r="M763" s="9">
        <v>255.75</v>
      </c>
      <c r="N763" t="s">
        <v>43</v>
      </c>
      <c r="Q763" s="2"/>
      <c r="R763" s="9"/>
      <c r="S763" t="s">
        <v>44</v>
      </c>
      <c r="T763" t="s">
        <v>45</v>
      </c>
      <c r="U763" s="2" t="s">
        <v>695</v>
      </c>
      <c r="V763" s="9" t="s">
        <v>2956</v>
      </c>
      <c r="W763">
        <v>1.7260804219621001E+43</v>
      </c>
      <c r="X763" t="s">
        <v>46</v>
      </c>
      <c r="Y763" s="2" t="s">
        <v>717</v>
      </c>
      <c r="Z763" s="2" t="s">
        <v>718</v>
      </c>
      <c r="AA763" s="9" t="s">
        <v>715</v>
      </c>
      <c r="AC763" s="2"/>
      <c r="AD763" t="s">
        <v>7</v>
      </c>
      <c r="AE763" t="s">
        <v>2957</v>
      </c>
    </row>
    <row r="764" spans="1:31" x14ac:dyDescent="0.3">
      <c r="A764" s="17">
        <v>90739624000118</v>
      </c>
      <c r="B764" t="s">
        <v>61</v>
      </c>
      <c r="C764">
        <v>20491</v>
      </c>
      <c r="D764" t="s">
        <v>194</v>
      </c>
      <c r="E764" t="s">
        <v>2</v>
      </c>
      <c r="F764">
        <v>269308</v>
      </c>
      <c r="G764" s="1" t="s">
        <v>2958</v>
      </c>
      <c r="H764">
        <v>24823195</v>
      </c>
      <c r="I764">
        <v>820060</v>
      </c>
      <c r="J764" t="s">
        <v>62</v>
      </c>
      <c r="K764" s="17">
        <v>79964177000591</v>
      </c>
      <c r="L764" s="17">
        <v>9576274000106</v>
      </c>
      <c r="M764" s="9">
        <v>1600.66</v>
      </c>
      <c r="N764" t="s">
        <v>43</v>
      </c>
      <c r="Q764" s="2"/>
      <c r="R764" s="9"/>
      <c r="S764" t="s">
        <v>44</v>
      </c>
      <c r="T764" t="s">
        <v>45</v>
      </c>
      <c r="U764" s="2" t="s">
        <v>585</v>
      </c>
      <c r="V764" s="9" t="s">
        <v>2959</v>
      </c>
      <c r="W764">
        <v>4.1260879964176998E+43</v>
      </c>
      <c r="X764" t="s">
        <v>46</v>
      </c>
      <c r="Y764" s="2" t="s">
        <v>717</v>
      </c>
      <c r="Z764" s="2" t="s">
        <v>718</v>
      </c>
      <c r="AA764" s="9" t="s">
        <v>715</v>
      </c>
      <c r="AC764" s="2"/>
      <c r="AD764" t="s">
        <v>7</v>
      </c>
      <c r="AE764" t="s">
        <v>2960</v>
      </c>
    </row>
    <row r="765" spans="1:31" x14ac:dyDescent="0.3">
      <c r="A765" s="17">
        <v>90739624000118</v>
      </c>
      <c r="B765" t="s">
        <v>170</v>
      </c>
      <c r="D765" t="s">
        <v>377</v>
      </c>
      <c r="E765" t="s">
        <v>2</v>
      </c>
      <c r="F765">
        <v>269308</v>
      </c>
      <c r="G765" s="1" t="s">
        <v>2961</v>
      </c>
      <c r="H765">
        <v>24822952</v>
      </c>
      <c r="I765">
        <v>129288</v>
      </c>
      <c r="J765" t="s">
        <v>178</v>
      </c>
      <c r="K765" s="17">
        <v>83392050000199</v>
      </c>
      <c r="L765" s="17">
        <v>90739624001432</v>
      </c>
      <c r="M765" s="9">
        <v>2420.73</v>
      </c>
      <c r="N765" t="s">
        <v>43</v>
      </c>
      <c r="Q765" s="2"/>
      <c r="R765" s="9"/>
      <c r="S765" t="s">
        <v>44</v>
      </c>
      <c r="T765" t="s">
        <v>45</v>
      </c>
      <c r="U765" s="2" t="s">
        <v>585</v>
      </c>
      <c r="V765" s="9" t="s">
        <v>2962</v>
      </c>
      <c r="W765">
        <v>4.2260883392050001E+43</v>
      </c>
      <c r="X765" t="s">
        <v>46</v>
      </c>
      <c r="Y765" s="2" t="s">
        <v>717</v>
      </c>
      <c r="Z765" s="2" t="s">
        <v>718</v>
      </c>
      <c r="AA765" s="9" t="s">
        <v>715</v>
      </c>
      <c r="AC765" s="2"/>
      <c r="AD765" t="s">
        <v>7</v>
      </c>
      <c r="AE765" t="s">
        <v>2963</v>
      </c>
    </row>
    <row r="766" spans="1:31" x14ac:dyDescent="0.3">
      <c r="A766" s="17">
        <v>90739624000118</v>
      </c>
      <c r="B766" t="s">
        <v>61</v>
      </c>
      <c r="D766" t="s">
        <v>198</v>
      </c>
      <c r="E766" t="s">
        <v>2</v>
      </c>
      <c r="F766">
        <v>269308</v>
      </c>
      <c r="G766" s="1" t="s">
        <v>2964</v>
      </c>
      <c r="H766">
        <v>24822813</v>
      </c>
      <c r="I766">
        <v>28654</v>
      </c>
      <c r="J766" t="s">
        <v>127</v>
      </c>
      <c r="K766" s="17">
        <v>76493295000147</v>
      </c>
      <c r="L766" s="17">
        <v>9576274000106</v>
      </c>
      <c r="M766" s="9">
        <v>492.07</v>
      </c>
      <c r="N766" t="s">
        <v>43</v>
      </c>
      <c r="Q766" s="2"/>
      <c r="R766" s="9"/>
      <c r="S766" t="s">
        <v>44</v>
      </c>
      <c r="T766" t="s">
        <v>45</v>
      </c>
      <c r="U766" s="2" t="s">
        <v>585</v>
      </c>
      <c r="V766" s="9" t="s">
        <v>2965</v>
      </c>
      <c r="W766">
        <v>4.1260876493295002E+43</v>
      </c>
      <c r="X766" t="s">
        <v>46</v>
      </c>
      <c r="Y766" s="2" t="s">
        <v>717</v>
      </c>
      <c r="Z766" s="2" t="s">
        <v>718</v>
      </c>
      <c r="AA766" s="9" t="s">
        <v>715</v>
      </c>
      <c r="AC766" s="2"/>
      <c r="AD766" t="s">
        <v>7</v>
      </c>
      <c r="AE766" t="s">
        <v>2966</v>
      </c>
    </row>
    <row r="767" spans="1:31" x14ac:dyDescent="0.3">
      <c r="A767" s="17">
        <v>90739624000118</v>
      </c>
      <c r="B767" t="s">
        <v>49</v>
      </c>
      <c r="C767">
        <v>22473</v>
      </c>
      <c r="D767" t="s">
        <v>523</v>
      </c>
      <c r="E767" t="s">
        <v>2</v>
      </c>
      <c r="F767">
        <v>269308</v>
      </c>
      <c r="G767" s="1" t="s">
        <v>2967</v>
      </c>
      <c r="H767">
        <v>24822571</v>
      </c>
      <c r="I767">
        <v>162884</v>
      </c>
      <c r="J767" t="s">
        <v>51</v>
      </c>
      <c r="K767" s="17">
        <v>2763612000161</v>
      </c>
      <c r="L767" s="17">
        <v>90739624003133</v>
      </c>
      <c r="M767" s="9">
        <v>312.99</v>
      </c>
      <c r="N767" t="s">
        <v>43</v>
      </c>
      <c r="Q767" s="2"/>
      <c r="R767" s="9"/>
      <c r="S767" t="s">
        <v>44</v>
      </c>
      <c r="T767" t="s">
        <v>45</v>
      </c>
      <c r="U767" s="2" t="s">
        <v>585</v>
      </c>
      <c r="V767" s="9" t="s">
        <v>2968</v>
      </c>
      <c r="W767">
        <v>4.1260802763612002E+43</v>
      </c>
      <c r="X767" t="s">
        <v>46</v>
      </c>
      <c r="Y767" s="2" t="s">
        <v>717</v>
      </c>
      <c r="Z767" s="2" t="s">
        <v>718</v>
      </c>
      <c r="AA767" s="9" t="s">
        <v>715</v>
      </c>
      <c r="AC767" s="2"/>
      <c r="AD767" t="s">
        <v>7</v>
      </c>
      <c r="AE767" t="s">
        <v>2969</v>
      </c>
    </row>
    <row r="768" spans="1:31" x14ac:dyDescent="0.3">
      <c r="A768" s="17">
        <v>90739624000118</v>
      </c>
      <c r="B768" t="s">
        <v>8</v>
      </c>
      <c r="C768">
        <v>24754</v>
      </c>
      <c r="D768" t="s">
        <v>313</v>
      </c>
      <c r="E768" t="s">
        <v>2</v>
      </c>
      <c r="F768">
        <v>269308</v>
      </c>
      <c r="G768" s="1" t="s">
        <v>2970</v>
      </c>
      <c r="H768">
        <v>24822301</v>
      </c>
      <c r="I768">
        <v>10389</v>
      </c>
      <c r="J768" t="s">
        <v>10</v>
      </c>
      <c r="K768" s="17">
        <v>33286065000102</v>
      </c>
      <c r="L768" s="17">
        <v>9576274000106</v>
      </c>
      <c r="M768" s="9">
        <v>370.64</v>
      </c>
      <c r="N768" t="s">
        <v>43</v>
      </c>
      <c r="Q768" s="2"/>
      <c r="R768" s="9"/>
      <c r="S768" t="s">
        <v>44</v>
      </c>
      <c r="T768" t="s">
        <v>45</v>
      </c>
      <c r="U768" s="2" t="s">
        <v>585</v>
      </c>
      <c r="V768" s="9" t="s">
        <v>2971</v>
      </c>
      <c r="W768">
        <v>4.1260833286065001E+43</v>
      </c>
      <c r="X768" t="s">
        <v>46</v>
      </c>
      <c r="Y768" s="2" t="s">
        <v>717</v>
      </c>
      <c r="Z768" s="2" t="s">
        <v>718</v>
      </c>
      <c r="AA768" s="9" t="s">
        <v>715</v>
      </c>
      <c r="AC768" s="2"/>
      <c r="AD768" t="s">
        <v>7</v>
      </c>
      <c r="AE768" t="s">
        <v>2972</v>
      </c>
    </row>
    <row r="769" spans="1:31" x14ac:dyDescent="0.3">
      <c r="A769" s="17">
        <v>90739624000118</v>
      </c>
      <c r="B769" t="s">
        <v>25</v>
      </c>
      <c r="D769" t="s">
        <v>460</v>
      </c>
      <c r="E769" t="s">
        <v>2</v>
      </c>
      <c r="F769">
        <v>269308</v>
      </c>
      <c r="G769" s="1" t="s">
        <v>2973</v>
      </c>
      <c r="H769">
        <v>24822265</v>
      </c>
      <c r="I769">
        <v>1810</v>
      </c>
      <c r="J769" t="s">
        <v>80</v>
      </c>
      <c r="K769" s="17">
        <v>8603562001103</v>
      </c>
      <c r="L769" s="17">
        <v>90739624001866</v>
      </c>
      <c r="M769" s="9">
        <v>118.83</v>
      </c>
      <c r="N769" t="s">
        <v>43</v>
      </c>
      <c r="Q769" s="2"/>
      <c r="R769" s="9"/>
      <c r="S769" t="s">
        <v>44</v>
      </c>
      <c r="T769" t="s">
        <v>45</v>
      </c>
      <c r="U769" s="2" t="s">
        <v>695</v>
      </c>
      <c r="V769" s="9" t="s">
        <v>2974</v>
      </c>
      <c r="W769">
        <v>5.1260808603562005E+43</v>
      </c>
      <c r="X769" t="s">
        <v>46</v>
      </c>
      <c r="Y769" s="2" t="s">
        <v>717</v>
      </c>
      <c r="Z769" s="2" t="s">
        <v>718</v>
      </c>
      <c r="AA769" s="9" t="s">
        <v>715</v>
      </c>
      <c r="AC769" s="2"/>
      <c r="AD769" t="s">
        <v>7</v>
      </c>
      <c r="AE769" t="s">
        <v>2975</v>
      </c>
    </row>
    <row r="770" spans="1:31" x14ac:dyDescent="0.3">
      <c r="A770" s="17">
        <v>90739624000118</v>
      </c>
      <c r="B770" t="s">
        <v>13</v>
      </c>
      <c r="C770">
        <v>24495</v>
      </c>
      <c r="D770" t="s">
        <v>14</v>
      </c>
      <c r="E770" t="s">
        <v>2</v>
      </c>
      <c r="F770">
        <v>269308</v>
      </c>
      <c r="G770" s="1" t="s">
        <v>2976</v>
      </c>
      <c r="H770">
        <v>24822213</v>
      </c>
      <c r="I770">
        <v>16693</v>
      </c>
      <c r="J770" t="s">
        <v>513</v>
      </c>
      <c r="K770" s="17">
        <v>1550726000160</v>
      </c>
      <c r="L770" s="17">
        <v>90739624001190</v>
      </c>
      <c r="M770" s="9">
        <v>438.07</v>
      </c>
      <c r="N770" t="s">
        <v>43</v>
      </c>
      <c r="Q770" s="2"/>
      <c r="R770" s="9"/>
      <c r="S770" t="s">
        <v>44</v>
      </c>
      <c r="T770" t="s">
        <v>45</v>
      </c>
      <c r="U770" s="2" t="s">
        <v>583</v>
      </c>
      <c r="V770" s="9" t="s">
        <v>2977</v>
      </c>
      <c r="W770">
        <v>5.0260801550725997E+43</v>
      </c>
      <c r="X770" t="s">
        <v>46</v>
      </c>
      <c r="Y770" s="2" t="s">
        <v>717</v>
      </c>
      <c r="Z770" s="2" t="s">
        <v>718</v>
      </c>
      <c r="AA770" s="9" t="s">
        <v>715</v>
      </c>
      <c r="AC770" s="2"/>
      <c r="AD770" t="s">
        <v>7</v>
      </c>
      <c r="AE770" t="s">
        <v>2978</v>
      </c>
    </row>
    <row r="771" spans="1:31" x14ac:dyDescent="0.3">
      <c r="A771" s="17">
        <v>90739624000118</v>
      </c>
      <c r="B771" t="s">
        <v>28</v>
      </c>
      <c r="D771" t="s">
        <v>224</v>
      </c>
      <c r="E771" t="s">
        <v>2</v>
      </c>
      <c r="F771">
        <v>269308</v>
      </c>
      <c r="G771" s="1" t="s">
        <v>2979</v>
      </c>
      <c r="H771">
        <v>24822099</v>
      </c>
      <c r="I771">
        <v>81208</v>
      </c>
      <c r="J771" t="s">
        <v>48</v>
      </c>
      <c r="K771" s="17">
        <v>1272434001002</v>
      </c>
      <c r="L771" s="17">
        <v>90739624001947</v>
      </c>
      <c r="M771" s="9">
        <v>312.52</v>
      </c>
      <c r="N771" t="s">
        <v>43</v>
      </c>
      <c r="Q771" s="2"/>
      <c r="R771" s="9"/>
      <c r="S771" t="s">
        <v>44</v>
      </c>
      <c r="T771" t="s">
        <v>45</v>
      </c>
      <c r="U771" s="2" t="s">
        <v>585</v>
      </c>
      <c r="V771" s="9" t="s">
        <v>2980</v>
      </c>
      <c r="W771">
        <v>5.2260801272433996E+43</v>
      </c>
      <c r="X771" t="s">
        <v>46</v>
      </c>
      <c r="Y771" s="2" t="s">
        <v>717</v>
      </c>
      <c r="Z771" s="2" t="s">
        <v>718</v>
      </c>
      <c r="AA771" s="9" t="s">
        <v>715</v>
      </c>
      <c r="AC771" s="2"/>
      <c r="AD771" t="s">
        <v>7</v>
      </c>
      <c r="AE771" t="s">
        <v>2981</v>
      </c>
    </row>
    <row r="772" spans="1:31" x14ac:dyDescent="0.3">
      <c r="A772" s="17">
        <v>90739624000118</v>
      </c>
      <c r="B772" t="s">
        <v>13</v>
      </c>
      <c r="C772">
        <v>24561</v>
      </c>
      <c r="D772" t="s">
        <v>673</v>
      </c>
      <c r="E772" t="s">
        <v>2</v>
      </c>
      <c r="F772">
        <v>269308</v>
      </c>
      <c r="G772" s="1" t="s">
        <v>2982</v>
      </c>
      <c r="H772">
        <v>24822068</v>
      </c>
      <c r="I772">
        <v>24167</v>
      </c>
      <c r="J772" t="s">
        <v>15</v>
      </c>
      <c r="K772" s="17">
        <v>30432373000100</v>
      </c>
      <c r="L772" s="17">
        <v>90739624001190</v>
      </c>
      <c r="M772" s="9">
        <v>402.86</v>
      </c>
      <c r="N772" t="s">
        <v>43</v>
      </c>
      <c r="Q772" s="2"/>
      <c r="R772" s="9"/>
      <c r="S772" t="s">
        <v>44</v>
      </c>
      <c r="T772" t="s">
        <v>45</v>
      </c>
      <c r="U772" s="2" t="s">
        <v>585</v>
      </c>
      <c r="V772" s="9" t="s">
        <v>2984</v>
      </c>
      <c r="W772">
        <v>5.0260830432372995E+43</v>
      </c>
      <c r="X772" t="s">
        <v>46</v>
      </c>
      <c r="Y772" s="2" t="s">
        <v>717</v>
      </c>
      <c r="Z772" s="2" t="s">
        <v>718</v>
      </c>
      <c r="AA772" s="9" t="s">
        <v>715</v>
      </c>
      <c r="AC772" s="2"/>
      <c r="AD772" t="s">
        <v>7</v>
      </c>
      <c r="AE772" t="s">
        <v>2985</v>
      </c>
    </row>
    <row r="773" spans="1:31" x14ac:dyDescent="0.3">
      <c r="A773" s="17">
        <v>90739624000118</v>
      </c>
      <c r="B773" t="s">
        <v>40</v>
      </c>
      <c r="C773">
        <v>24143</v>
      </c>
      <c r="D773" t="s">
        <v>232</v>
      </c>
      <c r="E773" t="s">
        <v>2</v>
      </c>
      <c r="F773">
        <v>269308</v>
      </c>
      <c r="G773" s="1" t="s">
        <v>2986</v>
      </c>
      <c r="H773">
        <v>24821898</v>
      </c>
      <c r="I773">
        <v>168284</v>
      </c>
      <c r="J773" t="s">
        <v>42</v>
      </c>
      <c r="K773" s="17">
        <v>82156977000248</v>
      </c>
      <c r="L773" s="17">
        <v>90739624001432</v>
      </c>
      <c r="M773" s="9">
        <v>219.62</v>
      </c>
      <c r="N773" t="s">
        <v>43</v>
      </c>
      <c r="Q773" s="2"/>
      <c r="R773" s="9"/>
      <c r="S773" t="s">
        <v>44</v>
      </c>
      <c r="T773" t="s">
        <v>45</v>
      </c>
      <c r="U773" s="2" t="s">
        <v>585</v>
      </c>
      <c r="V773" s="9" t="s">
        <v>2987</v>
      </c>
      <c r="W773">
        <v>4.2260882156977001E+43</v>
      </c>
      <c r="X773" t="s">
        <v>46</v>
      </c>
      <c r="Y773" s="2" t="s">
        <v>717</v>
      </c>
      <c r="Z773" s="2" t="s">
        <v>718</v>
      </c>
      <c r="AA773" s="9" t="s">
        <v>715</v>
      </c>
      <c r="AC773" s="2"/>
      <c r="AD773" t="s">
        <v>7</v>
      </c>
      <c r="AE773" t="s">
        <v>2988</v>
      </c>
    </row>
    <row r="774" spans="1:31" x14ac:dyDescent="0.3">
      <c r="A774" s="17">
        <v>90739624000118</v>
      </c>
      <c r="B774" t="s">
        <v>61</v>
      </c>
      <c r="D774" t="s">
        <v>312</v>
      </c>
      <c r="E774" t="s">
        <v>2</v>
      </c>
      <c r="F774">
        <v>269308</v>
      </c>
      <c r="G774" s="1" t="s">
        <v>2989</v>
      </c>
      <c r="H774">
        <v>24821730</v>
      </c>
      <c r="I774">
        <v>28647</v>
      </c>
      <c r="J774" t="s">
        <v>127</v>
      </c>
      <c r="K774" s="17">
        <v>76493295000147</v>
      </c>
      <c r="L774" s="17">
        <v>9576274000106</v>
      </c>
      <c r="M774" s="9">
        <v>407.59</v>
      </c>
      <c r="N774" t="s">
        <v>43</v>
      </c>
      <c r="Q774" s="2"/>
      <c r="R774" s="9"/>
      <c r="S774" t="s">
        <v>44</v>
      </c>
      <c r="T774" t="s">
        <v>45</v>
      </c>
      <c r="U774" s="2" t="s">
        <v>585</v>
      </c>
      <c r="V774" s="9" t="s">
        <v>2990</v>
      </c>
      <c r="W774">
        <v>4.1260876493295002E+43</v>
      </c>
      <c r="X774" t="s">
        <v>46</v>
      </c>
      <c r="Y774" s="2" t="s">
        <v>717</v>
      </c>
      <c r="Z774" s="2" t="s">
        <v>718</v>
      </c>
      <c r="AA774" s="9" t="s">
        <v>715</v>
      </c>
      <c r="AC774" s="2"/>
      <c r="AD774" t="s">
        <v>7</v>
      </c>
      <c r="AE774" t="s">
        <v>2991</v>
      </c>
    </row>
    <row r="775" spans="1:31" x14ac:dyDescent="0.3">
      <c r="A775" s="17">
        <v>90739624000118</v>
      </c>
      <c r="B775" t="s">
        <v>18</v>
      </c>
      <c r="D775" t="s">
        <v>502</v>
      </c>
      <c r="E775" t="s">
        <v>2</v>
      </c>
      <c r="F775">
        <v>269308</v>
      </c>
      <c r="G775" s="1" t="s">
        <v>2992</v>
      </c>
      <c r="H775">
        <v>24821386</v>
      </c>
      <c r="I775">
        <v>20868</v>
      </c>
      <c r="J775" t="s">
        <v>520</v>
      </c>
      <c r="K775" s="17">
        <v>44746308000156</v>
      </c>
      <c r="L775" s="17">
        <v>90739624000380</v>
      </c>
      <c r="M775" s="9">
        <v>668.2</v>
      </c>
      <c r="N775" t="s">
        <v>43</v>
      </c>
      <c r="Q775" s="2"/>
      <c r="R775" s="9"/>
      <c r="S775" t="s">
        <v>44</v>
      </c>
      <c r="T775" t="s">
        <v>45</v>
      </c>
      <c r="U775" s="2" t="s">
        <v>695</v>
      </c>
      <c r="V775" s="9" t="s">
        <v>2994</v>
      </c>
      <c r="W775">
        <v>3.5260844746307998E+43</v>
      </c>
      <c r="X775" t="s">
        <v>46</v>
      </c>
      <c r="Y775" s="2" t="s">
        <v>717</v>
      </c>
      <c r="Z775" s="2" t="s">
        <v>718</v>
      </c>
      <c r="AA775" s="9" t="s">
        <v>715</v>
      </c>
      <c r="AC775" s="2"/>
      <c r="AD775" t="s">
        <v>7</v>
      </c>
      <c r="AE775" t="s">
        <v>2995</v>
      </c>
    </row>
    <row r="776" spans="1:31" x14ac:dyDescent="0.3">
      <c r="A776" s="17">
        <v>90739624000118</v>
      </c>
      <c r="B776" t="s">
        <v>49</v>
      </c>
      <c r="D776" t="s">
        <v>225</v>
      </c>
      <c r="E776" t="s">
        <v>2</v>
      </c>
      <c r="F776">
        <v>269308</v>
      </c>
      <c r="G776" s="1" t="s">
        <v>2996</v>
      </c>
      <c r="H776">
        <v>24821355</v>
      </c>
      <c r="I776">
        <v>162879</v>
      </c>
      <c r="J776" t="s">
        <v>51</v>
      </c>
      <c r="K776" s="17">
        <v>2763612000161</v>
      </c>
      <c r="L776" s="17">
        <v>90739624003133</v>
      </c>
      <c r="M776" s="9">
        <v>248.03</v>
      </c>
      <c r="N776" t="s">
        <v>43</v>
      </c>
      <c r="Q776" s="2"/>
      <c r="R776" s="9"/>
      <c r="S776" t="s">
        <v>44</v>
      </c>
      <c r="T776" t="s">
        <v>45</v>
      </c>
      <c r="U776" s="2" t="s">
        <v>585</v>
      </c>
      <c r="V776" s="9" t="s">
        <v>2997</v>
      </c>
      <c r="W776">
        <v>4.1260802763612002E+43</v>
      </c>
      <c r="X776" t="s">
        <v>46</v>
      </c>
      <c r="Y776" s="2" t="s">
        <v>717</v>
      </c>
      <c r="Z776" s="2" t="s">
        <v>718</v>
      </c>
      <c r="AA776" s="9" t="s">
        <v>715</v>
      </c>
      <c r="AC776" s="2"/>
      <c r="AD776" t="s">
        <v>7</v>
      </c>
      <c r="AE776" t="s">
        <v>2998</v>
      </c>
    </row>
    <row r="777" spans="1:31" x14ac:dyDescent="0.3">
      <c r="A777" s="17">
        <v>90739624000118</v>
      </c>
      <c r="B777" t="s">
        <v>40</v>
      </c>
      <c r="C777">
        <v>26121</v>
      </c>
      <c r="D777" t="s">
        <v>41</v>
      </c>
      <c r="E777" t="s">
        <v>17</v>
      </c>
      <c r="F777">
        <v>269308</v>
      </c>
      <c r="G777" s="1" t="s">
        <v>2999</v>
      </c>
      <c r="H777">
        <v>24821324</v>
      </c>
      <c r="I777">
        <v>168279</v>
      </c>
      <c r="J777" t="s">
        <v>42</v>
      </c>
      <c r="K777" s="17">
        <v>82156977000248</v>
      </c>
      <c r="L777" s="17">
        <v>90739624001432</v>
      </c>
      <c r="M777" s="9">
        <v>21.39</v>
      </c>
      <c r="N777" t="s">
        <v>43</v>
      </c>
      <c r="Q777" s="2"/>
      <c r="R777" s="9"/>
      <c r="S777" t="s">
        <v>44</v>
      </c>
      <c r="T777" t="s">
        <v>45</v>
      </c>
      <c r="U777" s="2" t="s">
        <v>585</v>
      </c>
      <c r="V777" s="9" t="s">
        <v>3000</v>
      </c>
      <c r="W777">
        <v>4.2260882156977001E+43</v>
      </c>
      <c r="X777" t="s">
        <v>46</v>
      </c>
      <c r="Y777" s="2" t="s">
        <v>717</v>
      </c>
      <c r="Z777" s="2" t="s">
        <v>718</v>
      </c>
      <c r="AA777" s="9" t="s">
        <v>715</v>
      </c>
      <c r="AC777" s="2"/>
      <c r="AD777" t="s">
        <v>7</v>
      </c>
      <c r="AE777" t="s">
        <v>3001</v>
      </c>
    </row>
    <row r="778" spans="1:31" x14ac:dyDescent="0.3">
      <c r="A778" s="17">
        <v>90739624000118</v>
      </c>
      <c r="B778" t="s">
        <v>40</v>
      </c>
      <c r="C778">
        <v>26121</v>
      </c>
      <c r="D778" t="s">
        <v>41</v>
      </c>
      <c r="E778" t="s">
        <v>2</v>
      </c>
      <c r="F778">
        <v>269308</v>
      </c>
      <c r="G778" s="1" t="s">
        <v>3002</v>
      </c>
      <c r="H778">
        <v>24821310</v>
      </c>
      <c r="I778">
        <v>168278</v>
      </c>
      <c r="J778" t="s">
        <v>42</v>
      </c>
      <c r="K778" s="17">
        <v>82156977000248</v>
      </c>
      <c r="L778" s="17">
        <v>90739624001432</v>
      </c>
      <c r="M778" s="9">
        <v>217.65</v>
      </c>
      <c r="N778" t="s">
        <v>43</v>
      </c>
      <c r="Q778" s="2"/>
      <c r="R778" s="9"/>
      <c r="S778" t="s">
        <v>44</v>
      </c>
      <c r="T778" t="s">
        <v>45</v>
      </c>
      <c r="U778" s="2" t="s">
        <v>585</v>
      </c>
      <c r="V778" s="9" t="s">
        <v>623</v>
      </c>
      <c r="W778">
        <v>4.2260882156977001E+43</v>
      </c>
      <c r="X778" t="s">
        <v>46</v>
      </c>
      <c r="Y778" s="2" t="s">
        <v>717</v>
      </c>
      <c r="Z778" s="2" t="s">
        <v>718</v>
      </c>
      <c r="AA778" s="9" t="s">
        <v>715</v>
      </c>
      <c r="AC778" s="2"/>
      <c r="AD778" t="s">
        <v>7</v>
      </c>
      <c r="AE778" t="s">
        <v>3003</v>
      </c>
    </row>
    <row r="779" spans="1:31" x14ac:dyDescent="0.3">
      <c r="A779" s="17">
        <v>90739624000118</v>
      </c>
      <c r="B779" t="s">
        <v>65</v>
      </c>
      <c r="C779">
        <v>26248</v>
      </c>
      <c r="D779" t="s">
        <v>226</v>
      </c>
      <c r="E779" t="s">
        <v>2</v>
      </c>
      <c r="F779">
        <v>269308</v>
      </c>
      <c r="G779" s="1" t="s">
        <v>3004</v>
      </c>
      <c r="H779">
        <v>24821297</v>
      </c>
      <c r="I779">
        <v>75177</v>
      </c>
      <c r="J779" t="s">
        <v>67</v>
      </c>
      <c r="K779" s="17">
        <v>7473735006031</v>
      </c>
      <c r="L779" s="17">
        <v>90739624002323</v>
      </c>
      <c r="M779" s="9">
        <v>500.18</v>
      </c>
      <c r="N779" t="s">
        <v>43</v>
      </c>
      <c r="Q779" s="2"/>
      <c r="R779" s="9"/>
      <c r="S779" t="s">
        <v>44</v>
      </c>
      <c r="T779" t="s">
        <v>45</v>
      </c>
      <c r="U779" s="2" t="s">
        <v>585</v>
      </c>
      <c r="V779" s="9" t="s">
        <v>3005</v>
      </c>
      <c r="W779">
        <v>4.3260807473734999E+43</v>
      </c>
      <c r="X779" t="s">
        <v>46</v>
      </c>
      <c r="Y779" s="2" t="s">
        <v>717</v>
      </c>
      <c r="Z779" s="2" t="s">
        <v>718</v>
      </c>
      <c r="AA779" s="9" t="s">
        <v>715</v>
      </c>
      <c r="AC779" s="2"/>
      <c r="AD779" t="s">
        <v>7</v>
      </c>
      <c r="AE779" t="s">
        <v>3006</v>
      </c>
    </row>
    <row r="780" spans="1:31" x14ac:dyDescent="0.3">
      <c r="A780" s="17">
        <v>90739624000118</v>
      </c>
      <c r="B780" t="s">
        <v>28</v>
      </c>
      <c r="C780">
        <v>20087</v>
      </c>
      <c r="D780" t="s">
        <v>219</v>
      </c>
      <c r="E780" t="s">
        <v>2</v>
      </c>
      <c r="F780">
        <v>269308</v>
      </c>
      <c r="G780" s="1" t="s">
        <v>3007</v>
      </c>
      <c r="H780">
        <v>24820882</v>
      </c>
      <c r="I780">
        <v>38302</v>
      </c>
      <c r="J780" t="s">
        <v>209</v>
      </c>
      <c r="K780" s="17">
        <v>33360405000190</v>
      </c>
      <c r="L780" s="17">
        <v>90739624001947</v>
      </c>
      <c r="M780" s="9">
        <v>301.18</v>
      </c>
      <c r="N780" t="s">
        <v>43</v>
      </c>
      <c r="Q780" s="2"/>
      <c r="R780" s="9"/>
      <c r="S780" t="s">
        <v>44</v>
      </c>
      <c r="T780" t="s">
        <v>45</v>
      </c>
      <c r="U780" s="2" t="s">
        <v>585</v>
      </c>
      <c r="V780" s="9" t="s">
        <v>3008</v>
      </c>
      <c r="W780">
        <v>5.2260833360404998E+43</v>
      </c>
      <c r="X780" t="s">
        <v>46</v>
      </c>
      <c r="Y780" s="2" t="s">
        <v>717</v>
      </c>
      <c r="Z780" s="2" t="s">
        <v>718</v>
      </c>
      <c r="AA780" s="9" t="s">
        <v>715</v>
      </c>
      <c r="AC780" s="2"/>
      <c r="AD780" t="s">
        <v>7</v>
      </c>
      <c r="AE780" t="s">
        <v>3009</v>
      </c>
    </row>
    <row r="781" spans="1:31" x14ac:dyDescent="0.3">
      <c r="A781" s="17">
        <v>90739624000118</v>
      </c>
      <c r="B781" t="s">
        <v>58</v>
      </c>
      <c r="D781" t="s">
        <v>481</v>
      </c>
      <c r="E781" t="s">
        <v>2</v>
      </c>
      <c r="F781">
        <v>269308</v>
      </c>
      <c r="G781" s="1" t="s">
        <v>3010</v>
      </c>
      <c r="H781">
        <v>24820723</v>
      </c>
      <c r="I781">
        <v>57627</v>
      </c>
      <c r="J781" t="s">
        <v>480</v>
      </c>
      <c r="K781" s="17">
        <v>7473735019877</v>
      </c>
      <c r="L781" s="17">
        <v>90739624002323</v>
      </c>
      <c r="M781" s="9">
        <v>279.82</v>
      </c>
      <c r="N781" t="s">
        <v>43</v>
      </c>
      <c r="Q781" s="2"/>
      <c r="R781" s="9"/>
      <c r="S781" t="s">
        <v>44</v>
      </c>
      <c r="T781" t="s">
        <v>45</v>
      </c>
      <c r="U781" s="2" t="s">
        <v>585</v>
      </c>
      <c r="V781" s="9" t="s">
        <v>3011</v>
      </c>
      <c r="W781">
        <v>4.3260807473734999E+43</v>
      </c>
      <c r="X781" t="s">
        <v>46</v>
      </c>
      <c r="Y781" s="2" t="s">
        <v>717</v>
      </c>
      <c r="Z781" s="2" t="s">
        <v>718</v>
      </c>
      <c r="AA781" s="9" t="s">
        <v>715</v>
      </c>
      <c r="AC781" s="2"/>
      <c r="AD781" t="s">
        <v>7</v>
      </c>
      <c r="AE781" t="s">
        <v>3012</v>
      </c>
    </row>
    <row r="782" spans="1:31" x14ac:dyDescent="0.3">
      <c r="A782" s="17">
        <v>90739624000118</v>
      </c>
      <c r="B782" t="s">
        <v>40</v>
      </c>
      <c r="D782" t="s">
        <v>246</v>
      </c>
      <c r="E782" t="s">
        <v>2</v>
      </c>
      <c r="F782">
        <v>269308</v>
      </c>
      <c r="G782" s="1" t="s">
        <v>3013</v>
      </c>
      <c r="H782">
        <v>24820720</v>
      </c>
      <c r="I782">
        <v>168274</v>
      </c>
      <c r="J782" t="s">
        <v>42</v>
      </c>
      <c r="K782" s="17">
        <v>82156977000248</v>
      </c>
      <c r="L782" s="17">
        <v>90739624001432</v>
      </c>
      <c r="M782" s="9">
        <v>273.97000000000003</v>
      </c>
      <c r="N782" t="s">
        <v>43</v>
      </c>
      <c r="Q782" s="2"/>
      <c r="R782" s="9"/>
      <c r="S782" t="s">
        <v>44</v>
      </c>
      <c r="T782" t="s">
        <v>45</v>
      </c>
      <c r="U782" s="2" t="s">
        <v>585</v>
      </c>
      <c r="V782" s="9" t="s">
        <v>3014</v>
      </c>
      <c r="W782">
        <v>4.2260882156977001E+43</v>
      </c>
      <c r="X782" t="s">
        <v>46</v>
      </c>
      <c r="Y782" s="2" t="s">
        <v>717</v>
      </c>
      <c r="Z782" s="2" t="s">
        <v>718</v>
      </c>
      <c r="AA782" s="9" t="s">
        <v>715</v>
      </c>
      <c r="AC782" s="2"/>
      <c r="AD782" t="s">
        <v>7</v>
      </c>
      <c r="AE782" t="s">
        <v>3015</v>
      </c>
    </row>
    <row r="783" spans="1:31" x14ac:dyDescent="0.3">
      <c r="A783" s="17">
        <v>90739624000118</v>
      </c>
      <c r="B783" t="s">
        <v>28</v>
      </c>
      <c r="D783" t="s">
        <v>214</v>
      </c>
      <c r="E783" t="s">
        <v>2</v>
      </c>
      <c r="F783">
        <v>269308</v>
      </c>
      <c r="G783" s="1" t="s">
        <v>3016</v>
      </c>
      <c r="H783">
        <v>24820670</v>
      </c>
      <c r="I783">
        <v>81206</v>
      </c>
      <c r="J783" t="s">
        <v>48</v>
      </c>
      <c r="K783" s="17">
        <v>1272434001002</v>
      </c>
      <c r="L783" s="17">
        <v>90739624001947</v>
      </c>
      <c r="M783" s="9">
        <v>303.24</v>
      </c>
      <c r="N783" t="s">
        <v>43</v>
      </c>
      <c r="Q783" s="2"/>
      <c r="R783" s="9"/>
      <c r="S783" t="s">
        <v>44</v>
      </c>
      <c r="T783" t="s">
        <v>45</v>
      </c>
      <c r="U783" s="2" t="s">
        <v>585</v>
      </c>
      <c r="V783" s="9" t="s">
        <v>3017</v>
      </c>
      <c r="W783">
        <v>5.2260801272433996E+43</v>
      </c>
      <c r="X783" t="s">
        <v>46</v>
      </c>
      <c r="Y783" s="2" t="s">
        <v>717</v>
      </c>
      <c r="Z783" s="2" t="s">
        <v>718</v>
      </c>
      <c r="AA783" s="9" t="s">
        <v>715</v>
      </c>
      <c r="AC783" s="2"/>
      <c r="AD783" t="s">
        <v>7</v>
      </c>
      <c r="AE783" t="s">
        <v>3018</v>
      </c>
    </row>
    <row r="784" spans="1:31" x14ac:dyDescent="0.3">
      <c r="A784" s="17">
        <v>90739624000118</v>
      </c>
      <c r="B784" t="s">
        <v>61</v>
      </c>
      <c r="D784" t="s">
        <v>614</v>
      </c>
      <c r="E784" t="s">
        <v>2</v>
      </c>
      <c r="F784">
        <v>269308</v>
      </c>
      <c r="G784" s="1" t="s">
        <v>3019</v>
      </c>
      <c r="H784">
        <v>24820563</v>
      </c>
      <c r="I784">
        <v>2504</v>
      </c>
      <c r="J784" t="s">
        <v>85</v>
      </c>
      <c r="K784" s="17">
        <v>1975878000105</v>
      </c>
      <c r="L784" s="17">
        <v>9576274000106</v>
      </c>
      <c r="M784" s="9">
        <v>420.17</v>
      </c>
      <c r="N784" t="s">
        <v>43</v>
      </c>
      <c r="Q784" s="2"/>
      <c r="R784" s="9"/>
      <c r="S784" t="s">
        <v>44</v>
      </c>
      <c r="T784" t="s">
        <v>45</v>
      </c>
      <c r="U784" s="2" t="s">
        <v>585</v>
      </c>
      <c r="V784" s="9" t="s">
        <v>3020</v>
      </c>
      <c r="W784">
        <v>4.1260801975878E+43</v>
      </c>
      <c r="X784" t="s">
        <v>46</v>
      </c>
      <c r="Y784" s="2" t="s">
        <v>717</v>
      </c>
      <c r="Z784" s="2" t="s">
        <v>718</v>
      </c>
      <c r="AA784" s="9" t="s">
        <v>715</v>
      </c>
      <c r="AC784" s="2"/>
      <c r="AD784" t="s">
        <v>7</v>
      </c>
      <c r="AE784" t="s">
        <v>3021</v>
      </c>
    </row>
    <row r="785" spans="1:31" x14ac:dyDescent="0.3">
      <c r="A785" s="17">
        <v>90739624000118</v>
      </c>
      <c r="B785" t="s">
        <v>28</v>
      </c>
      <c r="D785" t="s">
        <v>511</v>
      </c>
      <c r="E785" t="s">
        <v>2</v>
      </c>
      <c r="F785">
        <v>269308</v>
      </c>
      <c r="G785" s="1" t="s">
        <v>3022</v>
      </c>
      <c r="H785">
        <v>24820534</v>
      </c>
      <c r="I785">
        <v>81205</v>
      </c>
      <c r="J785" t="s">
        <v>48</v>
      </c>
      <c r="K785" s="17">
        <v>1272434001002</v>
      </c>
      <c r="L785" s="17">
        <v>90739624001947</v>
      </c>
      <c r="M785" s="9">
        <v>158.38</v>
      </c>
      <c r="N785" t="s">
        <v>43</v>
      </c>
      <c r="Q785" s="2"/>
      <c r="R785" s="9"/>
      <c r="S785" t="s">
        <v>44</v>
      </c>
      <c r="T785" t="s">
        <v>45</v>
      </c>
      <c r="U785" s="2" t="s">
        <v>585</v>
      </c>
      <c r="V785" s="9" t="s">
        <v>3023</v>
      </c>
      <c r="W785">
        <v>5.2260801272433996E+43</v>
      </c>
      <c r="X785" t="s">
        <v>46</v>
      </c>
      <c r="Y785" s="2" t="s">
        <v>717</v>
      </c>
      <c r="Z785" s="2" t="s">
        <v>718</v>
      </c>
      <c r="AA785" s="9" t="s">
        <v>715</v>
      </c>
      <c r="AC785" s="2"/>
      <c r="AD785" t="s">
        <v>7</v>
      </c>
      <c r="AE785" t="s">
        <v>3024</v>
      </c>
    </row>
    <row r="786" spans="1:31" x14ac:dyDescent="0.3">
      <c r="A786" s="17">
        <v>90739624000118</v>
      </c>
      <c r="B786" t="s">
        <v>58</v>
      </c>
      <c r="D786" t="s">
        <v>387</v>
      </c>
      <c r="E786" t="s">
        <v>17</v>
      </c>
      <c r="F786">
        <v>269308</v>
      </c>
      <c r="G786" s="1" t="s">
        <v>3025</v>
      </c>
      <c r="H786">
        <v>24820492</v>
      </c>
      <c r="I786">
        <v>57626</v>
      </c>
      <c r="J786" t="s">
        <v>480</v>
      </c>
      <c r="K786" s="17">
        <v>7473735019877</v>
      </c>
      <c r="L786" s="17">
        <v>90739624002323</v>
      </c>
      <c r="M786" s="9">
        <v>23.81</v>
      </c>
      <c r="N786" t="s">
        <v>43</v>
      </c>
      <c r="Q786" s="2"/>
      <c r="R786" s="9"/>
      <c r="S786" t="s">
        <v>44</v>
      </c>
      <c r="T786" t="s">
        <v>45</v>
      </c>
      <c r="U786" s="2" t="s">
        <v>585</v>
      </c>
      <c r="V786" s="9" t="s">
        <v>3026</v>
      </c>
      <c r="W786">
        <v>4.3260807473734999E+43</v>
      </c>
      <c r="X786" t="s">
        <v>46</v>
      </c>
      <c r="Y786" s="2" t="s">
        <v>717</v>
      </c>
      <c r="Z786" s="2" t="s">
        <v>718</v>
      </c>
      <c r="AA786" s="9" t="s">
        <v>715</v>
      </c>
      <c r="AC786" s="2"/>
      <c r="AD786" t="s">
        <v>7</v>
      </c>
      <c r="AE786" t="s">
        <v>3027</v>
      </c>
    </row>
    <row r="787" spans="1:31" x14ac:dyDescent="0.3">
      <c r="A787" s="17">
        <v>90739624000118</v>
      </c>
      <c r="B787" t="s">
        <v>40</v>
      </c>
      <c r="C787">
        <v>22016</v>
      </c>
      <c r="D787" t="s">
        <v>491</v>
      </c>
      <c r="E787" t="s">
        <v>2</v>
      </c>
      <c r="F787">
        <v>269308</v>
      </c>
      <c r="G787" s="1" t="s">
        <v>3028</v>
      </c>
      <c r="H787">
        <v>24820373</v>
      </c>
      <c r="I787">
        <v>168272</v>
      </c>
      <c r="J787" t="s">
        <v>42</v>
      </c>
      <c r="K787" s="17">
        <v>82156977000248</v>
      </c>
      <c r="L787" s="17">
        <v>90739624001432</v>
      </c>
      <c r="M787" s="9">
        <v>198.96</v>
      </c>
      <c r="N787" t="s">
        <v>43</v>
      </c>
      <c r="Q787" s="2"/>
      <c r="R787" s="9"/>
      <c r="S787" t="s">
        <v>44</v>
      </c>
      <c r="T787" t="s">
        <v>45</v>
      </c>
      <c r="U787" s="2" t="s">
        <v>585</v>
      </c>
      <c r="V787" s="9" t="s">
        <v>3029</v>
      </c>
      <c r="W787">
        <v>4.2260882156977001E+43</v>
      </c>
      <c r="X787" t="s">
        <v>46</v>
      </c>
      <c r="Y787" s="2" t="s">
        <v>717</v>
      </c>
      <c r="Z787" s="2" t="s">
        <v>718</v>
      </c>
      <c r="AA787" s="9" t="s">
        <v>715</v>
      </c>
      <c r="AC787" s="2"/>
      <c r="AD787" t="s">
        <v>7</v>
      </c>
      <c r="AE787" t="s">
        <v>3030</v>
      </c>
    </row>
    <row r="788" spans="1:31" x14ac:dyDescent="0.3">
      <c r="A788" s="17">
        <v>90739624000118</v>
      </c>
      <c r="B788" t="s">
        <v>40</v>
      </c>
      <c r="D788" t="s">
        <v>217</v>
      </c>
      <c r="E788" t="s">
        <v>2</v>
      </c>
      <c r="F788">
        <v>269308</v>
      </c>
      <c r="G788" s="1" t="s">
        <v>3031</v>
      </c>
      <c r="H788">
        <v>24820335</v>
      </c>
      <c r="I788">
        <v>168271</v>
      </c>
      <c r="J788" t="s">
        <v>42</v>
      </c>
      <c r="K788" s="17">
        <v>82156977000248</v>
      </c>
      <c r="L788" s="17">
        <v>90739624001432</v>
      </c>
      <c r="M788" s="9">
        <v>365.91</v>
      </c>
      <c r="N788" t="s">
        <v>43</v>
      </c>
      <c r="Q788" s="2"/>
      <c r="R788" s="9"/>
      <c r="S788" t="s">
        <v>44</v>
      </c>
      <c r="T788" t="s">
        <v>45</v>
      </c>
      <c r="U788" s="2" t="s">
        <v>585</v>
      </c>
      <c r="V788" s="9" t="s">
        <v>3032</v>
      </c>
      <c r="W788">
        <v>4.2260882156977001E+43</v>
      </c>
      <c r="X788" t="s">
        <v>46</v>
      </c>
      <c r="Y788" s="2" t="s">
        <v>717</v>
      </c>
      <c r="Z788" s="2" t="s">
        <v>718</v>
      </c>
      <c r="AA788" s="9" t="s">
        <v>715</v>
      </c>
      <c r="AC788" s="2"/>
      <c r="AD788" t="s">
        <v>7</v>
      </c>
      <c r="AE788" t="s">
        <v>3033</v>
      </c>
    </row>
    <row r="789" spans="1:31" x14ac:dyDescent="0.3">
      <c r="A789" s="17">
        <v>90739624000118</v>
      </c>
      <c r="B789" t="s">
        <v>8</v>
      </c>
      <c r="D789" t="s">
        <v>9</v>
      </c>
      <c r="E789" t="s">
        <v>2</v>
      </c>
      <c r="F789">
        <v>269308</v>
      </c>
      <c r="G789" s="1" t="s">
        <v>3034</v>
      </c>
      <c r="H789">
        <v>24820307</v>
      </c>
      <c r="I789">
        <v>10386</v>
      </c>
      <c r="J789" t="s">
        <v>10</v>
      </c>
      <c r="K789" s="17">
        <v>33286065000102</v>
      </c>
      <c r="L789" s="17">
        <v>9576274000106</v>
      </c>
      <c r="M789" s="9">
        <v>1223.3499999999999</v>
      </c>
      <c r="N789" t="s">
        <v>43</v>
      </c>
      <c r="Q789" s="2"/>
      <c r="R789" s="9"/>
      <c r="S789" t="s">
        <v>44</v>
      </c>
      <c r="T789" t="s">
        <v>45</v>
      </c>
      <c r="U789" s="2" t="s">
        <v>585</v>
      </c>
      <c r="V789" s="9" t="s">
        <v>3035</v>
      </c>
      <c r="W789">
        <v>4.1260833286065001E+43</v>
      </c>
      <c r="X789" t="s">
        <v>46</v>
      </c>
      <c r="Y789" s="2" t="s">
        <v>717</v>
      </c>
      <c r="Z789" s="2" t="s">
        <v>718</v>
      </c>
      <c r="AA789" s="9" t="s">
        <v>715</v>
      </c>
      <c r="AC789" s="2"/>
      <c r="AD789" t="s">
        <v>7</v>
      </c>
      <c r="AE789" t="s">
        <v>3036</v>
      </c>
    </row>
    <row r="790" spans="1:31" x14ac:dyDescent="0.3">
      <c r="A790" s="17">
        <v>90739624000118</v>
      </c>
      <c r="B790" t="s">
        <v>8</v>
      </c>
      <c r="D790" t="s">
        <v>9</v>
      </c>
      <c r="E790" t="s">
        <v>17</v>
      </c>
      <c r="F790">
        <v>269308</v>
      </c>
      <c r="G790" s="1" t="s">
        <v>3037</v>
      </c>
      <c r="H790">
        <v>24820285</v>
      </c>
      <c r="I790">
        <v>10387</v>
      </c>
      <c r="J790" t="s">
        <v>10</v>
      </c>
      <c r="K790" s="17">
        <v>33286065000102</v>
      </c>
      <c r="L790" s="17">
        <v>9576274000106</v>
      </c>
      <c r="M790" s="9">
        <v>28.77</v>
      </c>
      <c r="N790" t="s">
        <v>43</v>
      </c>
      <c r="Q790" s="2"/>
      <c r="R790" s="9"/>
      <c r="S790" t="s">
        <v>44</v>
      </c>
      <c r="T790" t="s">
        <v>45</v>
      </c>
      <c r="U790" s="2" t="s">
        <v>585</v>
      </c>
      <c r="V790" s="9" t="s">
        <v>3038</v>
      </c>
      <c r="W790">
        <v>4.1260833286065001E+43</v>
      </c>
      <c r="X790" t="s">
        <v>46</v>
      </c>
      <c r="Y790" s="2" t="s">
        <v>717</v>
      </c>
      <c r="Z790" s="2" t="s">
        <v>718</v>
      </c>
      <c r="AA790" s="9" t="s">
        <v>715</v>
      </c>
      <c r="AC790" s="2"/>
      <c r="AD790" t="s">
        <v>7</v>
      </c>
      <c r="AE790" t="s">
        <v>3039</v>
      </c>
    </row>
    <row r="791" spans="1:31" x14ac:dyDescent="0.3">
      <c r="A791" s="17">
        <v>90739624000118</v>
      </c>
      <c r="B791" t="s">
        <v>58</v>
      </c>
      <c r="D791" t="s">
        <v>387</v>
      </c>
      <c r="E791" t="s">
        <v>2</v>
      </c>
      <c r="F791">
        <v>269308</v>
      </c>
      <c r="G791" s="1" t="s">
        <v>3040</v>
      </c>
      <c r="H791">
        <v>24820269</v>
      </c>
      <c r="I791">
        <v>57625</v>
      </c>
      <c r="J791" t="s">
        <v>480</v>
      </c>
      <c r="K791" s="17">
        <v>7473735019877</v>
      </c>
      <c r="L791" s="17">
        <v>90739624002323</v>
      </c>
      <c r="M791" s="9">
        <v>158.72999999999999</v>
      </c>
      <c r="N791" t="s">
        <v>43</v>
      </c>
      <c r="Q791" s="2"/>
      <c r="R791" s="9"/>
      <c r="S791" t="s">
        <v>44</v>
      </c>
      <c r="T791" t="s">
        <v>45</v>
      </c>
      <c r="U791" s="2" t="s">
        <v>585</v>
      </c>
      <c r="V791" s="9" t="s">
        <v>3041</v>
      </c>
      <c r="W791">
        <v>4.3260807473734999E+43</v>
      </c>
      <c r="X791" t="s">
        <v>46</v>
      </c>
      <c r="Y791" s="2" t="s">
        <v>717</v>
      </c>
      <c r="Z791" s="2" t="s">
        <v>718</v>
      </c>
      <c r="AA791" s="9" t="s">
        <v>715</v>
      </c>
      <c r="AC791" s="2"/>
      <c r="AD791" t="s">
        <v>7</v>
      </c>
      <c r="AE791" t="s">
        <v>3042</v>
      </c>
    </row>
    <row r="792" spans="1:31" x14ac:dyDescent="0.3">
      <c r="A792" s="17">
        <v>90739624000118</v>
      </c>
      <c r="B792" t="s">
        <v>28</v>
      </c>
      <c r="D792" t="s">
        <v>483</v>
      </c>
      <c r="E792" t="s">
        <v>2</v>
      </c>
      <c r="F792">
        <v>269308</v>
      </c>
      <c r="G792" s="1" t="s">
        <v>3043</v>
      </c>
      <c r="H792">
        <v>24820264</v>
      </c>
      <c r="I792">
        <v>81203</v>
      </c>
      <c r="J792" t="s">
        <v>48</v>
      </c>
      <c r="K792" s="17">
        <v>1272434001002</v>
      </c>
      <c r="L792" s="17">
        <v>90739624001947</v>
      </c>
      <c r="M792" s="9">
        <v>282.52999999999997</v>
      </c>
      <c r="N792" t="s">
        <v>43</v>
      </c>
      <c r="Q792" s="2"/>
      <c r="R792" s="9"/>
      <c r="S792" t="s">
        <v>44</v>
      </c>
      <c r="T792" t="s">
        <v>45</v>
      </c>
      <c r="U792" s="2" t="s">
        <v>585</v>
      </c>
      <c r="V792" s="9" t="s">
        <v>3044</v>
      </c>
      <c r="W792">
        <v>5.2260801272433996E+43</v>
      </c>
      <c r="X792" t="s">
        <v>46</v>
      </c>
      <c r="Y792" s="2" t="s">
        <v>717</v>
      </c>
      <c r="Z792" s="2" t="s">
        <v>718</v>
      </c>
      <c r="AA792" s="9" t="s">
        <v>715</v>
      </c>
      <c r="AC792" s="2"/>
      <c r="AD792" t="s">
        <v>7</v>
      </c>
      <c r="AE792" t="s">
        <v>3045</v>
      </c>
    </row>
    <row r="793" spans="1:31" x14ac:dyDescent="0.3">
      <c r="A793" s="17">
        <v>90739624000118</v>
      </c>
      <c r="B793" t="s">
        <v>11</v>
      </c>
      <c r="D793" t="s">
        <v>89</v>
      </c>
      <c r="E793" t="s">
        <v>2</v>
      </c>
      <c r="F793">
        <v>269308</v>
      </c>
      <c r="G793" s="1" t="s">
        <v>3046</v>
      </c>
      <c r="H793">
        <v>24820232</v>
      </c>
      <c r="I793">
        <v>4412</v>
      </c>
      <c r="J793" t="s">
        <v>95</v>
      </c>
      <c r="K793" s="17">
        <v>37489429000102</v>
      </c>
      <c r="L793" s="17">
        <v>90739624001947</v>
      </c>
      <c r="M793" s="9">
        <v>331.87</v>
      </c>
      <c r="N793" t="s">
        <v>43</v>
      </c>
      <c r="Q793" s="2"/>
      <c r="R793" s="9"/>
      <c r="S793" t="s">
        <v>44</v>
      </c>
      <c r="T793" t="s">
        <v>45</v>
      </c>
      <c r="U793" s="2" t="s">
        <v>585</v>
      </c>
      <c r="V793" s="9" t="s">
        <v>3047</v>
      </c>
      <c r="W793">
        <v>5.2260837489428997E+43</v>
      </c>
      <c r="X793" t="s">
        <v>46</v>
      </c>
      <c r="Y793" s="2" t="s">
        <v>717</v>
      </c>
      <c r="Z793" s="2" t="s">
        <v>718</v>
      </c>
      <c r="AA793" s="9" t="s">
        <v>715</v>
      </c>
      <c r="AC793" s="2"/>
      <c r="AD793" t="s">
        <v>7</v>
      </c>
      <c r="AE793" t="s">
        <v>3048</v>
      </c>
    </row>
    <row r="794" spans="1:31" x14ac:dyDescent="0.3">
      <c r="A794" s="17">
        <v>90739624000118</v>
      </c>
      <c r="B794" t="s">
        <v>28</v>
      </c>
      <c r="D794" t="s">
        <v>47</v>
      </c>
      <c r="E794" t="s">
        <v>2</v>
      </c>
      <c r="F794">
        <v>269308</v>
      </c>
      <c r="G794" s="1" t="s">
        <v>3049</v>
      </c>
      <c r="H794">
        <v>24819883</v>
      </c>
      <c r="I794">
        <v>81201</v>
      </c>
      <c r="J794" t="s">
        <v>48</v>
      </c>
      <c r="K794" s="17">
        <v>1272434001002</v>
      </c>
      <c r="L794" s="17">
        <v>90739624001947</v>
      </c>
      <c r="M794" s="9">
        <v>279.99</v>
      </c>
      <c r="N794" t="s">
        <v>43</v>
      </c>
      <c r="Q794" s="2"/>
      <c r="R794" s="9"/>
      <c r="S794" t="s">
        <v>44</v>
      </c>
      <c r="T794" t="s">
        <v>45</v>
      </c>
      <c r="U794" s="2" t="s">
        <v>585</v>
      </c>
      <c r="V794" s="9" t="s">
        <v>556</v>
      </c>
      <c r="W794">
        <v>5.2260801272433996E+43</v>
      </c>
      <c r="X794" t="s">
        <v>46</v>
      </c>
      <c r="Y794" s="2" t="s">
        <v>717</v>
      </c>
      <c r="Z794" s="2" t="s">
        <v>718</v>
      </c>
      <c r="AA794" s="9" t="s">
        <v>715</v>
      </c>
      <c r="AC794" s="2"/>
      <c r="AD794" t="s">
        <v>7</v>
      </c>
      <c r="AE794" t="s">
        <v>3050</v>
      </c>
    </row>
    <row r="795" spans="1:31" x14ac:dyDescent="0.3">
      <c r="A795" s="17">
        <v>90739624000118</v>
      </c>
      <c r="B795" t="s">
        <v>49</v>
      </c>
      <c r="D795" t="s">
        <v>317</v>
      </c>
      <c r="E795" t="s">
        <v>2</v>
      </c>
      <c r="F795">
        <v>269308</v>
      </c>
      <c r="G795" s="1" t="s">
        <v>3051</v>
      </c>
      <c r="H795">
        <v>24819855</v>
      </c>
      <c r="I795">
        <v>162869</v>
      </c>
      <c r="J795" t="s">
        <v>51</v>
      </c>
      <c r="K795" s="17">
        <v>2763612000161</v>
      </c>
      <c r="L795" s="17">
        <v>90739624003133</v>
      </c>
      <c r="M795" s="9">
        <v>307.39999999999998</v>
      </c>
      <c r="N795" t="s">
        <v>43</v>
      </c>
      <c r="Q795" s="2"/>
      <c r="R795" s="9"/>
      <c r="S795" t="s">
        <v>44</v>
      </c>
      <c r="T795" t="s">
        <v>45</v>
      </c>
      <c r="U795" s="2" t="s">
        <v>585</v>
      </c>
      <c r="V795" s="9" t="s">
        <v>3052</v>
      </c>
      <c r="W795">
        <v>4.1260802763612002E+43</v>
      </c>
      <c r="X795" t="s">
        <v>46</v>
      </c>
      <c r="Y795" s="2" t="s">
        <v>717</v>
      </c>
      <c r="Z795" s="2" t="s">
        <v>718</v>
      </c>
      <c r="AA795" s="9" t="s">
        <v>715</v>
      </c>
      <c r="AC795" s="2"/>
      <c r="AD795" t="s">
        <v>7</v>
      </c>
      <c r="AE795" t="s">
        <v>3053</v>
      </c>
    </row>
    <row r="796" spans="1:31" x14ac:dyDescent="0.3">
      <c r="A796" s="17">
        <v>90739624000118</v>
      </c>
      <c r="B796" t="s">
        <v>8</v>
      </c>
      <c r="C796">
        <v>21145</v>
      </c>
      <c r="D796" t="s">
        <v>3054</v>
      </c>
      <c r="E796" t="s">
        <v>2</v>
      </c>
      <c r="F796">
        <v>269308</v>
      </c>
      <c r="G796" s="1" t="s">
        <v>3055</v>
      </c>
      <c r="H796">
        <v>24819669</v>
      </c>
      <c r="I796">
        <v>8576</v>
      </c>
      <c r="J796" t="s">
        <v>144</v>
      </c>
      <c r="K796" s="17">
        <v>37607755000169</v>
      </c>
      <c r="L796" s="17">
        <v>9576274000106</v>
      </c>
      <c r="M796" s="9">
        <v>336.12</v>
      </c>
      <c r="N796" t="s">
        <v>43</v>
      </c>
      <c r="Q796" s="2"/>
      <c r="R796" s="9"/>
      <c r="S796" t="s">
        <v>44</v>
      </c>
      <c r="T796" t="s">
        <v>45</v>
      </c>
      <c r="U796" s="2" t="s">
        <v>585</v>
      </c>
      <c r="V796" s="9" t="s">
        <v>3056</v>
      </c>
      <c r="W796">
        <v>4.1260837607755001E+43</v>
      </c>
      <c r="X796" t="s">
        <v>46</v>
      </c>
      <c r="Y796" s="2" t="s">
        <v>717</v>
      </c>
      <c r="Z796" s="2" t="s">
        <v>718</v>
      </c>
      <c r="AA796" s="9" t="s">
        <v>715</v>
      </c>
      <c r="AC796" s="2"/>
      <c r="AD796" t="s">
        <v>7</v>
      </c>
      <c r="AE796" t="s">
        <v>3057</v>
      </c>
    </row>
    <row r="797" spans="1:31" x14ac:dyDescent="0.3">
      <c r="A797" s="17">
        <v>90739624000118</v>
      </c>
      <c r="B797" t="s">
        <v>11</v>
      </c>
      <c r="D797" t="s">
        <v>26</v>
      </c>
      <c r="E797" t="s">
        <v>2</v>
      </c>
      <c r="F797">
        <v>269308</v>
      </c>
      <c r="G797" s="1" t="s">
        <v>3058</v>
      </c>
      <c r="H797">
        <v>24819647</v>
      </c>
      <c r="I797">
        <v>137669</v>
      </c>
      <c r="J797" t="s">
        <v>27</v>
      </c>
      <c r="K797" s="17">
        <v>2031363000110</v>
      </c>
      <c r="L797" s="17">
        <v>90739624001947</v>
      </c>
      <c r="M797" s="9">
        <v>202.74</v>
      </c>
      <c r="N797" t="s">
        <v>43</v>
      </c>
      <c r="Q797" s="2"/>
      <c r="R797" s="9"/>
      <c r="S797" t="s">
        <v>44</v>
      </c>
      <c r="T797" t="s">
        <v>45</v>
      </c>
      <c r="U797" s="2" t="s">
        <v>585</v>
      </c>
      <c r="V797" s="9" t="s">
        <v>3059</v>
      </c>
      <c r="W797">
        <v>5.2260802031363001E+43</v>
      </c>
      <c r="X797" t="s">
        <v>46</v>
      </c>
      <c r="Y797" s="2" t="s">
        <v>717</v>
      </c>
      <c r="Z797" s="2" t="s">
        <v>718</v>
      </c>
      <c r="AA797" s="9" t="s">
        <v>715</v>
      </c>
      <c r="AC797" s="2"/>
      <c r="AD797" t="s">
        <v>7</v>
      </c>
      <c r="AE797" t="s">
        <v>3060</v>
      </c>
    </row>
    <row r="798" spans="1:31" x14ac:dyDescent="0.3">
      <c r="A798" s="17">
        <v>90739624000118</v>
      </c>
      <c r="B798" t="s">
        <v>170</v>
      </c>
      <c r="D798" t="s">
        <v>177</v>
      </c>
      <c r="E798" t="s">
        <v>2</v>
      </c>
      <c r="F798">
        <v>269308</v>
      </c>
      <c r="G798" s="1" t="s">
        <v>3061</v>
      </c>
      <c r="H798">
        <v>24819644</v>
      </c>
      <c r="I798">
        <v>47461</v>
      </c>
      <c r="J798" t="s">
        <v>171</v>
      </c>
      <c r="K798" s="17">
        <v>14631967000186</v>
      </c>
      <c r="L798" s="17">
        <v>90739624001432</v>
      </c>
      <c r="M798" s="9">
        <v>281.36</v>
      </c>
      <c r="N798" t="s">
        <v>43</v>
      </c>
      <c r="Q798" s="2"/>
      <c r="R798" s="9"/>
      <c r="S798" t="s">
        <v>44</v>
      </c>
      <c r="T798" t="s">
        <v>45</v>
      </c>
      <c r="U798" s="2" t="s">
        <v>585</v>
      </c>
      <c r="V798" s="9" t="s">
        <v>3062</v>
      </c>
      <c r="W798">
        <v>4.2260814631966998E+43</v>
      </c>
      <c r="X798" t="s">
        <v>46</v>
      </c>
      <c r="Y798" s="2" t="s">
        <v>717</v>
      </c>
      <c r="Z798" s="2" t="s">
        <v>718</v>
      </c>
      <c r="AA798" s="9" t="s">
        <v>715</v>
      </c>
      <c r="AC798" s="2"/>
      <c r="AD798" t="s">
        <v>7</v>
      </c>
      <c r="AE798" t="s">
        <v>3063</v>
      </c>
    </row>
    <row r="799" spans="1:31" x14ac:dyDescent="0.3">
      <c r="A799" s="17">
        <v>90739624000118</v>
      </c>
      <c r="B799" t="s">
        <v>49</v>
      </c>
      <c r="C799">
        <v>23846</v>
      </c>
      <c r="D799" t="s">
        <v>597</v>
      </c>
      <c r="E799" t="s">
        <v>2</v>
      </c>
      <c r="F799">
        <v>269308</v>
      </c>
      <c r="G799" s="1" t="s">
        <v>3064</v>
      </c>
      <c r="H799">
        <v>24819514</v>
      </c>
      <c r="I799">
        <v>162868</v>
      </c>
      <c r="J799" t="s">
        <v>51</v>
      </c>
      <c r="K799" s="17">
        <v>2763612000161</v>
      </c>
      <c r="L799" s="17">
        <v>90739624003133</v>
      </c>
      <c r="M799" s="9">
        <v>227.66</v>
      </c>
      <c r="N799" t="s">
        <v>43</v>
      </c>
      <c r="Q799" s="2"/>
      <c r="R799" s="9"/>
      <c r="S799" t="s">
        <v>44</v>
      </c>
      <c r="T799" t="s">
        <v>45</v>
      </c>
      <c r="U799" s="2" t="s">
        <v>585</v>
      </c>
      <c r="V799" s="9" t="s">
        <v>3065</v>
      </c>
      <c r="W799">
        <v>4.1260802763612002E+43</v>
      </c>
      <c r="X799" t="s">
        <v>46</v>
      </c>
      <c r="Y799" s="2" t="s">
        <v>717</v>
      </c>
      <c r="Z799" s="2" t="s">
        <v>718</v>
      </c>
      <c r="AA799" s="9" t="s">
        <v>715</v>
      </c>
      <c r="AC799" s="2"/>
      <c r="AD799" t="s">
        <v>7</v>
      </c>
      <c r="AE799" t="s">
        <v>3066</v>
      </c>
    </row>
    <row r="800" spans="1:31" x14ac:dyDescent="0.3">
      <c r="A800" s="17">
        <v>90739624000118</v>
      </c>
      <c r="B800" t="s">
        <v>174</v>
      </c>
      <c r="D800" t="s">
        <v>543</v>
      </c>
      <c r="E800" t="s">
        <v>2</v>
      </c>
      <c r="F800">
        <v>269308</v>
      </c>
      <c r="G800" s="1" t="s">
        <v>3067</v>
      </c>
      <c r="H800">
        <v>24819406</v>
      </c>
      <c r="I800">
        <v>99044</v>
      </c>
      <c r="J800" t="s">
        <v>176</v>
      </c>
      <c r="K800" s="17">
        <v>4219621000111</v>
      </c>
      <c r="L800" s="17">
        <v>90739624000118</v>
      </c>
      <c r="M800" s="9">
        <v>268.57</v>
      </c>
      <c r="N800" t="s">
        <v>43</v>
      </c>
      <c r="Q800" s="2"/>
      <c r="R800" s="9"/>
      <c r="S800" t="s">
        <v>44</v>
      </c>
      <c r="T800" t="s">
        <v>45</v>
      </c>
      <c r="U800" s="2" t="s">
        <v>695</v>
      </c>
      <c r="V800" s="9" t="s">
        <v>3068</v>
      </c>
      <c r="W800">
        <v>1.7260804219621001E+43</v>
      </c>
      <c r="X800" t="s">
        <v>46</v>
      </c>
      <c r="Y800" s="2" t="s">
        <v>717</v>
      </c>
      <c r="Z800" s="2" t="s">
        <v>718</v>
      </c>
      <c r="AA800" s="9" t="s">
        <v>715</v>
      </c>
      <c r="AC800" s="2"/>
      <c r="AD800" t="s">
        <v>7</v>
      </c>
      <c r="AE800" t="s">
        <v>3069</v>
      </c>
    </row>
    <row r="801" spans="1:31" x14ac:dyDescent="0.3">
      <c r="A801" s="17">
        <v>90739624000118</v>
      </c>
      <c r="B801" t="s">
        <v>11</v>
      </c>
      <c r="D801" t="s">
        <v>247</v>
      </c>
      <c r="E801" t="s">
        <v>2</v>
      </c>
      <c r="F801">
        <v>269308</v>
      </c>
      <c r="G801" s="1" t="s">
        <v>3070</v>
      </c>
      <c r="H801">
        <v>24819395</v>
      </c>
      <c r="I801">
        <v>137668</v>
      </c>
      <c r="J801" t="s">
        <v>27</v>
      </c>
      <c r="K801" s="17">
        <v>2031363000110</v>
      </c>
      <c r="L801" s="17">
        <v>90739624001947</v>
      </c>
      <c r="M801" s="9">
        <v>308.13</v>
      </c>
      <c r="N801" t="s">
        <v>43</v>
      </c>
      <c r="Q801" s="2"/>
      <c r="R801" s="9"/>
      <c r="S801" t="s">
        <v>44</v>
      </c>
      <c r="T801" t="s">
        <v>45</v>
      </c>
      <c r="U801" s="2" t="s">
        <v>585</v>
      </c>
      <c r="V801" s="9" t="s">
        <v>3071</v>
      </c>
      <c r="W801">
        <v>5.2260802031363001E+43</v>
      </c>
      <c r="X801" t="s">
        <v>46</v>
      </c>
      <c r="Y801" s="2" t="s">
        <v>717</v>
      </c>
      <c r="Z801" s="2" t="s">
        <v>718</v>
      </c>
      <c r="AA801" s="9" t="s">
        <v>715</v>
      </c>
      <c r="AC801" s="2"/>
      <c r="AD801" t="s">
        <v>7</v>
      </c>
      <c r="AE801" t="s">
        <v>3072</v>
      </c>
    </row>
    <row r="802" spans="1:31" x14ac:dyDescent="0.3">
      <c r="A802" s="17">
        <v>90739624000118</v>
      </c>
      <c r="B802" t="s">
        <v>160</v>
      </c>
      <c r="D802" t="s">
        <v>3073</v>
      </c>
      <c r="E802" t="s">
        <v>2</v>
      </c>
      <c r="F802">
        <v>269308</v>
      </c>
      <c r="G802" s="1" t="s">
        <v>3074</v>
      </c>
      <c r="H802">
        <v>24819229</v>
      </c>
      <c r="I802">
        <v>28639</v>
      </c>
      <c r="J802" t="s">
        <v>127</v>
      </c>
      <c r="K802" s="17">
        <v>76493295000147</v>
      </c>
      <c r="L802" s="17">
        <v>9576274000106</v>
      </c>
      <c r="M802" s="9">
        <v>284.95</v>
      </c>
      <c r="N802" t="s">
        <v>43</v>
      </c>
      <c r="Q802" s="2"/>
      <c r="R802" s="9"/>
      <c r="S802" t="s">
        <v>44</v>
      </c>
      <c r="T802" t="s">
        <v>45</v>
      </c>
      <c r="U802" s="2" t="s">
        <v>585</v>
      </c>
      <c r="V802" s="9" t="s">
        <v>3075</v>
      </c>
      <c r="W802">
        <v>4.1260876493295002E+43</v>
      </c>
      <c r="X802" t="s">
        <v>46</v>
      </c>
      <c r="Y802" s="2" t="s">
        <v>717</v>
      </c>
      <c r="Z802" s="2" t="s">
        <v>718</v>
      </c>
      <c r="AA802" s="9" t="s">
        <v>715</v>
      </c>
      <c r="AC802" s="2"/>
      <c r="AD802" t="s">
        <v>7</v>
      </c>
      <c r="AE802" t="s">
        <v>3076</v>
      </c>
    </row>
    <row r="803" spans="1:31" x14ac:dyDescent="0.3">
      <c r="A803" s="17">
        <v>90739624000118</v>
      </c>
      <c r="B803" t="s">
        <v>49</v>
      </c>
      <c r="C803">
        <v>21999</v>
      </c>
      <c r="D803" t="s">
        <v>223</v>
      </c>
      <c r="E803" t="s">
        <v>2</v>
      </c>
      <c r="F803">
        <v>269308</v>
      </c>
      <c r="G803" s="1" t="s">
        <v>3077</v>
      </c>
      <c r="H803">
        <v>24819223</v>
      </c>
      <c r="I803">
        <v>162866</v>
      </c>
      <c r="J803" t="s">
        <v>51</v>
      </c>
      <c r="K803" s="17">
        <v>2763612000161</v>
      </c>
      <c r="L803" s="17">
        <v>90739624003133</v>
      </c>
      <c r="M803" s="9">
        <v>246.39</v>
      </c>
      <c r="N803" t="s">
        <v>43</v>
      </c>
      <c r="Q803" s="2"/>
      <c r="R803" s="9"/>
      <c r="S803" t="s">
        <v>44</v>
      </c>
      <c r="T803" t="s">
        <v>45</v>
      </c>
      <c r="U803" s="2" t="s">
        <v>585</v>
      </c>
      <c r="V803" s="9" t="s">
        <v>3078</v>
      </c>
      <c r="W803">
        <v>4.1260802763612002E+43</v>
      </c>
      <c r="X803" t="s">
        <v>46</v>
      </c>
      <c r="Y803" s="2" t="s">
        <v>717</v>
      </c>
      <c r="Z803" s="2" t="s">
        <v>718</v>
      </c>
      <c r="AA803" s="9" t="s">
        <v>715</v>
      </c>
      <c r="AC803" s="2"/>
      <c r="AD803" t="s">
        <v>7</v>
      </c>
      <c r="AE803" t="s">
        <v>3079</v>
      </c>
    </row>
    <row r="804" spans="1:31" x14ac:dyDescent="0.3">
      <c r="A804" s="17">
        <v>90739624000118</v>
      </c>
      <c r="B804" t="s">
        <v>31</v>
      </c>
      <c r="D804" t="s">
        <v>172</v>
      </c>
      <c r="E804" t="s">
        <v>2</v>
      </c>
      <c r="F804">
        <v>269308</v>
      </c>
      <c r="G804" s="1" t="s">
        <v>3080</v>
      </c>
      <c r="H804">
        <v>24817596</v>
      </c>
      <c r="J804" t="s">
        <v>32</v>
      </c>
      <c r="K804" s="17">
        <v>9001879002619</v>
      </c>
      <c r="L804" s="17"/>
      <c r="M804" s="9">
        <v>443.73</v>
      </c>
      <c r="N804" t="s">
        <v>43</v>
      </c>
      <c r="Q804" s="2"/>
      <c r="R804" s="9"/>
      <c r="S804" t="s">
        <v>87</v>
      </c>
      <c r="U804" s="2"/>
      <c r="V804" s="9"/>
      <c r="X804" t="s">
        <v>88</v>
      </c>
      <c r="Y804" s="2" t="s">
        <v>717</v>
      </c>
      <c r="Z804" s="2" t="s">
        <v>718</v>
      </c>
      <c r="AA804" s="9" t="s">
        <v>715</v>
      </c>
      <c r="AC804" s="2"/>
      <c r="AD804" t="s">
        <v>7</v>
      </c>
    </row>
    <row r="805" spans="1:31" x14ac:dyDescent="0.3">
      <c r="A805" s="17">
        <v>90739624000118</v>
      </c>
      <c r="B805" t="s">
        <v>49</v>
      </c>
      <c r="D805" t="s">
        <v>50</v>
      </c>
      <c r="E805" t="s">
        <v>17</v>
      </c>
      <c r="F805">
        <v>269308</v>
      </c>
      <c r="G805" s="1" t="s">
        <v>3082</v>
      </c>
      <c r="H805">
        <v>24817153</v>
      </c>
      <c r="I805">
        <v>162864</v>
      </c>
      <c r="J805" t="s">
        <v>51</v>
      </c>
      <c r="K805" s="17">
        <v>2763612000161</v>
      </c>
      <c r="L805" s="17">
        <v>90739624003133</v>
      </c>
      <c r="M805" s="9">
        <v>20.7</v>
      </c>
      <c r="N805" t="s">
        <v>43</v>
      </c>
      <c r="Q805" s="2"/>
      <c r="R805" s="9"/>
      <c r="S805" t="s">
        <v>44</v>
      </c>
      <c r="T805" t="s">
        <v>45</v>
      </c>
      <c r="U805" s="2" t="s">
        <v>585</v>
      </c>
      <c r="V805" s="9" t="s">
        <v>3083</v>
      </c>
      <c r="W805">
        <v>4.1260802763612002E+43</v>
      </c>
      <c r="X805" t="s">
        <v>46</v>
      </c>
      <c r="Y805" s="2" t="s">
        <v>717</v>
      </c>
      <c r="Z805" s="2" t="s">
        <v>718</v>
      </c>
      <c r="AA805" s="9" t="s">
        <v>715</v>
      </c>
      <c r="AC805" s="2"/>
      <c r="AD805" t="s">
        <v>7</v>
      </c>
      <c r="AE805" t="s">
        <v>3084</v>
      </c>
    </row>
    <row r="806" spans="1:31" x14ac:dyDescent="0.3">
      <c r="A806" s="17">
        <v>90739624000118</v>
      </c>
      <c r="B806" t="s">
        <v>49</v>
      </c>
      <c r="D806" t="s">
        <v>50</v>
      </c>
      <c r="E806" t="s">
        <v>2</v>
      </c>
      <c r="F806">
        <v>269308</v>
      </c>
      <c r="G806" s="1" t="s">
        <v>3085</v>
      </c>
      <c r="H806">
        <v>24817082</v>
      </c>
      <c r="I806">
        <v>162863</v>
      </c>
      <c r="J806" t="s">
        <v>51</v>
      </c>
      <c r="K806" s="17">
        <v>2763612000161</v>
      </c>
      <c r="L806" s="17">
        <v>90739624003133</v>
      </c>
      <c r="M806" s="9">
        <v>197.99</v>
      </c>
      <c r="N806" t="s">
        <v>43</v>
      </c>
      <c r="Q806" s="2"/>
      <c r="R806" s="9"/>
      <c r="S806" t="s">
        <v>44</v>
      </c>
      <c r="T806" t="s">
        <v>45</v>
      </c>
      <c r="U806" s="2" t="s">
        <v>585</v>
      </c>
      <c r="V806" s="9" t="s">
        <v>3086</v>
      </c>
      <c r="W806">
        <v>4.1260802763612002E+43</v>
      </c>
      <c r="X806" t="s">
        <v>46</v>
      </c>
      <c r="Y806" s="2" t="s">
        <v>717</v>
      </c>
      <c r="Z806" s="2" t="s">
        <v>718</v>
      </c>
      <c r="AA806" s="9" t="s">
        <v>715</v>
      </c>
      <c r="AC806" s="2"/>
      <c r="AD806" t="s">
        <v>7</v>
      </c>
      <c r="AE806" t="s">
        <v>3087</v>
      </c>
    </row>
    <row r="807" spans="1:31" x14ac:dyDescent="0.3">
      <c r="A807" s="17">
        <v>90739624000118</v>
      </c>
      <c r="B807" t="s">
        <v>100</v>
      </c>
      <c r="D807" t="s">
        <v>101</v>
      </c>
      <c r="E807" t="s">
        <v>2</v>
      </c>
      <c r="F807">
        <v>269308</v>
      </c>
      <c r="G807" s="1" t="s">
        <v>3088</v>
      </c>
      <c r="H807">
        <v>24816997</v>
      </c>
      <c r="I807">
        <v>11583</v>
      </c>
      <c r="J807" t="s">
        <v>143</v>
      </c>
      <c r="K807" s="17">
        <v>4505289000151</v>
      </c>
      <c r="L807" s="17">
        <v>90739624001866</v>
      </c>
      <c r="M807" s="9">
        <v>148.96</v>
      </c>
      <c r="N807" t="s">
        <v>43</v>
      </c>
      <c r="Q807" s="2"/>
      <c r="R807" s="9"/>
      <c r="S807" t="s">
        <v>44</v>
      </c>
      <c r="T807" t="s">
        <v>45</v>
      </c>
      <c r="U807" s="2" t="s">
        <v>585</v>
      </c>
      <c r="V807" s="9" t="s">
        <v>3089</v>
      </c>
      <c r="W807">
        <v>5.1260804505289001E+43</v>
      </c>
      <c r="X807" t="s">
        <v>46</v>
      </c>
      <c r="Y807" s="2" t="s">
        <v>717</v>
      </c>
      <c r="Z807" s="2" t="s">
        <v>718</v>
      </c>
      <c r="AA807" s="9" t="s">
        <v>715</v>
      </c>
      <c r="AC807" s="2"/>
      <c r="AD807" t="s">
        <v>7</v>
      </c>
      <c r="AE807" t="s">
        <v>3090</v>
      </c>
    </row>
    <row r="808" spans="1:31" x14ac:dyDescent="0.3">
      <c r="A808" s="17">
        <v>90739624000118</v>
      </c>
      <c r="B808" t="s">
        <v>52</v>
      </c>
      <c r="C808">
        <v>23848</v>
      </c>
      <c r="D808" t="s">
        <v>245</v>
      </c>
      <c r="E808" t="s">
        <v>2</v>
      </c>
      <c r="F808">
        <v>269308</v>
      </c>
      <c r="G808" s="1" t="s">
        <v>3091</v>
      </c>
      <c r="H808">
        <v>24816212</v>
      </c>
      <c r="I808">
        <v>40677</v>
      </c>
      <c r="J808" t="s">
        <v>545</v>
      </c>
      <c r="K808" s="17">
        <v>30429333000282</v>
      </c>
      <c r="L808" s="17">
        <v>9576274000106</v>
      </c>
      <c r="M808" s="9">
        <v>204.99</v>
      </c>
      <c r="N808" t="s">
        <v>43</v>
      </c>
      <c r="Q808" s="2"/>
      <c r="R808" s="9"/>
      <c r="S808" t="s">
        <v>44</v>
      </c>
      <c r="T808" t="s">
        <v>45</v>
      </c>
      <c r="U808" s="2" t="s">
        <v>585</v>
      </c>
      <c r="V808" s="9" t="s">
        <v>3092</v>
      </c>
      <c r="W808">
        <v>4.1260830429333002E+43</v>
      </c>
      <c r="X808" t="s">
        <v>46</v>
      </c>
      <c r="Y808" s="2" t="s">
        <v>717</v>
      </c>
      <c r="Z808" s="2" t="s">
        <v>718</v>
      </c>
      <c r="AA808" s="9" t="s">
        <v>715</v>
      </c>
      <c r="AC808" s="2"/>
      <c r="AD808" t="s">
        <v>7</v>
      </c>
      <c r="AE808" t="s">
        <v>3093</v>
      </c>
    </row>
    <row r="809" spans="1:31" x14ac:dyDescent="0.3">
      <c r="A809" s="17">
        <v>90739624000118</v>
      </c>
      <c r="B809" t="s">
        <v>31</v>
      </c>
      <c r="D809" t="s">
        <v>55</v>
      </c>
      <c r="E809" t="s">
        <v>2</v>
      </c>
      <c r="F809">
        <v>269308</v>
      </c>
      <c r="G809" s="1" t="s">
        <v>3094</v>
      </c>
      <c r="H809">
        <v>24816188</v>
      </c>
      <c r="I809">
        <v>54652</v>
      </c>
      <c r="J809" t="s">
        <v>56</v>
      </c>
      <c r="K809" s="17">
        <v>8603562000212</v>
      </c>
      <c r="L809" s="17">
        <v>90739624001866</v>
      </c>
      <c r="M809" s="9">
        <v>168.72</v>
      </c>
      <c r="N809" t="s">
        <v>43</v>
      </c>
      <c r="Q809" s="2"/>
      <c r="R809" s="9"/>
      <c r="S809" t="s">
        <v>44</v>
      </c>
      <c r="T809" t="s">
        <v>45</v>
      </c>
      <c r="U809" s="2" t="s">
        <v>585</v>
      </c>
      <c r="V809" s="9" t="s">
        <v>3095</v>
      </c>
      <c r="W809">
        <v>5.1260808603562005E+43</v>
      </c>
      <c r="X809" t="s">
        <v>46</v>
      </c>
      <c r="Y809" s="2" t="s">
        <v>717</v>
      </c>
      <c r="Z809" s="2" t="s">
        <v>718</v>
      </c>
      <c r="AA809" s="9" t="s">
        <v>715</v>
      </c>
      <c r="AC809" s="2"/>
      <c r="AD809" t="s">
        <v>7</v>
      </c>
      <c r="AE809" t="s">
        <v>3096</v>
      </c>
    </row>
    <row r="810" spans="1:31" x14ac:dyDescent="0.3">
      <c r="A810" s="17">
        <v>90739624000118</v>
      </c>
      <c r="B810" t="s">
        <v>25</v>
      </c>
      <c r="D810" t="s">
        <v>563</v>
      </c>
      <c r="E810" t="s">
        <v>2</v>
      </c>
      <c r="F810">
        <v>269308</v>
      </c>
      <c r="G810" s="1" t="s">
        <v>3097</v>
      </c>
      <c r="H810">
        <v>24815590</v>
      </c>
      <c r="I810">
        <v>342147</v>
      </c>
      <c r="J810" t="s">
        <v>236</v>
      </c>
      <c r="K810" s="17">
        <v>17084739000121</v>
      </c>
      <c r="L810" s="17">
        <v>90739624001866</v>
      </c>
      <c r="M810" s="9">
        <v>143.91</v>
      </c>
      <c r="N810" t="s">
        <v>43</v>
      </c>
      <c r="Q810" s="2"/>
      <c r="R810" s="9"/>
      <c r="S810" t="s">
        <v>44</v>
      </c>
      <c r="T810" t="s">
        <v>45</v>
      </c>
      <c r="U810" s="2" t="s">
        <v>585</v>
      </c>
      <c r="V810" s="9" t="s">
        <v>3098</v>
      </c>
      <c r="W810">
        <v>5.1260817084738999E+43</v>
      </c>
      <c r="X810" t="s">
        <v>46</v>
      </c>
      <c r="Y810" s="2" t="s">
        <v>717</v>
      </c>
      <c r="Z810" s="2" t="s">
        <v>718</v>
      </c>
      <c r="AA810" s="9" t="s">
        <v>715</v>
      </c>
      <c r="AC810" s="2"/>
      <c r="AD810" t="s">
        <v>7</v>
      </c>
      <c r="AE810" t="s">
        <v>3099</v>
      </c>
    </row>
    <row r="811" spans="1:31" x14ac:dyDescent="0.3">
      <c r="A811" s="17">
        <v>90739624000118</v>
      </c>
      <c r="B811" t="s">
        <v>11</v>
      </c>
      <c r="D811" t="s">
        <v>138</v>
      </c>
      <c r="E811" t="s">
        <v>2</v>
      </c>
      <c r="F811">
        <v>269308</v>
      </c>
      <c r="G811" s="1" t="s">
        <v>3100</v>
      </c>
      <c r="H811">
        <v>24815373</v>
      </c>
      <c r="I811">
        <v>4411</v>
      </c>
      <c r="J811" t="s">
        <v>95</v>
      </c>
      <c r="K811" s="17">
        <v>37489429000102</v>
      </c>
      <c r="L811" s="17">
        <v>90739624001947</v>
      </c>
      <c r="M811" s="9">
        <v>192.86</v>
      </c>
      <c r="N811" t="s">
        <v>43</v>
      </c>
      <c r="Q811" s="2"/>
      <c r="R811" s="9"/>
      <c r="S811" t="s">
        <v>44</v>
      </c>
      <c r="T811" t="s">
        <v>45</v>
      </c>
      <c r="U811" s="2" t="s">
        <v>585</v>
      </c>
      <c r="V811" s="9" t="s">
        <v>3101</v>
      </c>
      <c r="W811">
        <v>5.2260837489428997E+43</v>
      </c>
      <c r="X811" t="s">
        <v>46</v>
      </c>
      <c r="Y811" s="2" t="s">
        <v>717</v>
      </c>
      <c r="Z811" s="2" t="s">
        <v>718</v>
      </c>
      <c r="AA811" s="9" t="s">
        <v>715</v>
      </c>
      <c r="AC811" s="2"/>
      <c r="AD811" t="s">
        <v>7</v>
      </c>
      <c r="AE811" t="s">
        <v>3102</v>
      </c>
    </row>
    <row r="812" spans="1:31" x14ac:dyDescent="0.3">
      <c r="A812" s="17">
        <v>90739624000118</v>
      </c>
      <c r="B812" t="s">
        <v>63</v>
      </c>
      <c r="D812" t="s">
        <v>270</v>
      </c>
      <c r="E812" t="s">
        <v>2</v>
      </c>
      <c r="F812">
        <v>269308</v>
      </c>
      <c r="G812" s="1" t="s">
        <v>3103</v>
      </c>
      <c r="H812">
        <v>24814077</v>
      </c>
      <c r="I812">
        <v>178861</v>
      </c>
      <c r="J812" t="s">
        <v>64</v>
      </c>
      <c r="K812" s="17">
        <v>23448964001921</v>
      </c>
      <c r="L812" s="17">
        <v>90739624001432</v>
      </c>
      <c r="M812" s="9">
        <v>272.56</v>
      </c>
      <c r="N812" t="s">
        <v>43</v>
      </c>
      <c r="Q812" s="2"/>
      <c r="R812" s="9"/>
      <c r="S812" t="s">
        <v>44</v>
      </c>
      <c r="T812" t="s">
        <v>45</v>
      </c>
      <c r="U812" s="2" t="s">
        <v>585</v>
      </c>
      <c r="V812" s="9" t="s">
        <v>3104</v>
      </c>
      <c r="W812">
        <v>4.2260823448963998E+43</v>
      </c>
      <c r="X812" t="s">
        <v>46</v>
      </c>
      <c r="Y812" s="2" t="s">
        <v>717</v>
      </c>
      <c r="Z812" s="2" t="s">
        <v>718</v>
      </c>
      <c r="AA812" s="9" t="s">
        <v>715</v>
      </c>
      <c r="AC812" s="2"/>
      <c r="AD812" t="s">
        <v>7</v>
      </c>
      <c r="AE812" t="s">
        <v>3105</v>
      </c>
    </row>
    <row r="813" spans="1:31" x14ac:dyDescent="0.3">
      <c r="A813" s="17">
        <v>90739624000118</v>
      </c>
      <c r="B813" t="s">
        <v>61</v>
      </c>
      <c r="D813" t="s">
        <v>638</v>
      </c>
      <c r="E813" t="s">
        <v>2</v>
      </c>
      <c r="F813">
        <v>269308</v>
      </c>
      <c r="G813" s="1" t="s">
        <v>3106</v>
      </c>
      <c r="H813">
        <v>24814000</v>
      </c>
      <c r="I813">
        <v>2503</v>
      </c>
      <c r="J813" t="s">
        <v>85</v>
      </c>
      <c r="K813" s="17">
        <v>1975878000105</v>
      </c>
      <c r="L813" s="17">
        <v>9576274000106</v>
      </c>
      <c r="M813" s="9">
        <v>334.25</v>
      </c>
      <c r="N813" t="s">
        <v>43</v>
      </c>
      <c r="Q813" s="2"/>
      <c r="R813" s="9"/>
      <c r="S813" t="s">
        <v>44</v>
      </c>
      <c r="T813" t="s">
        <v>45</v>
      </c>
      <c r="U813" s="2" t="s">
        <v>585</v>
      </c>
      <c r="V813" s="9" t="s">
        <v>3107</v>
      </c>
      <c r="W813">
        <v>4.1260801975878E+43</v>
      </c>
      <c r="X813" t="s">
        <v>46</v>
      </c>
      <c r="Y813" s="2" t="s">
        <v>717</v>
      </c>
      <c r="Z813" s="2" t="s">
        <v>718</v>
      </c>
      <c r="AA813" s="9" t="s">
        <v>715</v>
      </c>
      <c r="AC813" s="2"/>
      <c r="AD813" t="s">
        <v>7</v>
      </c>
      <c r="AE813" t="s">
        <v>3108</v>
      </c>
    </row>
    <row r="814" spans="1:31" x14ac:dyDescent="0.3">
      <c r="A814" s="17">
        <v>90739624000118</v>
      </c>
      <c r="B814" t="s">
        <v>8</v>
      </c>
      <c r="D814" t="s">
        <v>238</v>
      </c>
      <c r="E814" t="s">
        <v>2</v>
      </c>
      <c r="F814">
        <v>269308</v>
      </c>
      <c r="G814" s="1" t="s">
        <v>3109</v>
      </c>
      <c r="H814">
        <v>24813965</v>
      </c>
      <c r="I814">
        <v>2958</v>
      </c>
      <c r="J814" t="s">
        <v>1394</v>
      </c>
      <c r="K814" s="17">
        <v>30858891000182</v>
      </c>
      <c r="L814" s="17">
        <v>9576274000106</v>
      </c>
      <c r="M814" s="9">
        <v>286.75</v>
      </c>
      <c r="N814" t="s">
        <v>43</v>
      </c>
      <c r="Q814" s="2"/>
      <c r="R814" s="9"/>
      <c r="S814" t="s">
        <v>44</v>
      </c>
      <c r="T814" t="s">
        <v>45</v>
      </c>
      <c r="U814" s="2" t="s">
        <v>695</v>
      </c>
      <c r="V814" s="9" t="s">
        <v>3110</v>
      </c>
      <c r="W814">
        <v>4.1260830858891E+43</v>
      </c>
      <c r="X814" t="s">
        <v>46</v>
      </c>
      <c r="Y814" s="2" t="s">
        <v>717</v>
      </c>
      <c r="Z814" s="2" t="s">
        <v>718</v>
      </c>
      <c r="AA814" s="9" t="s">
        <v>715</v>
      </c>
      <c r="AC814" s="2"/>
      <c r="AD814" t="s">
        <v>7</v>
      </c>
      <c r="AE814" t="s">
        <v>3111</v>
      </c>
    </row>
    <row r="815" spans="1:31" x14ac:dyDescent="0.3">
      <c r="A815" s="17">
        <v>90739624000118</v>
      </c>
      <c r="B815" t="s">
        <v>61</v>
      </c>
      <c r="C815">
        <v>23457</v>
      </c>
      <c r="D815" t="s">
        <v>357</v>
      </c>
      <c r="E815" t="s">
        <v>2</v>
      </c>
      <c r="F815">
        <v>269308</v>
      </c>
      <c r="G815" s="1" t="s">
        <v>3112</v>
      </c>
      <c r="H815">
        <v>24813943</v>
      </c>
      <c r="I815">
        <v>2502</v>
      </c>
      <c r="J815" t="s">
        <v>85</v>
      </c>
      <c r="K815" s="17">
        <v>1975878000105</v>
      </c>
      <c r="L815" s="17">
        <v>9576274000106</v>
      </c>
      <c r="M815" s="9">
        <v>413.1</v>
      </c>
      <c r="N815" t="s">
        <v>43</v>
      </c>
      <c r="Q815" s="2"/>
      <c r="R815" s="9"/>
      <c r="S815" t="s">
        <v>44</v>
      </c>
      <c r="T815" t="s">
        <v>45</v>
      </c>
      <c r="U815" s="2" t="s">
        <v>585</v>
      </c>
      <c r="V815" s="9" t="s">
        <v>3113</v>
      </c>
      <c r="W815">
        <v>4.1260801975878E+43</v>
      </c>
      <c r="X815" t="s">
        <v>46</v>
      </c>
      <c r="Y815" s="2" t="s">
        <v>717</v>
      </c>
      <c r="Z815" s="2" t="s">
        <v>718</v>
      </c>
      <c r="AA815" s="9" t="s">
        <v>715</v>
      </c>
      <c r="AC815" s="2"/>
      <c r="AD815" t="s">
        <v>7</v>
      </c>
      <c r="AE815" t="s">
        <v>3114</v>
      </c>
    </row>
    <row r="816" spans="1:31" x14ac:dyDescent="0.3">
      <c r="A816" s="17">
        <v>90739624000118</v>
      </c>
      <c r="B816" t="s">
        <v>61</v>
      </c>
      <c r="D816" t="s">
        <v>307</v>
      </c>
      <c r="E816" t="s">
        <v>2</v>
      </c>
      <c r="F816">
        <v>269308</v>
      </c>
      <c r="G816" s="1" t="s">
        <v>3115</v>
      </c>
      <c r="H816">
        <v>24813837</v>
      </c>
      <c r="I816">
        <v>2501</v>
      </c>
      <c r="J816" t="s">
        <v>85</v>
      </c>
      <c r="K816" s="17">
        <v>1975878000105</v>
      </c>
      <c r="L816" s="17">
        <v>9576274000106</v>
      </c>
      <c r="M816" s="9">
        <v>71.37</v>
      </c>
      <c r="N816" t="s">
        <v>43</v>
      </c>
      <c r="Q816" s="2"/>
      <c r="R816" s="9"/>
      <c r="S816" t="s">
        <v>44</v>
      </c>
      <c r="T816" t="s">
        <v>45</v>
      </c>
      <c r="U816" s="2" t="s">
        <v>585</v>
      </c>
      <c r="V816" s="9" t="s">
        <v>3116</v>
      </c>
      <c r="W816">
        <v>4.1260801975878E+43</v>
      </c>
      <c r="X816" t="s">
        <v>46</v>
      </c>
      <c r="Y816" s="2" t="s">
        <v>717</v>
      </c>
      <c r="Z816" s="2" t="s">
        <v>718</v>
      </c>
      <c r="AA816" s="9" t="s">
        <v>715</v>
      </c>
      <c r="AC816" s="2"/>
      <c r="AD816" t="s">
        <v>7</v>
      </c>
      <c r="AE816" t="s">
        <v>3117</v>
      </c>
    </row>
    <row r="817" spans="1:31" x14ac:dyDescent="0.3">
      <c r="A817" s="17">
        <v>90739624000118</v>
      </c>
      <c r="B817" t="s">
        <v>61</v>
      </c>
      <c r="D817" t="s">
        <v>530</v>
      </c>
      <c r="E817" t="s">
        <v>2</v>
      </c>
      <c r="F817">
        <v>269308</v>
      </c>
      <c r="G817" s="1" t="s">
        <v>3118</v>
      </c>
      <c r="H817">
        <v>24813626</v>
      </c>
      <c r="I817">
        <v>2500</v>
      </c>
      <c r="J817" t="s">
        <v>85</v>
      </c>
      <c r="K817" s="17">
        <v>1975878000105</v>
      </c>
      <c r="L817" s="17">
        <v>9576274000106</v>
      </c>
      <c r="M817" s="9">
        <v>533.1</v>
      </c>
      <c r="N817" t="s">
        <v>43</v>
      </c>
      <c r="Q817" s="2"/>
      <c r="R817" s="9"/>
      <c r="S817" t="s">
        <v>44</v>
      </c>
      <c r="T817" t="s">
        <v>45</v>
      </c>
      <c r="U817" s="2" t="s">
        <v>585</v>
      </c>
      <c r="V817" s="9" t="s">
        <v>3119</v>
      </c>
      <c r="W817">
        <v>4.1260801975878E+43</v>
      </c>
      <c r="X817" t="s">
        <v>46</v>
      </c>
      <c r="Y817" s="2" t="s">
        <v>717</v>
      </c>
      <c r="Z817" s="2" t="s">
        <v>718</v>
      </c>
      <c r="AA817" s="9" t="s">
        <v>715</v>
      </c>
      <c r="AC817" s="2"/>
      <c r="AD817" t="s">
        <v>7</v>
      </c>
      <c r="AE817" t="s">
        <v>3120</v>
      </c>
    </row>
    <row r="818" spans="1:31" x14ac:dyDescent="0.3">
      <c r="A818" s="17">
        <v>90739624000118</v>
      </c>
      <c r="B818" t="s">
        <v>33</v>
      </c>
      <c r="C818">
        <v>23456</v>
      </c>
      <c r="D818" t="s">
        <v>320</v>
      </c>
      <c r="E818" t="s">
        <v>2</v>
      </c>
      <c r="F818">
        <v>269308</v>
      </c>
      <c r="G818" s="1" t="s">
        <v>3121</v>
      </c>
      <c r="H818">
        <v>24813584</v>
      </c>
      <c r="I818">
        <v>1128</v>
      </c>
      <c r="J818" t="s">
        <v>35</v>
      </c>
      <c r="K818" s="17">
        <v>27933025000102</v>
      </c>
      <c r="L818" s="17">
        <v>9576274000106</v>
      </c>
      <c r="M818" s="9">
        <v>236.95</v>
      </c>
      <c r="N818" t="s">
        <v>43</v>
      </c>
      <c r="Q818" s="2"/>
      <c r="R818" s="9"/>
      <c r="S818" t="s">
        <v>44</v>
      </c>
      <c r="T818" t="s">
        <v>45</v>
      </c>
      <c r="U818" s="2" t="s">
        <v>583</v>
      </c>
      <c r="V818" s="9" t="s">
        <v>3122</v>
      </c>
      <c r="W818">
        <v>4.1260827933025001E+43</v>
      </c>
      <c r="X818" t="s">
        <v>46</v>
      </c>
      <c r="Y818" s="2" t="s">
        <v>717</v>
      </c>
      <c r="Z818" s="2" t="s">
        <v>718</v>
      </c>
      <c r="AA818" s="9" t="s">
        <v>715</v>
      </c>
      <c r="AC818" s="2"/>
      <c r="AD818" t="s">
        <v>7</v>
      </c>
      <c r="AE818" t="s">
        <v>3123</v>
      </c>
    </row>
    <row r="819" spans="1:31" x14ac:dyDescent="0.3">
      <c r="A819" s="17">
        <v>90739624000118</v>
      </c>
      <c r="B819" t="s">
        <v>170</v>
      </c>
      <c r="D819" t="s">
        <v>519</v>
      </c>
      <c r="E819" t="s">
        <v>2</v>
      </c>
      <c r="F819">
        <v>269308</v>
      </c>
      <c r="G819" s="1" t="s">
        <v>3124</v>
      </c>
      <c r="H819">
        <v>24813415</v>
      </c>
      <c r="I819">
        <v>129237</v>
      </c>
      <c r="J819" t="s">
        <v>178</v>
      </c>
      <c r="K819" s="17">
        <v>83392050000199</v>
      </c>
      <c r="L819" s="17">
        <v>90739624001432</v>
      </c>
      <c r="M819" s="9">
        <v>496.36</v>
      </c>
      <c r="N819" t="s">
        <v>43</v>
      </c>
      <c r="Q819" s="2"/>
      <c r="R819" s="9"/>
      <c r="S819" t="s">
        <v>44</v>
      </c>
      <c r="T819" t="s">
        <v>45</v>
      </c>
      <c r="U819" s="2" t="s">
        <v>585</v>
      </c>
      <c r="V819" s="9" t="s">
        <v>3125</v>
      </c>
      <c r="W819">
        <v>4.2260883392050001E+43</v>
      </c>
      <c r="X819" t="s">
        <v>46</v>
      </c>
      <c r="Y819" s="2" t="s">
        <v>717</v>
      </c>
      <c r="Z819" s="2" t="s">
        <v>718</v>
      </c>
      <c r="AA819" s="9" t="s">
        <v>715</v>
      </c>
      <c r="AC819" s="2"/>
      <c r="AD819" t="s">
        <v>7</v>
      </c>
      <c r="AE819" t="s">
        <v>3126</v>
      </c>
    </row>
    <row r="820" spans="1:31" x14ac:dyDescent="0.3">
      <c r="A820" s="17">
        <v>90739624000118</v>
      </c>
      <c r="B820" t="s">
        <v>73</v>
      </c>
      <c r="D820" t="s">
        <v>546</v>
      </c>
      <c r="E820" t="s">
        <v>2</v>
      </c>
      <c r="F820">
        <v>269308</v>
      </c>
      <c r="G820" s="1" t="s">
        <v>3127</v>
      </c>
      <c r="H820">
        <v>24813230</v>
      </c>
      <c r="I820">
        <v>21586</v>
      </c>
      <c r="J820" t="s">
        <v>237</v>
      </c>
      <c r="K820" s="17">
        <v>7473735006112</v>
      </c>
      <c r="L820" s="17">
        <v>90739624002323</v>
      </c>
      <c r="M820" s="9">
        <v>481.16</v>
      </c>
      <c r="N820" t="s">
        <v>43</v>
      </c>
      <c r="Q820" s="2"/>
      <c r="R820" s="9"/>
      <c r="S820" t="s">
        <v>44</v>
      </c>
      <c r="T820" t="s">
        <v>45</v>
      </c>
      <c r="U820" s="2" t="s">
        <v>585</v>
      </c>
      <c r="V820" s="9" t="s">
        <v>3128</v>
      </c>
      <c r="W820">
        <v>4.3260807473734999E+43</v>
      </c>
      <c r="X820" t="s">
        <v>46</v>
      </c>
      <c r="Y820" s="2" t="s">
        <v>717</v>
      </c>
      <c r="Z820" s="2" t="s">
        <v>718</v>
      </c>
      <c r="AA820" s="9" t="s">
        <v>715</v>
      </c>
      <c r="AC820" s="2"/>
      <c r="AD820" t="s">
        <v>7</v>
      </c>
      <c r="AE820" t="s">
        <v>3129</v>
      </c>
    </row>
    <row r="821" spans="1:31" x14ac:dyDescent="0.3">
      <c r="A821" s="17">
        <v>90739624000118</v>
      </c>
      <c r="B821" t="s">
        <v>28</v>
      </c>
      <c r="C821">
        <v>24445</v>
      </c>
      <c r="D821" t="s">
        <v>263</v>
      </c>
      <c r="E821" t="s">
        <v>2</v>
      </c>
      <c r="F821">
        <v>269308</v>
      </c>
      <c r="G821" s="1" t="s">
        <v>3130</v>
      </c>
      <c r="H821">
        <v>24813226</v>
      </c>
      <c r="I821">
        <v>38301</v>
      </c>
      <c r="J821" t="s">
        <v>209</v>
      </c>
      <c r="K821" s="17">
        <v>33360405000190</v>
      </c>
      <c r="L821" s="17">
        <v>90739624001947</v>
      </c>
      <c r="M821" s="9">
        <v>300.11</v>
      </c>
      <c r="N821" t="s">
        <v>43</v>
      </c>
      <c r="Q821" s="2"/>
      <c r="R821" s="9"/>
      <c r="S821" t="s">
        <v>44</v>
      </c>
      <c r="T821" t="s">
        <v>45</v>
      </c>
      <c r="U821" s="2" t="s">
        <v>585</v>
      </c>
      <c r="V821" s="9" t="s">
        <v>679</v>
      </c>
      <c r="W821">
        <v>5.2260833360404998E+43</v>
      </c>
      <c r="X821" t="s">
        <v>46</v>
      </c>
      <c r="Y821" s="2" t="s">
        <v>717</v>
      </c>
      <c r="Z821" s="2" t="s">
        <v>718</v>
      </c>
      <c r="AA821" s="9" t="s">
        <v>715</v>
      </c>
      <c r="AC821" s="2"/>
      <c r="AD821" t="s">
        <v>7</v>
      </c>
      <c r="AE821" t="s">
        <v>3131</v>
      </c>
    </row>
    <row r="822" spans="1:31" x14ac:dyDescent="0.3">
      <c r="A822" s="17">
        <v>90739624000118</v>
      </c>
      <c r="B822" t="s">
        <v>31</v>
      </c>
      <c r="D822" t="s">
        <v>280</v>
      </c>
      <c r="E822" t="s">
        <v>2</v>
      </c>
      <c r="F822">
        <v>269308</v>
      </c>
      <c r="G822" s="1" t="s">
        <v>3132</v>
      </c>
      <c r="H822">
        <v>24813198</v>
      </c>
      <c r="I822">
        <v>54656</v>
      </c>
      <c r="J822" t="s">
        <v>56</v>
      </c>
      <c r="K822" s="17">
        <v>8603562000212</v>
      </c>
      <c r="L822" s="17">
        <v>90739624001866</v>
      </c>
      <c r="M822" s="9">
        <v>94.58</v>
      </c>
      <c r="N822" t="s">
        <v>43</v>
      </c>
      <c r="Q822" s="2"/>
      <c r="R822" s="9"/>
      <c r="S822" t="s">
        <v>44</v>
      </c>
      <c r="T822" t="s">
        <v>45</v>
      </c>
      <c r="U822" s="2" t="s">
        <v>585</v>
      </c>
      <c r="V822" s="9" t="s">
        <v>3133</v>
      </c>
      <c r="W822">
        <v>5.1260808603562005E+43</v>
      </c>
      <c r="X822" t="s">
        <v>46</v>
      </c>
      <c r="Y822" s="2" t="s">
        <v>717</v>
      </c>
      <c r="Z822" s="2" t="s">
        <v>718</v>
      </c>
      <c r="AA822" s="9" t="s">
        <v>715</v>
      </c>
      <c r="AC822" s="2"/>
      <c r="AD822" t="s">
        <v>7</v>
      </c>
      <c r="AE822" t="s">
        <v>3134</v>
      </c>
    </row>
    <row r="823" spans="1:31" x14ac:dyDescent="0.3">
      <c r="A823" s="17">
        <v>90739624000118</v>
      </c>
      <c r="B823" t="s">
        <v>13</v>
      </c>
      <c r="C823">
        <v>24494</v>
      </c>
      <c r="D823" t="s">
        <v>397</v>
      </c>
      <c r="E823" t="s">
        <v>2</v>
      </c>
      <c r="F823">
        <v>269308</v>
      </c>
      <c r="G823" s="1" t="s">
        <v>3135</v>
      </c>
      <c r="H823">
        <v>24813141</v>
      </c>
      <c r="J823" t="s">
        <v>15</v>
      </c>
      <c r="K823" s="17">
        <v>30432373000100</v>
      </c>
      <c r="L823" s="17"/>
      <c r="M823" s="9">
        <v>464.18</v>
      </c>
      <c r="N823" t="s">
        <v>43</v>
      </c>
      <c r="Q823" s="2"/>
      <c r="R823" s="9"/>
      <c r="S823" t="s">
        <v>87</v>
      </c>
      <c r="U823" s="2"/>
      <c r="V823" s="9"/>
      <c r="X823" t="s">
        <v>88</v>
      </c>
      <c r="Y823" s="2" t="s">
        <v>717</v>
      </c>
      <c r="Z823" s="2" t="s">
        <v>718</v>
      </c>
      <c r="AA823" s="9" t="s">
        <v>715</v>
      </c>
      <c r="AC823" s="2"/>
      <c r="AD823" t="s">
        <v>7</v>
      </c>
    </row>
    <row r="824" spans="1:31" x14ac:dyDescent="0.3">
      <c r="A824" s="17">
        <v>90739624000118</v>
      </c>
      <c r="B824" t="s">
        <v>61</v>
      </c>
      <c r="D824" t="s">
        <v>686</v>
      </c>
      <c r="E824" t="s">
        <v>2</v>
      </c>
      <c r="F824">
        <v>269308</v>
      </c>
      <c r="G824" s="1" t="s">
        <v>3137</v>
      </c>
      <c r="H824">
        <v>24813123</v>
      </c>
      <c r="I824">
        <v>820020</v>
      </c>
      <c r="J824" t="s">
        <v>62</v>
      </c>
      <c r="K824" s="17">
        <v>79964177000591</v>
      </c>
      <c r="L824" s="17">
        <v>9576274000106</v>
      </c>
      <c r="M824" s="9">
        <v>675.58</v>
      </c>
      <c r="N824" t="s">
        <v>43</v>
      </c>
      <c r="Q824" s="2"/>
      <c r="R824" s="9"/>
      <c r="S824" t="s">
        <v>44</v>
      </c>
      <c r="T824" t="s">
        <v>45</v>
      </c>
      <c r="U824" s="2" t="s">
        <v>585</v>
      </c>
      <c r="V824" s="9" t="s">
        <v>3138</v>
      </c>
      <c r="W824">
        <v>4.1260879964176998E+43</v>
      </c>
      <c r="X824" t="s">
        <v>46</v>
      </c>
      <c r="Y824" s="2" t="s">
        <v>717</v>
      </c>
      <c r="Z824" s="2" t="s">
        <v>718</v>
      </c>
      <c r="AA824" s="9" t="s">
        <v>715</v>
      </c>
      <c r="AC824" s="2"/>
      <c r="AD824" t="s">
        <v>7</v>
      </c>
      <c r="AE824" t="s">
        <v>3139</v>
      </c>
    </row>
    <row r="825" spans="1:31" x14ac:dyDescent="0.3">
      <c r="A825" s="17">
        <v>90739624000118</v>
      </c>
      <c r="B825" t="s">
        <v>61</v>
      </c>
      <c r="C825">
        <v>21638</v>
      </c>
      <c r="D825" t="s">
        <v>637</v>
      </c>
      <c r="E825" t="s">
        <v>2</v>
      </c>
      <c r="F825">
        <v>269308</v>
      </c>
      <c r="G825" s="1" t="s">
        <v>3140</v>
      </c>
      <c r="H825">
        <v>24813091</v>
      </c>
      <c r="I825">
        <v>2499</v>
      </c>
      <c r="J825" t="s">
        <v>85</v>
      </c>
      <c r="K825" s="17">
        <v>1975878000105</v>
      </c>
      <c r="L825" s="17">
        <v>9576274000106</v>
      </c>
      <c r="M825" s="9">
        <v>409.4</v>
      </c>
      <c r="N825" t="s">
        <v>43</v>
      </c>
      <c r="Q825" s="2"/>
      <c r="R825" s="9"/>
      <c r="S825" t="s">
        <v>44</v>
      </c>
      <c r="T825" t="s">
        <v>45</v>
      </c>
      <c r="U825" s="2" t="s">
        <v>585</v>
      </c>
      <c r="V825" s="9" t="s">
        <v>3141</v>
      </c>
      <c r="W825">
        <v>4.1260801975878E+43</v>
      </c>
      <c r="X825" t="s">
        <v>46</v>
      </c>
      <c r="Y825" s="2" t="s">
        <v>717</v>
      </c>
      <c r="Z825" s="2" t="s">
        <v>718</v>
      </c>
      <c r="AA825" s="9" t="s">
        <v>715</v>
      </c>
      <c r="AC825" s="2"/>
      <c r="AD825" t="s">
        <v>7</v>
      </c>
      <c r="AE825" t="s">
        <v>3142</v>
      </c>
    </row>
    <row r="826" spans="1:31" x14ac:dyDescent="0.3">
      <c r="A826" s="17">
        <v>90739624000118</v>
      </c>
      <c r="B826" t="s">
        <v>0</v>
      </c>
      <c r="D826" t="s">
        <v>77</v>
      </c>
      <c r="E826" t="s">
        <v>17</v>
      </c>
      <c r="F826">
        <v>269308</v>
      </c>
      <c r="G826" s="1" t="s">
        <v>3143</v>
      </c>
      <c r="H826">
        <v>24812964</v>
      </c>
      <c r="I826">
        <v>178851</v>
      </c>
      <c r="J826" t="s">
        <v>64</v>
      </c>
      <c r="K826" s="17">
        <v>23448964001921</v>
      </c>
      <c r="L826" s="17">
        <v>90739624001432</v>
      </c>
      <c r="M826" s="9">
        <v>91.77</v>
      </c>
      <c r="N826" t="s">
        <v>43</v>
      </c>
      <c r="Q826" s="2"/>
      <c r="R826" s="9"/>
      <c r="S826" t="s">
        <v>44</v>
      </c>
      <c r="T826" t="s">
        <v>45</v>
      </c>
      <c r="U826" s="2" t="s">
        <v>585</v>
      </c>
      <c r="V826" s="9" t="s">
        <v>553</v>
      </c>
      <c r="W826">
        <v>4.2260823448963998E+43</v>
      </c>
      <c r="X826" t="s">
        <v>46</v>
      </c>
      <c r="Y826" s="2" t="s">
        <v>717</v>
      </c>
      <c r="Z826" s="2" t="s">
        <v>718</v>
      </c>
      <c r="AA826" s="9" t="s">
        <v>715</v>
      </c>
      <c r="AC826" s="2"/>
      <c r="AD826" t="s">
        <v>7</v>
      </c>
      <c r="AE826" t="s">
        <v>3144</v>
      </c>
    </row>
    <row r="827" spans="1:31" x14ac:dyDescent="0.3">
      <c r="A827" s="17">
        <v>90739624000118</v>
      </c>
      <c r="B827" t="s">
        <v>174</v>
      </c>
      <c r="D827" t="s">
        <v>327</v>
      </c>
      <c r="E827" t="s">
        <v>2</v>
      </c>
      <c r="F827">
        <v>269308</v>
      </c>
      <c r="G827" s="1" t="s">
        <v>3145</v>
      </c>
      <c r="H827">
        <v>24812947</v>
      </c>
      <c r="I827">
        <v>83124</v>
      </c>
      <c r="J827" t="s">
        <v>328</v>
      </c>
      <c r="K827" s="17">
        <v>33210337000182</v>
      </c>
      <c r="L827" s="17">
        <v>90739624000118</v>
      </c>
      <c r="M827" s="9">
        <v>304.27999999999997</v>
      </c>
      <c r="N827" t="s">
        <v>43</v>
      </c>
      <c r="Q827" s="2"/>
      <c r="R827" s="9"/>
      <c r="S827" t="s">
        <v>44</v>
      </c>
      <c r="T827" t="s">
        <v>45</v>
      </c>
      <c r="U827" s="2" t="s">
        <v>583</v>
      </c>
      <c r="V827" s="9" t="s">
        <v>3146</v>
      </c>
      <c r="W827">
        <v>1.7260833210337001E+43</v>
      </c>
      <c r="X827" t="s">
        <v>46</v>
      </c>
      <c r="Y827" s="2" t="s">
        <v>717</v>
      </c>
      <c r="Z827" s="2" t="s">
        <v>718</v>
      </c>
      <c r="AA827" s="9" t="s">
        <v>715</v>
      </c>
      <c r="AC827" s="2"/>
      <c r="AD827" t="s">
        <v>7</v>
      </c>
      <c r="AE827" t="s">
        <v>3147</v>
      </c>
    </row>
    <row r="828" spans="1:31" x14ac:dyDescent="0.3">
      <c r="A828" s="17">
        <v>90739624000118</v>
      </c>
      <c r="B828" t="s">
        <v>70</v>
      </c>
      <c r="C828">
        <v>22342</v>
      </c>
      <c r="D828" t="s">
        <v>260</v>
      </c>
      <c r="E828" t="s">
        <v>2</v>
      </c>
      <c r="F828">
        <v>269308</v>
      </c>
      <c r="G828" s="1" t="s">
        <v>3148</v>
      </c>
      <c r="H828">
        <v>24812946</v>
      </c>
      <c r="I828">
        <v>257053</v>
      </c>
      <c r="J828" t="s">
        <v>72</v>
      </c>
      <c r="K828" s="17">
        <v>79964177000168</v>
      </c>
      <c r="L828" s="17">
        <v>9576274000106</v>
      </c>
      <c r="M828" s="9">
        <v>152.59</v>
      </c>
      <c r="N828" t="s">
        <v>43</v>
      </c>
      <c r="Q828" s="2"/>
      <c r="R828" s="9"/>
      <c r="S828" t="s">
        <v>44</v>
      </c>
      <c r="T828" t="s">
        <v>45</v>
      </c>
      <c r="U828" s="2" t="s">
        <v>585</v>
      </c>
      <c r="V828" s="9" t="s">
        <v>3149</v>
      </c>
      <c r="W828">
        <v>4.1260879964176998E+43</v>
      </c>
      <c r="X828" t="s">
        <v>46</v>
      </c>
      <c r="Y828" s="2" t="s">
        <v>717</v>
      </c>
      <c r="Z828" s="2" t="s">
        <v>718</v>
      </c>
      <c r="AA828" s="9" t="s">
        <v>715</v>
      </c>
      <c r="AC828" s="2"/>
      <c r="AD828" t="s">
        <v>7</v>
      </c>
      <c r="AE828" t="s">
        <v>3150</v>
      </c>
    </row>
    <row r="829" spans="1:31" x14ac:dyDescent="0.3">
      <c r="A829" s="17">
        <v>90739624000118</v>
      </c>
      <c r="B829" t="s">
        <v>0</v>
      </c>
      <c r="D829" t="s">
        <v>77</v>
      </c>
      <c r="E829" t="s">
        <v>2</v>
      </c>
      <c r="F829">
        <v>269308</v>
      </c>
      <c r="G829" s="1" t="s">
        <v>3151</v>
      </c>
      <c r="H829">
        <v>24812943</v>
      </c>
      <c r="I829">
        <v>178850</v>
      </c>
      <c r="J829" t="s">
        <v>64</v>
      </c>
      <c r="K829" s="17">
        <v>23448964001921</v>
      </c>
      <c r="L829" s="17">
        <v>90739624001432</v>
      </c>
      <c r="M829" s="9">
        <v>2194.5</v>
      </c>
      <c r="N829" t="s">
        <v>43</v>
      </c>
      <c r="Q829" s="2"/>
      <c r="R829" s="9"/>
      <c r="S829" t="s">
        <v>44</v>
      </c>
      <c r="T829" t="s">
        <v>45</v>
      </c>
      <c r="U829" s="2" t="s">
        <v>585</v>
      </c>
      <c r="V829" s="9" t="s">
        <v>3152</v>
      </c>
      <c r="W829">
        <v>4.2260823448963998E+43</v>
      </c>
      <c r="X829" t="s">
        <v>46</v>
      </c>
      <c r="Y829" s="2" t="s">
        <v>717</v>
      </c>
      <c r="Z829" s="2" t="s">
        <v>718</v>
      </c>
      <c r="AA829" s="9" t="s">
        <v>715</v>
      </c>
      <c r="AC829" s="2"/>
      <c r="AD829" t="s">
        <v>7</v>
      </c>
      <c r="AE829" t="s">
        <v>3153</v>
      </c>
    </row>
    <row r="830" spans="1:31" x14ac:dyDescent="0.3">
      <c r="A830" s="17">
        <v>90739624000118</v>
      </c>
      <c r="B830" t="s">
        <v>58</v>
      </c>
      <c r="D830" t="s">
        <v>153</v>
      </c>
      <c r="E830" t="s">
        <v>2</v>
      </c>
      <c r="F830">
        <v>269308</v>
      </c>
      <c r="G830" s="1" t="s">
        <v>3154</v>
      </c>
      <c r="H830">
        <v>24812934</v>
      </c>
      <c r="I830">
        <v>18874</v>
      </c>
      <c r="J830" t="s">
        <v>3155</v>
      </c>
      <c r="K830" s="17">
        <v>7473735017580</v>
      </c>
      <c r="L830" s="17">
        <v>90739624002323</v>
      </c>
      <c r="M830" s="9">
        <v>204.91</v>
      </c>
      <c r="N830" t="s">
        <v>43</v>
      </c>
      <c r="Q830" s="2"/>
      <c r="R830" s="9"/>
      <c r="S830" t="s">
        <v>44</v>
      </c>
      <c r="T830" t="s">
        <v>45</v>
      </c>
      <c r="U830" s="2" t="s">
        <v>585</v>
      </c>
      <c r="V830" s="9" t="s">
        <v>3156</v>
      </c>
      <c r="W830">
        <v>4.3260807473734999E+43</v>
      </c>
      <c r="X830" t="s">
        <v>46</v>
      </c>
      <c r="Y830" s="2" t="s">
        <v>717</v>
      </c>
      <c r="Z830" s="2" t="s">
        <v>718</v>
      </c>
      <c r="AA830" s="9" t="s">
        <v>715</v>
      </c>
      <c r="AC830" s="2"/>
      <c r="AD830" t="s">
        <v>7</v>
      </c>
      <c r="AE830" t="s">
        <v>3157</v>
      </c>
    </row>
    <row r="831" spans="1:31" x14ac:dyDescent="0.3">
      <c r="A831" s="17">
        <v>90739624000118</v>
      </c>
      <c r="B831" t="s">
        <v>25</v>
      </c>
      <c r="D831" t="s">
        <v>548</v>
      </c>
      <c r="E831" t="s">
        <v>2</v>
      </c>
      <c r="F831">
        <v>269308</v>
      </c>
      <c r="G831" s="1" t="s">
        <v>3158</v>
      </c>
      <c r="H831">
        <v>24812889</v>
      </c>
      <c r="I831">
        <v>37542</v>
      </c>
      <c r="J831" t="s">
        <v>94</v>
      </c>
      <c r="K831" s="17">
        <v>1300979000186</v>
      </c>
      <c r="L831" s="17">
        <v>90739624001866</v>
      </c>
      <c r="M831" s="9">
        <v>145.51</v>
      </c>
      <c r="N831" t="s">
        <v>43</v>
      </c>
      <c r="Q831" s="2"/>
      <c r="R831" s="9"/>
      <c r="S831" t="s">
        <v>44</v>
      </c>
      <c r="T831" t="s">
        <v>45</v>
      </c>
      <c r="U831" s="2" t="s">
        <v>585</v>
      </c>
      <c r="V831" s="9" t="s">
        <v>3159</v>
      </c>
      <c r="W831">
        <v>5.1260801300978997E+43</v>
      </c>
      <c r="X831" t="s">
        <v>46</v>
      </c>
      <c r="Y831" s="2" t="s">
        <v>717</v>
      </c>
      <c r="Z831" s="2" t="s">
        <v>718</v>
      </c>
      <c r="AA831" s="9" t="s">
        <v>715</v>
      </c>
      <c r="AC831" s="2"/>
      <c r="AD831" t="s">
        <v>7</v>
      </c>
      <c r="AE831" t="s">
        <v>3160</v>
      </c>
    </row>
    <row r="832" spans="1:31" x14ac:dyDescent="0.3">
      <c r="A832" s="17">
        <v>90739624000118</v>
      </c>
      <c r="B832" t="s">
        <v>61</v>
      </c>
      <c r="C832">
        <v>22467</v>
      </c>
      <c r="D832" t="s">
        <v>173</v>
      </c>
      <c r="E832" t="s">
        <v>2</v>
      </c>
      <c r="F832">
        <v>269308</v>
      </c>
      <c r="G832" s="1" t="s">
        <v>3161</v>
      </c>
      <c r="H832">
        <v>24812779</v>
      </c>
      <c r="I832">
        <v>2498</v>
      </c>
      <c r="J832" t="s">
        <v>85</v>
      </c>
      <c r="K832" s="17">
        <v>1975878000105</v>
      </c>
      <c r="L832" s="17">
        <v>9576274000106</v>
      </c>
      <c r="M832" s="9">
        <v>172.45</v>
      </c>
      <c r="N832" t="s">
        <v>43</v>
      </c>
      <c r="Q832" s="2"/>
      <c r="R832" s="9"/>
      <c r="S832" t="s">
        <v>44</v>
      </c>
      <c r="T832" t="s">
        <v>45</v>
      </c>
      <c r="U832" s="2" t="s">
        <v>585</v>
      </c>
      <c r="V832" s="9" t="s">
        <v>3162</v>
      </c>
      <c r="W832">
        <v>4.1260801975878E+43</v>
      </c>
      <c r="X832" t="s">
        <v>46</v>
      </c>
      <c r="Y832" s="2" t="s">
        <v>717</v>
      </c>
      <c r="Z832" s="2" t="s">
        <v>718</v>
      </c>
      <c r="AA832" s="9" t="s">
        <v>715</v>
      </c>
      <c r="AC832" s="2"/>
      <c r="AD832" t="s">
        <v>7</v>
      </c>
      <c r="AE832" t="s">
        <v>3163</v>
      </c>
    </row>
    <row r="833" spans="1:31" x14ac:dyDescent="0.3">
      <c r="A833" s="17">
        <v>90739624000118</v>
      </c>
      <c r="B833" t="s">
        <v>8</v>
      </c>
      <c r="C833">
        <v>21139</v>
      </c>
      <c r="D833" t="s">
        <v>251</v>
      </c>
      <c r="E833" t="s">
        <v>2</v>
      </c>
      <c r="F833">
        <v>269308</v>
      </c>
      <c r="G833" s="1" t="s">
        <v>3164</v>
      </c>
      <c r="H833">
        <v>24812403</v>
      </c>
      <c r="I833">
        <v>838286</v>
      </c>
      <c r="J833" t="s">
        <v>333</v>
      </c>
      <c r="K833" s="17">
        <v>2764141000106</v>
      </c>
      <c r="L833" s="17">
        <v>9576274000106</v>
      </c>
      <c r="M833" s="9">
        <v>310.88</v>
      </c>
      <c r="N833" t="s">
        <v>43</v>
      </c>
      <c r="Q833" s="2"/>
      <c r="R833" s="9"/>
      <c r="S833" t="s">
        <v>44</v>
      </c>
      <c r="T833" t="s">
        <v>45</v>
      </c>
      <c r="U833" s="2" t="s">
        <v>695</v>
      </c>
      <c r="V833" s="9" t="s">
        <v>621</v>
      </c>
      <c r="W833">
        <v>4.1260802764140999E+43</v>
      </c>
      <c r="X833" t="s">
        <v>46</v>
      </c>
      <c r="Y833" s="2" t="s">
        <v>717</v>
      </c>
      <c r="Z833" s="2" t="s">
        <v>718</v>
      </c>
      <c r="AA833" s="9" t="s">
        <v>715</v>
      </c>
      <c r="AC833" s="2"/>
      <c r="AD833" t="s">
        <v>7</v>
      </c>
      <c r="AE833" t="s">
        <v>3165</v>
      </c>
    </row>
    <row r="834" spans="1:31" x14ac:dyDescent="0.3">
      <c r="A834" s="17">
        <v>90739624000118</v>
      </c>
      <c r="B834" t="s">
        <v>58</v>
      </c>
      <c r="C834">
        <v>24752</v>
      </c>
      <c r="D834" t="s">
        <v>338</v>
      </c>
      <c r="E834" t="s">
        <v>2</v>
      </c>
      <c r="F834">
        <v>269308</v>
      </c>
      <c r="G834" s="1" t="s">
        <v>3166</v>
      </c>
      <c r="H834">
        <v>24812382</v>
      </c>
      <c r="I834">
        <v>26791</v>
      </c>
      <c r="J834" t="s">
        <v>69</v>
      </c>
      <c r="K834" s="17">
        <v>7473735015375</v>
      </c>
      <c r="L834" s="17">
        <v>90739624002323</v>
      </c>
      <c r="M834" s="9">
        <v>300.48</v>
      </c>
      <c r="N834" t="s">
        <v>43</v>
      </c>
      <c r="Q834" s="2"/>
      <c r="R834" s="9"/>
      <c r="S834" t="s">
        <v>44</v>
      </c>
      <c r="T834" t="s">
        <v>45</v>
      </c>
      <c r="U834" s="2" t="s">
        <v>585</v>
      </c>
      <c r="V834" s="9" t="s">
        <v>3167</v>
      </c>
      <c r="W834">
        <v>4.3260807473734999E+43</v>
      </c>
      <c r="X834" t="s">
        <v>46</v>
      </c>
      <c r="Y834" s="2" t="s">
        <v>717</v>
      </c>
      <c r="Z834" s="2" t="s">
        <v>718</v>
      </c>
      <c r="AA834" s="9" t="s">
        <v>715</v>
      </c>
      <c r="AC834" s="2"/>
      <c r="AD834" t="s">
        <v>7</v>
      </c>
      <c r="AE834" t="s">
        <v>3168</v>
      </c>
    </row>
    <row r="835" spans="1:31" x14ac:dyDescent="0.3">
      <c r="A835" s="17">
        <v>90739624000118</v>
      </c>
      <c r="B835" t="s">
        <v>33</v>
      </c>
      <c r="C835">
        <v>22486</v>
      </c>
      <c r="D835" t="s">
        <v>38</v>
      </c>
      <c r="E835" t="s">
        <v>2</v>
      </c>
      <c r="F835">
        <v>269308</v>
      </c>
      <c r="G835" s="1" t="s">
        <v>3169</v>
      </c>
      <c r="H835">
        <v>24812359</v>
      </c>
      <c r="I835">
        <v>1127</v>
      </c>
      <c r="J835" t="s">
        <v>35</v>
      </c>
      <c r="K835" s="17">
        <v>27933025000102</v>
      </c>
      <c r="L835" s="17">
        <v>9576274000106</v>
      </c>
      <c r="M835" s="9">
        <v>109.95</v>
      </c>
      <c r="N835" t="s">
        <v>43</v>
      </c>
      <c r="Q835" s="2"/>
      <c r="R835" s="9"/>
      <c r="S835" t="s">
        <v>44</v>
      </c>
      <c r="T835" t="s">
        <v>45</v>
      </c>
      <c r="U835" s="2" t="s">
        <v>583</v>
      </c>
      <c r="V835" s="9" t="s">
        <v>3170</v>
      </c>
      <c r="W835">
        <v>4.1260827933025001E+43</v>
      </c>
      <c r="X835" t="s">
        <v>46</v>
      </c>
      <c r="Y835" s="2" t="s">
        <v>717</v>
      </c>
      <c r="Z835" s="2" t="s">
        <v>718</v>
      </c>
      <c r="AA835" s="9" t="s">
        <v>715</v>
      </c>
      <c r="AC835" s="2"/>
      <c r="AD835" t="s">
        <v>7</v>
      </c>
      <c r="AE835" t="s">
        <v>3171</v>
      </c>
    </row>
    <row r="836" spans="1:31" x14ac:dyDescent="0.3">
      <c r="A836" s="17">
        <v>90739624000118</v>
      </c>
      <c r="B836" t="s">
        <v>25</v>
      </c>
      <c r="D836" t="s">
        <v>460</v>
      </c>
      <c r="E836" t="s">
        <v>2</v>
      </c>
      <c r="F836">
        <v>269308</v>
      </c>
      <c r="G836" s="1" t="s">
        <v>3172</v>
      </c>
      <c r="H836">
        <v>24812180</v>
      </c>
      <c r="I836">
        <v>72844</v>
      </c>
      <c r="J836" t="s">
        <v>123</v>
      </c>
      <c r="K836" s="17">
        <v>30476433000189</v>
      </c>
      <c r="L836" s="17">
        <v>90739624001866</v>
      </c>
      <c r="M836" s="9">
        <v>146.99</v>
      </c>
      <c r="N836" t="s">
        <v>43</v>
      </c>
      <c r="Q836" s="2"/>
      <c r="R836" s="9"/>
      <c r="S836" t="s">
        <v>44</v>
      </c>
      <c r="T836" t="s">
        <v>45</v>
      </c>
      <c r="U836" s="2" t="s">
        <v>585</v>
      </c>
      <c r="V836" s="9" t="s">
        <v>3173</v>
      </c>
      <c r="W836">
        <v>5.1260830476432999E+43</v>
      </c>
      <c r="X836" t="s">
        <v>46</v>
      </c>
      <c r="Y836" s="2" t="s">
        <v>717</v>
      </c>
      <c r="Z836" s="2" t="s">
        <v>718</v>
      </c>
      <c r="AA836" s="9" t="s">
        <v>715</v>
      </c>
      <c r="AC836" s="2"/>
      <c r="AD836" t="s">
        <v>7</v>
      </c>
      <c r="AE836" t="s">
        <v>3174</v>
      </c>
    </row>
    <row r="837" spans="1:31" x14ac:dyDescent="0.3">
      <c r="A837" s="17">
        <v>90739624000118</v>
      </c>
      <c r="B837" t="s">
        <v>61</v>
      </c>
      <c r="C837">
        <v>24567</v>
      </c>
      <c r="D837" t="s">
        <v>592</v>
      </c>
      <c r="E837" t="s">
        <v>2</v>
      </c>
      <c r="F837">
        <v>269308</v>
      </c>
      <c r="G837" s="1" t="s">
        <v>3175</v>
      </c>
      <c r="H837">
        <v>24812160</v>
      </c>
      <c r="I837">
        <v>466427</v>
      </c>
      <c r="J837" t="s">
        <v>3176</v>
      </c>
      <c r="K837" s="17">
        <v>81642308000132</v>
      </c>
      <c r="L837" s="17">
        <v>9576274000106</v>
      </c>
      <c r="M837" s="9">
        <v>283.60000000000002</v>
      </c>
      <c r="N837" t="s">
        <v>43</v>
      </c>
      <c r="Q837" s="2"/>
      <c r="R837" s="9"/>
      <c r="S837" t="s">
        <v>44</v>
      </c>
      <c r="T837" t="s">
        <v>45</v>
      </c>
      <c r="U837" s="2" t="s">
        <v>585</v>
      </c>
      <c r="V837" s="9" t="s">
        <v>689</v>
      </c>
      <c r="W837">
        <v>4.1260881642308E+43</v>
      </c>
      <c r="X837" t="s">
        <v>46</v>
      </c>
      <c r="Y837" s="2" t="s">
        <v>717</v>
      </c>
      <c r="Z837" s="2" t="s">
        <v>718</v>
      </c>
      <c r="AA837" s="9" t="s">
        <v>715</v>
      </c>
      <c r="AC837" s="2"/>
      <c r="AD837" t="s">
        <v>7</v>
      </c>
      <c r="AE837" t="s">
        <v>3177</v>
      </c>
    </row>
    <row r="838" spans="1:31" x14ac:dyDescent="0.3">
      <c r="A838" s="17">
        <v>90739624000118</v>
      </c>
      <c r="B838" t="s">
        <v>58</v>
      </c>
      <c r="C838">
        <v>19579</v>
      </c>
      <c r="D838" t="s">
        <v>382</v>
      </c>
      <c r="E838" t="s">
        <v>2</v>
      </c>
      <c r="F838">
        <v>269308</v>
      </c>
      <c r="G838" s="1" t="s">
        <v>3178</v>
      </c>
      <c r="H838">
        <v>24812141</v>
      </c>
      <c r="J838" t="s">
        <v>379</v>
      </c>
      <c r="K838" s="17">
        <v>7473735024609</v>
      </c>
      <c r="L838" s="17"/>
      <c r="M838" s="9">
        <v>412.25</v>
      </c>
      <c r="N838" t="s">
        <v>43</v>
      </c>
      <c r="Q838" s="2"/>
      <c r="R838" s="9"/>
      <c r="S838" t="s">
        <v>87</v>
      </c>
      <c r="U838" s="2"/>
      <c r="V838" s="9"/>
      <c r="X838" t="s">
        <v>88</v>
      </c>
      <c r="Y838" s="2" t="s">
        <v>717</v>
      </c>
      <c r="Z838" s="2" t="s">
        <v>718</v>
      </c>
      <c r="AA838" s="9" t="s">
        <v>715</v>
      </c>
      <c r="AC838" s="2"/>
      <c r="AD838" t="s">
        <v>7</v>
      </c>
    </row>
    <row r="839" spans="1:31" x14ac:dyDescent="0.3">
      <c r="A839" s="17">
        <v>90739624000118</v>
      </c>
      <c r="B839" t="s">
        <v>63</v>
      </c>
      <c r="D839" t="s">
        <v>276</v>
      </c>
      <c r="E839" t="s">
        <v>2</v>
      </c>
      <c r="F839">
        <v>269308</v>
      </c>
      <c r="G839" s="1" t="s">
        <v>3180</v>
      </c>
      <c r="H839">
        <v>24812080</v>
      </c>
      <c r="I839">
        <v>178841</v>
      </c>
      <c r="J839" t="s">
        <v>64</v>
      </c>
      <c r="K839" s="17">
        <v>23448964001921</v>
      </c>
      <c r="L839" s="17">
        <v>90739624001432</v>
      </c>
      <c r="M839" s="9">
        <v>235.66</v>
      </c>
      <c r="N839" t="s">
        <v>43</v>
      </c>
      <c r="Q839" s="2"/>
      <c r="R839" s="9"/>
      <c r="S839" t="s">
        <v>44</v>
      </c>
      <c r="T839" t="s">
        <v>45</v>
      </c>
      <c r="U839" s="2" t="s">
        <v>585</v>
      </c>
      <c r="V839" s="9" t="s">
        <v>3181</v>
      </c>
      <c r="W839">
        <v>4.2260823448963998E+43</v>
      </c>
      <c r="X839" t="s">
        <v>46</v>
      </c>
      <c r="Y839" s="2" t="s">
        <v>717</v>
      </c>
      <c r="Z839" s="2" t="s">
        <v>718</v>
      </c>
      <c r="AA839" s="9" t="s">
        <v>715</v>
      </c>
      <c r="AC839" s="2"/>
      <c r="AD839" t="s">
        <v>7</v>
      </c>
      <c r="AE839" t="s">
        <v>3182</v>
      </c>
    </row>
    <row r="840" spans="1:31" x14ac:dyDescent="0.3">
      <c r="A840" s="17">
        <v>90739624000118</v>
      </c>
      <c r="B840" t="s">
        <v>61</v>
      </c>
      <c r="C840">
        <v>18633</v>
      </c>
      <c r="D840" t="s">
        <v>304</v>
      </c>
      <c r="E840" t="s">
        <v>2</v>
      </c>
      <c r="F840">
        <v>269308</v>
      </c>
      <c r="G840" s="1" t="s">
        <v>3183</v>
      </c>
      <c r="H840">
        <v>24812074</v>
      </c>
      <c r="I840">
        <v>32068</v>
      </c>
      <c r="J840" t="s">
        <v>79</v>
      </c>
      <c r="K840" s="17">
        <v>7473735000777</v>
      </c>
      <c r="L840" s="17">
        <v>90739624002323</v>
      </c>
      <c r="M840" s="9">
        <v>674.75</v>
      </c>
      <c r="N840" t="s">
        <v>43</v>
      </c>
      <c r="Q840" s="2"/>
      <c r="R840" s="9"/>
      <c r="S840" t="s">
        <v>44</v>
      </c>
      <c r="T840" t="s">
        <v>45</v>
      </c>
      <c r="U840" s="2" t="s">
        <v>585</v>
      </c>
      <c r="V840" s="9" t="s">
        <v>3184</v>
      </c>
      <c r="W840">
        <v>4.3260807473734999E+43</v>
      </c>
      <c r="X840" t="s">
        <v>46</v>
      </c>
      <c r="Y840" s="2" t="s">
        <v>717</v>
      </c>
      <c r="Z840" s="2" t="s">
        <v>718</v>
      </c>
      <c r="AA840" s="9" t="s">
        <v>715</v>
      </c>
      <c r="AC840" s="2"/>
      <c r="AD840" t="s">
        <v>7</v>
      </c>
      <c r="AE840" t="s">
        <v>3185</v>
      </c>
    </row>
    <row r="841" spans="1:31" x14ac:dyDescent="0.3">
      <c r="A841" s="17">
        <v>90739624000118</v>
      </c>
      <c r="B841" t="s">
        <v>174</v>
      </c>
      <c r="D841" t="s">
        <v>256</v>
      </c>
      <c r="E841" t="s">
        <v>2</v>
      </c>
      <c r="F841">
        <v>269308</v>
      </c>
      <c r="G841" s="1" t="s">
        <v>3186</v>
      </c>
      <c r="H841">
        <v>24811933</v>
      </c>
      <c r="I841">
        <v>62249</v>
      </c>
      <c r="J841" t="s">
        <v>346</v>
      </c>
      <c r="K841" s="17">
        <v>8318079000105</v>
      </c>
      <c r="L841" s="17">
        <v>90739624000118</v>
      </c>
      <c r="M841" s="9">
        <v>225.69</v>
      </c>
      <c r="N841" t="s">
        <v>43</v>
      </c>
      <c r="Q841" s="2"/>
      <c r="R841" s="9"/>
      <c r="S841" t="s">
        <v>44</v>
      </c>
      <c r="T841" t="s">
        <v>45</v>
      </c>
      <c r="U841" s="2" t="s">
        <v>585</v>
      </c>
      <c r="V841" s="9" t="s">
        <v>3187</v>
      </c>
      <c r="W841">
        <v>1.7260808318079E+43</v>
      </c>
      <c r="X841" t="s">
        <v>46</v>
      </c>
      <c r="Y841" s="2" t="s">
        <v>717</v>
      </c>
      <c r="Z841" s="2" t="s">
        <v>718</v>
      </c>
      <c r="AA841" s="9" t="s">
        <v>715</v>
      </c>
      <c r="AC841" s="2"/>
      <c r="AD841" t="s">
        <v>7</v>
      </c>
      <c r="AE841" t="s">
        <v>3188</v>
      </c>
    </row>
    <row r="842" spans="1:31" x14ac:dyDescent="0.3">
      <c r="A842" s="17">
        <v>90739624000118</v>
      </c>
      <c r="B842" t="s">
        <v>36</v>
      </c>
      <c r="D842" t="s">
        <v>537</v>
      </c>
      <c r="E842" t="s">
        <v>2</v>
      </c>
      <c r="F842">
        <v>269308</v>
      </c>
      <c r="G842" s="1" t="s">
        <v>3189</v>
      </c>
      <c r="H842">
        <v>24811932</v>
      </c>
      <c r="I842">
        <v>16470</v>
      </c>
      <c r="J842" t="s">
        <v>186</v>
      </c>
      <c r="K842" s="17">
        <v>7822636000168</v>
      </c>
      <c r="L842" s="17">
        <v>90739624004458</v>
      </c>
      <c r="M842" s="9">
        <v>260.07</v>
      </c>
      <c r="N842" t="s">
        <v>43</v>
      </c>
      <c r="Q842" s="2"/>
      <c r="R842" s="9"/>
      <c r="S842" t="s">
        <v>44</v>
      </c>
      <c r="T842" t="s">
        <v>45</v>
      </c>
      <c r="U842" s="2" t="s">
        <v>695</v>
      </c>
      <c r="V842" s="9" t="s">
        <v>566</v>
      </c>
      <c r="W842">
        <v>5.3260807822636003E+43</v>
      </c>
      <c r="X842" t="s">
        <v>46</v>
      </c>
      <c r="Y842" s="2" t="s">
        <v>717</v>
      </c>
      <c r="Z842" s="2" t="s">
        <v>718</v>
      </c>
      <c r="AA842" s="9" t="s">
        <v>715</v>
      </c>
      <c r="AC842" s="2"/>
      <c r="AD842" t="s">
        <v>7</v>
      </c>
      <c r="AE842" t="s">
        <v>3190</v>
      </c>
    </row>
    <row r="843" spans="1:31" x14ac:dyDescent="0.3">
      <c r="A843" s="17">
        <v>90739624000118</v>
      </c>
      <c r="B843" t="s">
        <v>58</v>
      </c>
      <c r="C843">
        <v>26122</v>
      </c>
      <c r="D843" t="s">
        <v>102</v>
      </c>
      <c r="E843" t="s">
        <v>2</v>
      </c>
      <c r="F843">
        <v>269308</v>
      </c>
      <c r="G843" s="1" t="s">
        <v>3191</v>
      </c>
      <c r="H843">
        <v>24811919</v>
      </c>
      <c r="I843">
        <v>9028</v>
      </c>
      <c r="J843" t="s">
        <v>103</v>
      </c>
      <c r="K843" s="17">
        <v>7473735021421</v>
      </c>
      <c r="L843" s="17">
        <v>90739624002323</v>
      </c>
      <c r="M843" s="9">
        <v>173.86</v>
      </c>
      <c r="N843" t="s">
        <v>43</v>
      </c>
      <c r="Q843" s="2"/>
      <c r="R843" s="9"/>
      <c r="S843" t="s">
        <v>44</v>
      </c>
      <c r="T843" t="s">
        <v>45</v>
      </c>
      <c r="U843" s="2" t="s">
        <v>585</v>
      </c>
      <c r="V843" s="9" t="s">
        <v>3192</v>
      </c>
      <c r="W843">
        <v>4.3260807473734999E+43</v>
      </c>
      <c r="X843" t="s">
        <v>46</v>
      </c>
      <c r="Y843" s="2" t="s">
        <v>717</v>
      </c>
      <c r="Z843" s="2" t="s">
        <v>718</v>
      </c>
      <c r="AA843" s="9" t="s">
        <v>715</v>
      </c>
      <c r="AC843" s="2"/>
      <c r="AD843" t="s">
        <v>7</v>
      </c>
      <c r="AE843" t="s">
        <v>3193</v>
      </c>
    </row>
    <row r="844" spans="1:31" x14ac:dyDescent="0.3">
      <c r="A844" s="17">
        <v>90739624000118</v>
      </c>
      <c r="B844" t="s">
        <v>70</v>
      </c>
      <c r="D844" t="s">
        <v>96</v>
      </c>
      <c r="E844" t="s">
        <v>2</v>
      </c>
      <c r="F844">
        <v>269308</v>
      </c>
      <c r="G844" s="1" t="s">
        <v>3194</v>
      </c>
      <c r="H844">
        <v>24811912</v>
      </c>
      <c r="I844">
        <v>257048</v>
      </c>
      <c r="J844" t="s">
        <v>72</v>
      </c>
      <c r="K844" s="17">
        <v>79964177000168</v>
      </c>
      <c r="L844" s="17">
        <v>9576274000106</v>
      </c>
      <c r="M844" s="9">
        <v>178.95</v>
      </c>
      <c r="N844" t="s">
        <v>43</v>
      </c>
      <c r="Q844" s="2"/>
      <c r="R844" s="9"/>
      <c r="S844" t="s">
        <v>44</v>
      </c>
      <c r="T844" t="s">
        <v>45</v>
      </c>
      <c r="U844" s="2" t="s">
        <v>585</v>
      </c>
      <c r="V844" s="9" t="s">
        <v>3195</v>
      </c>
      <c r="W844">
        <v>4.1260879964176998E+43</v>
      </c>
      <c r="X844" t="s">
        <v>46</v>
      </c>
      <c r="Y844" s="2" t="s">
        <v>717</v>
      </c>
      <c r="Z844" s="2" t="s">
        <v>718</v>
      </c>
      <c r="AA844" s="9" t="s">
        <v>715</v>
      </c>
      <c r="AC844" s="2"/>
      <c r="AD844" t="s">
        <v>7</v>
      </c>
      <c r="AE844" t="s">
        <v>3196</v>
      </c>
    </row>
    <row r="845" spans="1:31" x14ac:dyDescent="0.3">
      <c r="A845" s="17">
        <v>90739624000118</v>
      </c>
      <c r="B845" t="s">
        <v>70</v>
      </c>
      <c r="C845">
        <v>24139</v>
      </c>
      <c r="D845" t="s">
        <v>456</v>
      </c>
      <c r="E845" t="s">
        <v>2</v>
      </c>
      <c r="F845">
        <v>269308</v>
      </c>
      <c r="G845" s="1" t="s">
        <v>3197</v>
      </c>
      <c r="H845">
        <v>24811781</v>
      </c>
      <c r="I845">
        <v>257047</v>
      </c>
      <c r="J845" t="s">
        <v>72</v>
      </c>
      <c r="K845" s="17">
        <v>79964177000168</v>
      </c>
      <c r="L845" s="17">
        <v>9576274000106</v>
      </c>
      <c r="M845" s="9">
        <v>198.76</v>
      </c>
      <c r="N845" t="s">
        <v>43</v>
      </c>
      <c r="Q845" s="2"/>
      <c r="R845" s="9"/>
      <c r="S845" t="s">
        <v>44</v>
      </c>
      <c r="T845" t="s">
        <v>45</v>
      </c>
      <c r="U845" s="2" t="s">
        <v>585</v>
      </c>
      <c r="V845" s="9" t="s">
        <v>3198</v>
      </c>
      <c r="W845">
        <v>4.1260879964176998E+43</v>
      </c>
      <c r="X845" t="s">
        <v>46</v>
      </c>
      <c r="Y845" s="2" t="s">
        <v>717</v>
      </c>
      <c r="Z845" s="2" t="s">
        <v>718</v>
      </c>
      <c r="AA845" s="9" t="s">
        <v>715</v>
      </c>
      <c r="AC845" s="2"/>
      <c r="AD845" t="s">
        <v>7</v>
      </c>
      <c r="AE845" t="s">
        <v>3199</v>
      </c>
    </row>
    <row r="846" spans="1:31" x14ac:dyDescent="0.3">
      <c r="A846" s="17">
        <v>90739624000118</v>
      </c>
      <c r="B846" t="s">
        <v>52</v>
      </c>
      <c r="C846">
        <v>22492</v>
      </c>
      <c r="D846" t="s">
        <v>249</v>
      </c>
      <c r="E846" t="s">
        <v>2</v>
      </c>
      <c r="F846">
        <v>269308</v>
      </c>
      <c r="G846" s="1" t="s">
        <v>3200</v>
      </c>
      <c r="H846">
        <v>24811735</v>
      </c>
      <c r="I846">
        <v>40659</v>
      </c>
      <c r="J846" t="s">
        <v>545</v>
      </c>
      <c r="K846" s="17">
        <v>30429333000282</v>
      </c>
      <c r="L846" s="17">
        <v>9576274000106</v>
      </c>
      <c r="M846" s="9">
        <v>190.07</v>
      </c>
      <c r="N846" t="s">
        <v>43</v>
      </c>
      <c r="Q846" s="2"/>
      <c r="R846" s="9"/>
      <c r="S846" t="s">
        <v>44</v>
      </c>
      <c r="T846" t="s">
        <v>45</v>
      </c>
      <c r="U846" s="2" t="s">
        <v>585</v>
      </c>
      <c r="V846" s="9" t="s">
        <v>3201</v>
      </c>
      <c r="W846">
        <v>4.1260830429333002E+43</v>
      </c>
      <c r="X846" t="s">
        <v>46</v>
      </c>
      <c r="Y846" s="2" t="s">
        <v>717</v>
      </c>
      <c r="Z846" s="2" t="s">
        <v>718</v>
      </c>
      <c r="AA846" s="9" t="s">
        <v>715</v>
      </c>
      <c r="AC846" s="2"/>
      <c r="AD846" t="s">
        <v>7</v>
      </c>
      <c r="AE846" t="s">
        <v>3202</v>
      </c>
    </row>
    <row r="847" spans="1:31" x14ac:dyDescent="0.3">
      <c r="A847" s="17">
        <v>90739624000118</v>
      </c>
      <c r="B847" t="s">
        <v>36</v>
      </c>
      <c r="D847" t="s">
        <v>510</v>
      </c>
      <c r="E847" t="s">
        <v>2</v>
      </c>
      <c r="F847">
        <v>269308</v>
      </c>
      <c r="G847" s="1" t="s">
        <v>3203</v>
      </c>
      <c r="H847">
        <v>24811705</v>
      </c>
      <c r="I847">
        <v>4131</v>
      </c>
      <c r="J847" t="s">
        <v>186</v>
      </c>
      <c r="K847" s="17">
        <v>7822636000168</v>
      </c>
      <c r="L847" s="17">
        <v>90739624004458</v>
      </c>
      <c r="M847" s="9">
        <v>233.63</v>
      </c>
      <c r="N847" t="s">
        <v>43</v>
      </c>
      <c r="Q847" s="2"/>
      <c r="R847" s="9"/>
      <c r="S847" t="s">
        <v>44</v>
      </c>
      <c r="T847" t="s">
        <v>45</v>
      </c>
      <c r="U847" s="2" t="s">
        <v>585</v>
      </c>
      <c r="V847" s="9" t="s">
        <v>3204</v>
      </c>
      <c r="W847">
        <v>5.3260807822636003E+43</v>
      </c>
      <c r="X847" t="s">
        <v>46</v>
      </c>
      <c r="Y847" s="2" t="s">
        <v>717</v>
      </c>
      <c r="Z847" s="2" t="s">
        <v>718</v>
      </c>
      <c r="AA847" s="9" t="s">
        <v>715</v>
      </c>
      <c r="AC847" s="2"/>
      <c r="AD847" t="s">
        <v>7</v>
      </c>
      <c r="AE847" t="s">
        <v>3205</v>
      </c>
    </row>
    <row r="848" spans="1:31" x14ac:dyDescent="0.3">
      <c r="A848" s="17">
        <v>90739624000118</v>
      </c>
      <c r="B848" t="s">
        <v>28</v>
      </c>
      <c r="C848">
        <v>23725</v>
      </c>
      <c r="D848" t="s">
        <v>560</v>
      </c>
      <c r="E848" t="s">
        <v>2</v>
      </c>
      <c r="F848">
        <v>269308</v>
      </c>
      <c r="G848" s="1" t="s">
        <v>3206</v>
      </c>
      <c r="H848">
        <v>24811315</v>
      </c>
      <c r="I848">
        <v>25753</v>
      </c>
      <c r="J848" t="s">
        <v>98</v>
      </c>
      <c r="K848" s="17">
        <v>26914325000173</v>
      </c>
      <c r="L848" s="17">
        <v>90739624001947</v>
      </c>
      <c r="M848" s="9">
        <v>230.26</v>
      </c>
      <c r="N848" t="s">
        <v>43</v>
      </c>
      <c r="Q848" s="2"/>
      <c r="R848" s="9"/>
      <c r="S848" t="s">
        <v>44</v>
      </c>
      <c r="T848" t="s">
        <v>45</v>
      </c>
      <c r="U848" s="2" t="s">
        <v>695</v>
      </c>
      <c r="V848" s="9" t="s">
        <v>3207</v>
      </c>
      <c r="W848">
        <v>5.2260826914325003E+43</v>
      </c>
      <c r="X848" t="s">
        <v>46</v>
      </c>
      <c r="Y848" s="2" t="s">
        <v>717</v>
      </c>
      <c r="Z848" s="2" t="s">
        <v>718</v>
      </c>
      <c r="AA848" s="9" t="s">
        <v>715</v>
      </c>
      <c r="AC848" s="2"/>
      <c r="AD848" t="s">
        <v>7</v>
      </c>
      <c r="AE848" t="s">
        <v>3208</v>
      </c>
    </row>
    <row r="849" spans="1:31" x14ac:dyDescent="0.3">
      <c r="A849" s="17">
        <v>90739624000118</v>
      </c>
      <c r="B849" t="s">
        <v>49</v>
      </c>
      <c r="D849" t="s">
        <v>558</v>
      </c>
      <c r="E849" t="s">
        <v>2</v>
      </c>
      <c r="F849">
        <v>269308</v>
      </c>
      <c r="G849" s="1" t="s">
        <v>3209</v>
      </c>
      <c r="H849">
        <v>24811302</v>
      </c>
      <c r="I849">
        <v>162850</v>
      </c>
      <c r="J849" t="s">
        <v>51</v>
      </c>
      <c r="K849" s="17">
        <v>2763612000161</v>
      </c>
      <c r="L849" s="17">
        <v>90739624003133</v>
      </c>
      <c r="M849" s="9">
        <v>696.21</v>
      </c>
      <c r="N849" t="s">
        <v>43</v>
      </c>
      <c r="Q849" s="2"/>
      <c r="R849" s="9"/>
      <c r="S849" t="s">
        <v>44</v>
      </c>
      <c r="T849" t="s">
        <v>45</v>
      </c>
      <c r="U849" s="2" t="s">
        <v>585</v>
      </c>
      <c r="V849" s="9" t="s">
        <v>3210</v>
      </c>
      <c r="W849">
        <v>4.1260802763612002E+43</v>
      </c>
      <c r="X849" t="s">
        <v>46</v>
      </c>
      <c r="Y849" s="2" t="s">
        <v>717</v>
      </c>
      <c r="Z849" s="2" t="s">
        <v>718</v>
      </c>
      <c r="AA849" s="9" t="s">
        <v>715</v>
      </c>
      <c r="AC849" s="2"/>
      <c r="AD849" t="s">
        <v>7</v>
      </c>
      <c r="AE849" t="s">
        <v>3211</v>
      </c>
    </row>
    <row r="850" spans="1:31" x14ac:dyDescent="0.3">
      <c r="A850" s="17">
        <v>90739624000118</v>
      </c>
      <c r="B850" t="s">
        <v>170</v>
      </c>
      <c r="D850" t="s">
        <v>476</v>
      </c>
      <c r="E850" t="s">
        <v>2</v>
      </c>
      <c r="F850">
        <v>269308</v>
      </c>
      <c r="G850" s="1" t="s">
        <v>3212</v>
      </c>
      <c r="H850">
        <v>24811277</v>
      </c>
      <c r="I850">
        <v>129206</v>
      </c>
      <c r="J850" t="s">
        <v>178</v>
      </c>
      <c r="K850" s="17">
        <v>83392050000199</v>
      </c>
      <c r="L850" s="17">
        <v>90739624001432</v>
      </c>
      <c r="M850" s="9">
        <v>139.02000000000001</v>
      </c>
      <c r="N850" t="s">
        <v>43</v>
      </c>
      <c r="Q850" s="2"/>
      <c r="R850" s="9"/>
      <c r="S850" t="s">
        <v>44</v>
      </c>
      <c r="T850" t="s">
        <v>45</v>
      </c>
      <c r="U850" s="2" t="s">
        <v>585</v>
      </c>
      <c r="V850" s="9" t="s">
        <v>3213</v>
      </c>
      <c r="W850">
        <v>4.2260883392050001E+43</v>
      </c>
      <c r="X850" t="s">
        <v>46</v>
      </c>
      <c r="Y850" s="2" t="s">
        <v>717</v>
      </c>
      <c r="Z850" s="2" t="s">
        <v>718</v>
      </c>
      <c r="AA850" s="9" t="s">
        <v>715</v>
      </c>
      <c r="AC850" s="2"/>
      <c r="AD850" t="s">
        <v>7</v>
      </c>
      <c r="AE850" t="s">
        <v>3214</v>
      </c>
    </row>
    <row r="851" spans="1:31" x14ac:dyDescent="0.3">
      <c r="A851" s="17">
        <v>90739624000118</v>
      </c>
      <c r="B851" t="s">
        <v>11</v>
      </c>
      <c r="C851">
        <v>17950</v>
      </c>
      <c r="D851" t="s">
        <v>524</v>
      </c>
      <c r="E851" t="s">
        <v>2</v>
      </c>
      <c r="F851">
        <v>269308</v>
      </c>
      <c r="G851" s="1" t="s">
        <v>3215</v>
      </c>
      <c r="H851">
        <v>24811264</v>
      </c>
      <c r="I851">
        <v>4410</v>
      </c>
      <c r="J851" t="s">
        <v>95</v>
      </c>
      <c r="K851" s="17">
        <v>37489429000102</v>
      </c>
      <c r="L851" s="17">
        <v>90739624001947</v>
      </c>
      <c r="M851" s="9">
        <v>329.08</v>
      </c>
      <c r="N851" t="s">
        <v>43</v>
      </c>
      <c r="Q851" s="2"/>
      <c r="R851" s="9"/>
      <c r="S851" t="s">
        <v>44</v>
      </c>
      <c r="T851" t="s">
        <v>45</v>
      </c>
      <c r="U851" s="2" t="s">
        <v>585</v>
      </c>
      <c r="V851" s="9" t="s">
        <v>3216</v>
      </c>
      <c r="W851">
        <v>5.2260837489428997E+43</v>
      </c>
      <c r="X851" t="s">
        <v>46</v>
      </c>
      <c r="Y851" s="2" t="s">
        <v>717</v>
      </c>
      <c r="Z851" s="2" t="s">
        <v>718</v>
      </c>
      <c r="AA851" s="9" t="s">
        <v>715</v>
      </c>
      <c r="AC851" s="2"/>
      <c r="AD851" t="s">
        <v>7</v>
      </c>
      <c r="AE851" t="s">
        <v>3217</v>
      </c>
    </row>
    <row r="852" spans="1:31" x14ac:dyDescent="0.3">
      <c r="A852" s="17">
        <v>90739624000118</v>
      </c>
      <c r="B852" t="s">
        <v>126</v>
      </c>
      <c r="D852" t="s">
        <v>3218</v>
      </c>
      <c r="E852" t="s">
        <v>2</v>
      </c>
      <c r="F852">
        <v>269308</v>
      </c>
      <c r="G852" s="1" t="s">
        <v>3219</v>
      </c>
      <c r="H852">
        <v>24811253</v>
      </c>
      <c r="I852">
        <v>28600</v>
      </c>
      <c r="J852" t="s">
        <v>127</v>
      </c>
      <c r="K852" s="17">
        <v>76493295000147</v>
      </c>
      <c r="L852" s="17">
        <v>9576274000106</v>
      </c>
      <c r="M852" s="9">
        <v>237.08</v>
      </c>
      <c r="N852" t="s">
        <v>43</v>
      </c>
      <c r="Q852" s="2"/>
      <c r="R852" s="9"/>
      <c r="S852" t="s">
        <v>44</v>
      </c>
      <c r="T852" t="s">
        <v>45</v>
      </c>
      <c r="U852" s="2" t="s">
        <v>585</v>
      </c>
      <c r="V852" s="9" t="s">
        <v>696</v>
      </c>
      <c r="W852">
        <v>4.1260876493295002E+43</v>
      </c>
      <c r="X852" t="s">
        <v>46</v>
      </c>
      <c r="Y852" s="2" t="s">
        <v>717</v>
      </c>
      <c r="Z852" s="2" t="s">
        <v>718</v>
      </c>
      <c r="AA852" s="9" t="s">
        <v>715</v>
      </c>
      <c r="AC852" s="2"/>
      <c r="AD852" t="s">
        <v>7</v>
      </c>
      <c r="AE852" t="s">
        <v>3220</v>
      </c>
    </row>
    <row r="853" spans="1:31" x14ac:dyDescent="0.3">
      <c r="A853" s="17">
        <v>90739624000118</v>
      </c>
      <c r="B853" t="s">
        <v>31</v>
      </c>
      <c r="D853" t="s">
        <v>105</v>
      </c>
      <c r="E853" t="s">
        <v>2</v>
      </c>
      <c r="F853">
        <v>269308</v>
      </c>
      <c r="G853" s="1" t="s">
        <v>3221</v>
      </c>
      <c r="H853">
        <v>24811178</v>
      </c>
      <c r="I853">
        <v>52528</v>
      </c>
      <c r="J853" t="s">
        <v>505</v>
      </c>
      <c r="K853" s="17">
        <v>5082661000550</v>
      </c>
      <c r="L853" s="17">
        <v>90739624001866</v>
      </c>
      <c r="M853" s="9">
        <v>471.63</v>
      </c>
      <c r="N853" t="s">
        <v>43</v>
      </c>
      <c r="Q853" s="2"/>
      <c r="R853" s="9"/>
      <c r="S853" t="s">
        <v>44</v>
      </c>
      <c r="T853" t="s">
        <v>45</v>
      </c>
      <c r="U853" s="2" t="s">
        <v>585</v>
      </c>
      <c r="V853" s="9" t="s">
        <v>3222</v>
      </c>
      <c r="W853">
        <v>5.1260805082660997E+43</v>
      </c>
      <c r="X853" t="s">
        <v>46</v>
      </c>
      <c r="Y853" s="2" t="s">
        <v>717</v>
      </c>
      <c r="Z853" s="2" t="s">
        <v>718</v>
      </c>
      <c r="AA853" s="9" t="s">
        <v>715</v>
      </c>
      <c r="AC853" s="2"/>
      <c r="AD853" t="s">
        <v>7</v>
      </c>
      <c r="AE853" t="s">
        <v>3223</v>
      </c>
    </row>
    <row r="854" spans="1:31" x14ac:dyDescent="0.3">
      <c r="A854" s="17">
        <v>90739624000118</v>
      </c>
      <c r="B854" t="s">
        <v>11</v>
      </c>
      <c r="D854" t="s">
        <v>116</v>
      </c>
      <c r="E854" t="s">
        <v>2</v>
      </c>
      <c r="F854">
        <v>269308</v>
      </c>
      <c r="G854" s="1" t="s">
        <v>3224</v>
      </c>
      <c r="H854">
        <v>24811132</v>
      </c>
      <c r="I854">
        <v>5384</v>
      </c>
      <c r="J854" t="s">
        <v>90</v>
      </c>
      <c r="K854" s="17">
        <v>50780684000160</v>
      </c>
      <c r="L854" s="17">
        <v>90739624001947</v>
      </c>
      <c r="M854" s="9">
        <v>271.25</v>
      </c>
      <c r="N854" t="s">
        <v>43</v>
      </c>
      <c r="Q854" s="2"/>
      <c r="R854" s="9"/>
      <c r="S854" t="s">
        <v>44</v>
      </c>
      <c r="T854" t="s">
        <v>45</v>
      </c>
      <c r="U854" s="2" t="s">
        <v>581</v>
      </c>
      <c r="V854" s="9" t="s">
        <v>3225</v>
      </c>
      <c r="W854">
        <v>5.2260850780684E+43</v>
      </c>
      <c r="X854" t="s">
        <v>46</v>
      </c>
      <c r="Y854" s="2" t="s">
        <v>717</v>
      </c>
      <c r="Z854" s="2" t="s">
        <v>718</v>
      </c>
      <c r="AA854" s="9" t="s">
        <v>715</v>
      </c>
      <c r="AC854" s="2"/>
      <c r="AD854" t="s">
        <v>7</v>
      </c>
      <c r="AE854" t="s">
        <v>3226</v>
      </c>
    </row>
    <row r="855" spans="1:31" x14ac:dyDescent="0.3">
      <c r="A855" s="17">
        <v>90739624000118</v>
      </c>
      <c r="B855" t="s">
        <v>120</v>
      </c>
      <c r="C855">
        <v>26017</v>
      </c>
      <c r="D855" t="s">
        <v>215</v>
      </c>
      <c r="E855" t="s">
        <v>2</v>
      </c>
      <c r="F855">
        <v>269308</v>
      </c>
      <c r="G855" s="1" t="s">
        <v>3227</v>
      </c>
      <c r="H855">
        <v>24810755</v>
      </c>
      <c r="I855">
        <v>38084</v>
      </c>
      <c r="J855" t="s">
        <v>157</v>
      </c>
      <c r="K855" s="17">
        <v>78253424000155</v>
      </c>
      <c r="L855" s="17">
        <v>90739624001432</v>
      </c>
      <c r="M855" s="9">
        <v>787.09</v>
      </c>
      <c r="N855" t="s">
        <v>43</v>
      </c>
      <c r="Q855" s="2"/>
      <c r="R855" s="9"/>
      <c r="S855" t="s">
        <v>44</v>
      </c>
      <c r="T855" t="s">
        <v>45</v>
      </c>
      <c r="U855" s="2" t="s">
        <v>585</v>
      </c>
      <c r="V855" s="9" t="s">
        <v>3228</v>
      </c>
      <c r="W855">
        <v>4.2260878253423998E+43</v>
      </c>
      <c r="X855" t="s">
        <v>46</v>
      </c>
      <c r="Y855" s="2" t="s">
        <v>717</v>
      </c>
      <c r="Z855" s="2" t="s">
        <v>718</v>
      </c>
      <c r="AA855" s="9" t="s">
        <v>715</v>
      </c>
      <c r="AC855" s="2"/>
      <c r="AD855" t="s">
        <v>7</v>
      </c>
      <c r="AE855" t="s">
        <v>3229</v>
      </c>
    </row>
    <row r="856" spans="1:31" x14ac:dyDescent="0.3">
      <c r="A856" s="17">
        <v>90739624000118</v>
      </c>
      <c r="B856" t="s">
        <v>31</v>
      </c>
      <c r="C856">
        <v>20122</v>
      </c>
      <c r="D856" t="s">
        <v>3230</v>
      </c>
      <c r="E856" t="s">
        <v>2</v>
      </c>
      <c r="F856">
        <v>269308</v>
      </c>
      <c r="G856" s="1" t="s">
        <v>3231</v>
      </c>
      <c r="H856">
        <v>24810729</v>
      </c>
      <c r="I856">
        <v>1901</v>
      </c>
      <c r="J856" t="s">
        <v>56</v>
      </c>
      <c r="K856" s="17">
        <v>8603562000212</v>
      </c>
      <c r="L856" s="17">
        <v>90739624001866</v>
      </c>
      <c r="M856" s="9">
        <v>182.36</v>
      </c>
      <c r="N856" t="s">
        <v>43</v>
      </c>
      <c r="Q856" s="2"/>
      <c r="R856" s="9"/>
      <c r="S856" t="s">
        <v>44</v>
      </c>
      <c r="T856" t="s">
        <v>45</v>
      </c>
      <c r="U856" s="2" t="s">
        <v>583</v>
      </c>
      <c r="V856" s="9" t="s">
        <v>3232</v>
      </c>
      <c r="W856">
        <v>5.1260808603562005E+43</v>
      </c>
      <c r="X856" t="s">
        <v>46</v>
      </c>
      <c r="Y856" s="2" t="s">
        <v>717</v>
      </c>
      <c r="Z856" s="2" t="s">
        <v>718</v>
      </c>
      <c r="AA856" s="9" t="s">
        <v>715</v>
      </c>
      <c r="AC856" s="2"/>
      <c r="AD856" t="s">
        <v>7</v>
      </c>
      <c r="AE856" t="s">
        <v>3233</v>
      </c>
    </row>
    <row r="857" spans="1:31" x14ac:dyDescent="0.3">
      <c r="A857" s="17">
        <v>90739624000118</v>
      </c>
      <c r="B857" t="s">
        <v>99</v>
      </c>
      <c r="D857" t="s">
        <v>474</v>
      </c>
      <c r="E857" t="s">
        <v>2</v>
      </c>
      <c r="F857">
        <v>269308</v>
      </c>
      <c r="G857" s="1" t="s">
        <v>3234</v>
      </c>
      <c r="H857">
        <v>24810332</v>
      </c>
      <c r="I857">
        <v>50484</v>
      </c>
      <c r="J857" t="s">
        <v>507</v>
      </c>
      <c r="K857" s="17">
        <v>3626094001330</v>
      </c>
      <c r="L857" s="17">
        <v>9576274000106</v>
      </c>
      <c r="M857" s="9">
        <v>161.91999999999999</v>
      </c>
      <c r="N857" t="s">
        <v>43</v>
      </c>
      <c r="Q857" s="2"/>
      <c r="R857" s="9"/>
      <c r="S857" t="s">
        <v>44</v>
      </c>
      <c r="T857" t="s">
        <v>45</v>
      </c>
      <c r="U857" s="2" t="s">
        <v>585</v>
      </c>
      <c r="V857" s="9" t="s">
        <v>659</v>
      </c>
      <c r="W857">
        <v>4.1260803626093998E+43</v>
      </c>
      <c r="X857" t="s">
        <v>46</v>
      </c>
      <c r="Y857" s="2" t="s">
        <v>717</v>
      </c>
      <c r="Z857" s="2" t="s">
        <v>718</v>
      </c>
      <c r="AA857" s="9" t="s">
        <v>715</v>
      </c>
      <c r="AC857" s="2"/>
      <c r="AD857" t="s">
        <v>7</v>
      </c>
      <c r="AE857" t="s">
        <v>3235</v>
      </c>
    </row>
    <row r="858" spans="1:31" x14ac:dyDescent="0.3">
      <c r="A858" s="17">
        <v>90739624000118</v>
      </c>
      <c r="B858" t="s">
        <v>28</v>
      </c>
      <c r="D858" t="s">
        <v>91</v>
      </c>
      <c r="E858" t="s">
        <v>2</v>
      </c>
      <c r="F858">
        <v>269308</v>
      </c>
      <c r="G858" s="1" t="s">
        <v>3236</v>
      </c>
      <c r="H858">
        <v>24810319</v>
      </c>
      <c r="I858">
        <v>53727</v>
      </c>
      <c r="J858" t="s">
        <v>92</v>
      </c>
      <c r="K858" s="17">
        <v>2310460000141</v>
      </c>
      <c r="L858" s="17">
        <v>90739624001947</v>
      </c>
      <c r="M858" s="9">
        <v>250.42</v>
      </c>
      <c r="N858" t="s">
        <v>43</v>
      </c>
      <c r="Q858" s="2"/>
      <c r="R858" s="9"/>
      <c r="S858" t="s">
        <v>44</v>
      </c>
      <c r="T858" t="s">
        <v>45</v>
      </c>
      <c r="U858" s="2" t="s">
        <v>585</v>
      </c>
      <c r="V858" s="9" t="s">
        <v>3237</v>
      </c>
      <c r="W858">
        <v>5.2260802310459999E+43</v>
      </c>
      <c r="X858" t="s">
        <v>46</v>
      </c>
      <c r="Y858" s="2" t="s">
        <v>717</v>
      </c>
      <c r="Z858" s="2" t="s">
        <v>718</v>
      </c>
      <c r="AA858" s="9" t="s">
        <v>715</v>
      </c>
      <c r="AC858" s="2"/>
      <c r="AD858" t="s">
        <v>7</v>
      </c>
      <c r="AE858" t="s">
        <v>3238</v>
      </c>
    </row>
    <row r="859" spans="1:31" x14ac:dyDescent="0.3">
      <c r="A859" s="17">
        <v>90739624000118</v>
      </c>
      <c r="B859" t="s">
        <v>31</v>
      </c>
      <c r="D859" t="s">
        <v>273</v>
      </c>
      <c r="E859" t="s">
        <v>2</v>
      </c>
      <c r="F859">
        <v>269308</v>
      </c>
      <c r="G859" s="1" t="s">
        <v>3239</v>
      </c>
      <c r="H859">
        <v>24810296</v>
      </c>
      <c r="J859" t="s">
        <v>32</v>
      </c>
      <c r="K859" s="17">
        <v>9001879002619</v>
      </c>
      <c r="L859" s="17"/>
      <c r="M859" s="9">
        <v>138.16999999999999</v>
      </c>
      <c r="N859" t="s">
        <v>43</v>
      </c>
      <c r="Q859" s="2"/>
      <c r="R859" s="9"/>
      <c r="S859" t="s">
        <v>87</v>
      </c>
      <c r="U859" s="2"/>
      <c r="V859" s="9"/>
      <c r="X859" t="s">
        <v>88</v>
      </c>
      <c r="Y859" s="2" t="s">
        <v>717</v>
      </c>
      <c r="Z859" s="2" t="s">
        <v>718</v>
      </c>
      <c r="AA859" s="9" t="s">
        <v>715</v>
      </c>
      <c r="AC859" s="2"/>
      <c r="AD859" t="s">
        <v>7</v>
      </c>
    </row>
    <row r="860" spans="1:31" x14ac:dyDescent="0.3">
      <c r="A860" s="17">
        <v>90739624000118</v>
      </c>
      <c r="B860" t="s">
        <v>18</v>
      </c>
      <c r="C860">
        <v>26123</v>
      </c>
      <c r="D860" t="s">
        <v>39</v>
      </c>
      <c r="E860" t="s">
        <v>2</v>
      </c>
      <c r="F860">
        <v>269308</v>
      </c>
      <c r="G860" s="1" t="s">
        <v>3241</v>
      </c>
      <c r="H860">
        <v>24810264</v>
      </c>
      <c r="I860">
        <v>20203</v>
      </c>
      <c r="J860" t="s">
        <v>54</v>
      </c>
      <c r="K860" s="17">
        <v>79130647000198</v>
      </c>
      <c r="L860" s="17">
        <v>9576274000106</v>
      </c>
      <c r="M860" s="9">
        <v>225.53</v>
      </c>
      <c r="N860" t="s">
        <v>43</v>
      </c>
      <c r="Q860" s="2"/>
      <c r="R860" s="9"/>
      <c r="S860" t="s">
        <v>44</v>
      </c>
      <c r="T860" t="s">
        <v>45</v>
      </c>
      <c r="U860" s="2" t="s">
        <v>585</v>
      </c>
      <c r="V860" s="9" t="s">
        <v>3242</v>
      </c>
      <c r="W860">
        <v>4.1260879130646998E+43</v>
      </c>
      <c r="X860" t="s">
        <v>46</v>
      </c>
      <c r="Y860" s="2" t="s">
        <v>717</v>
      </c>
      <c r="Z860" s="2" t="s">
        <v>718</v>
      </c>
      <c r="AA860" s="9" t="s">
        <v>715</v>
      </c>
      <c r="AC860" s="2"/>
      <c r="AD860" t="s">
        <v>7</v>
      </c>
      <c r="AE860" t="s">
        <v>3243</v>
      </c>
    </row>
    <row r="861" spans="1:31" x14ac:dyDescent="0.3">
      <c r="A861" s="17">
        <v>90739624000118</v>
      </c>
      <c r="B861" t="s">
        <v>33</v>
      </c>
      <c r="D861" t="s">
        <v>179</v>
      </c>
      <c r="E861" t="s">
        <v>2</v>
      </c>
      <c r="F861">
        <v>269308</v>
      </c>
      <c r="G861" s="1" t="s">
        <v>3244</v>
      </c>
      <c r="H861">
        <v>24810106</v>
      </c>
      <c r="I861">
        <v>1129</v>
      </c>
      <c r="J861" t="s">
        <v>35</v>
      </c>
      <c r="K861" s="17">
        <v>27933025000102</v>
      </c>
      <c r="L861" s="17">
        <v>9576274000106</v>
      </c>
      <c r="M861" s="9">
        <v>108.03</v>
      </c>
      <c r="N861" t="s">
        <v>43</v>
      </c>
      <c r="Q861" s="2"/>
      <c r="R861" s="9"/>
      <c r="S861" t="s">
        <v>44</v>
      </c>
      <c r="T861" t="s">
        <v>45</v>
      </c>
      <c r="U861" s="2" t="s">
        <v>583</v>
      </c>
      <c r="V861" s="9" t="s">
        <v>3245</v>
      </c>
      <c r="W861">
        <v>4.1260827933025001E+43</v>
      </c>
      <c r="X861" t="s">
        <v>46</v>
      </c>
      <c r="Y861" s="2" t="s">
        <v>717</v>
      </c>
      <c r="Z861" s="2" t="s">
        <v>718</v>
      </c>
      <c r="AA861" s="9" t="s">
        <v>715</v>
      </c>
      <c r="AC861" s="2"/>
      <c r="AD861" t="s">
        <v>7</v>
      </c>
      <c r="AE861" t="s">
        <v>3246</v>
      </c>
    </row>
    <row r="862" spans="1:31" x14ac:dyDescent="0.3">
      <c r="A862" s="17">
        <v>90739624000118</v>
      </c>
      <c r="B862" t="s">
        <v>31</v>
      </c>
      <c r="D862" t="s">
        <v>110</v>
      </c>
      <c r="E862" t="s">
        <v>2</v>
      </c>
      <c r="F862">
        <v>269308</v>
      </c>
      <c r="G862" s="1" t="s">
        <v>3247</v>
      </c>
      <c r="H862">
        <v>24810101</v>
      </c>
      <c r="I862">
        <v>43715</v>
      </c>
      <c r="J862" t="s">
        <v>111</v>
      </c>
      <c r="K862" s="17">
        <v>32951238000199</v>
      </c>
      <c r="L862" s="17">
        <v>90739624001866</v>
      </c>
      <c r="M862" s="9">
        <v>181.25</v>
      </c>
      <c r="N862" t="s">
        <v>43</v>
      </c>
      <c r="Q862" s="2"/>
      <c r="R862" s="9"/>
      <c r="S862" t="s">
        <v>44</v>
      </c>
      <c r="T862" t="s">
        <v>45</v>
      </c>
      <c r="U862" s="2" t="s">
        <v>695</v>
      </c>
      <c r="V862" s="9" t="s">
        <v>3248</v>
      </c>
      <c r="W862">
        <v>5.1260832951238001E+43</v>
      </c>
      <c r="X862" t="s">
        <v>46</v>
      </c>
      <c r="Y862" s="2" t="s">
        <v>717</v>
      </c>
      <c r="Z862" s="2" t="s">
        <v>718</v>
      </c>
      <c r="AA862" s="9" t="s">
        <v>715</v>
      </c>
      <c r="AC862" s="2"/>
      <c r="AD862" t="s">
        <v>7</v>
      </c>
      <c r="AE862" t="s">
        <v>3249</v>
      </c>
    </row>
    <row r="863" spans="1:31" x14ac:dyDescent="0.3">
      <c r="A863" s="17">
        <v>90739624000118</v>
      </c>
      <c r="B863" t="s">
        <v>25</v>
      </c>
      <c r="D863" t="s">
        <v>586</v>
      </c>
      <c r="E863" t="s">
        <v>2</v>
      </c>
      <c r="F863">
        <v>269308</v>
      </c>
      <c r="G863" s="1" t="s">
        <v>3250</v>
      </c>
      <c r="H863">
        <v>24810020</v>
      </c>
      <c r="I863">
        <v>37541</v>
      </c>
      <c r="J863" t="s">
        <v>94</v>
      </c>
      <c r="K863" s="17">
        <v>1300979000186</v>
      </c>
      <c r="L863" s="17">
        <v>90739624001866</v>
      </c>
      <c r="M863" s="9">
        <v>131.85</v>
      </c>
      <c r="N863" t="s">
        <v>43</v>
      </c>
      <c r="Q863" s="2"/>
      <c r="R863" s="9"/>
      <c r="S863" t="s">
        <v>44</v>
      </c>
      <c r="T863" t="s">
        <v>45</v>
      </c>
      <c r="U863" s="2" t="s">
        <v>585</v>
      </c>
      <c r="V863" s="9" t="s">
        <v>3251</v>
      </c>
      <c r="W863">
        <v>5.1260801300978997E+43</v>
      </c>
      <c r="X863" t="s">
        <v>46</v>
      </c>
      <c r="Y863" s="2" t="s">
        <v>717</v>
      </c>
      <c r="Z863" s="2" t="s">
        <v>718</v>
      </c>
      <c r="AA863" s="9" t="s">
        <v>715</v>
      </c>
      <c r="AC863" s="2"/>
      <c r="AD863" t="s">
        <v>7</v>
      </c>
      <c r="AE863" t="s">
        <v>3252</v>
      </c>
    </row>
    <row r="864" spans="1:31" x14ac:dyDescent="0.3">
      <c r="A864" s="17">
        <v>90739624000118</v>
      </c>
      <c r="B864" t="s">
        <v>65</v>
      </c>
      <c r="D864" t="s">
        <v>107</v>
      </c>
      <c r="E864" t="s">
        <v>2</v>
      </c>
      <c r="F864">
        <v>269308</v>
      </c>
      <c r="G864" s="1" t="s">
        <v>3253</v>
      </c>
      <c r="H864">
        <v>24809974</v>
      </c>
      <c r="I864">
        <v>75140</v>
      </c>
      <c r="J864" t="s">
        <v>67</v>
      </c>
      <c r="K864" s="17">
        <v>7473735006031</v>
      </c>
      <c r="L864" s="17">
        <v>90739624002323</v>
      </c>
      <c r="M864" s="9">
        <v>193.41</v>
      </c>
      <c r="N864" t="s">
        <v>43</v>
      </c>
      <c r="Q864" s="2"/>
      <c r="R864" s="9"/>
      <c r="S864" t="s">
        <v>44</v>
      </c>
      <c r="T864" t="s">
        <v>45</v>
      </c>
      <c r="U864" s="2" t="s">
        <v>585</v>
      </c>
      <c r="V864" s="9" t="s">
        <v>3254</v>
      </c>
      <c r="W864">
        <v>4.3260807473734999E+43</v>
      </c>
      <c r="X864" t="s">
        <v>46</v>
      </c>
      <c r="Y864" s="2" t="s">
        <v>717</v>
      </c>
      <c r="Z864" s="2" t="s">
        <v>718</v>
      </c>
      <c r="AA864" s="9" t="s">
        <v>715</v>
      </c>
      <c r="AC864" s="2"/>
      <c r="AD864" t="s">
        <v>7</v>
      </c>
      <c r="AE864" t="s">
        <v>3255</v>
      </c>
    </row>
    <row r="865" spans="1:31" x14ac:dyDescent="0.3">
      <c r="A865" s="17">
        <v>90739624000118</v>
      </c>
      <c r="B865" t="s">
        <v>65</v>
      </c>
      <c r="D865" t="s">
        <v>469</v>
      </c>
      <c r="E865" t="s">
        <v>2</v>
      </c>
      <c r="F865">
        <v>269308</v>
      </c>
      <c r="G865" s="1" t="s">
        <v>3256</v>
      </c>
      <c r="H865">
        <v>24809952</v>
      </c>
      <c r="I865">
        <v>75139</v>
      </c>
      <c r="J865" t="s">
        <v>67</v>
      </c>
      <c r="K865" s="17">
        <v>7473735006031</v>
      </c>
      <c r="L865" s="17">
        <v>90739624002323</v>
      </c>
      <c r="M865" s="9">
        <v>261.48</v>
      </c>
      <c r="N865" t="s">
        <v>43</v>
      </c>
      <c r="Q865" s="2"/>
      <c r="R865" s="9"/>
      <c r="S865" t="s">
        <v>44</v>
      </c>
      <c r="T865" t="s">
        <v>45</v>
      </c>
      <c r="U865" s="2" t="s">
        <v>585</v>
      </c>
      <c r="V865" s="9" t="s">
        <v>3257</v>
      </c>
      <c r="W865">
        <v>4.3260807473734999E+43</v>
      </c>
      <c r="X865" t="s">
        <v>46</v>
      </c>
      <c r="Y865" s="2" t="s">
        <v>717</v>
      </c>
      <c r="Z865" s="2" t="s">
        <v>718</v>
      </c>
      <c r="AA865" s="9" t="s">
        <v>715</v>
      </c>
      <c r="AC865" s="2"/>
      <c r="AD865" t="s">
        <v>7</v>
      </c>
      <c r="AE865" t="s">
        <v>3258</v>
      </c>
    </row>
    <row r="866" spans="1:31" x14ac:dyDescent="0.3">
      <c r="A866" s="17">
        <v>90739624000118</v>
      </c>
      <c r="B866" t="s">
        <v>13</v>
      </c>
      <c r="C866">
        <v>26010</v>
      </c>
      <c r="D866" t="s">
        <v>336</v>
      </c>
      <c r="E866" t="s">
        <v>17</v>
      </c>
      <c r="F866">
        <v>269308</v>
      </c>
      <c r="G866" s="1" t="s">
        <v>3256</v>
      </c>
      <c r="H866">
        <v>24809951</v>
      </c>
      <c r="I866">
        <v>263820</v>
      </c>
      <c r="J866" t="s">
        <v>337</v>
      </c>
      <c r="K866" s="17">
        <v>6068493000188</v>
      </c>
      <c r="L866" s="17">
        <v>90739624000380</v>
      </c>
      <c r="M866" s="9">
        <v>25.84</v>
      </c>
      <c r="N866" t="s">
        <v>43</v>
      </c>
      <c r="Q866" s="2"/>
      <c r="R866" s="9"/>
      <c r="S866" t="s">
        <v>44</v>
      </c>
      <c r="T866" t="s">
        <v>45</v>
      </c>
      <c r="U866" s="2" t="s">
        <v>695</v>
      </c>
      <c r="V866" s="9" t="s">
        <v>3260</v>
      </c>
      <c r="W866">
        <v>3.5260806068492999E+43</v>
      </c>
      <c r="X866" t="s">
        <v>46</v>
      </c>
      <c r="Y866" s="2" t="s">
        <v>717</v>
      </c>
      <c r="Z866" s="2" t="s">
        <v>718</v>
      </c>
      <c r="AA866" s="9" t="s">
        <v>715</v>
      </c>
      <c r="AC866" s="2"/>
      <c r="AD866" t="s">
        <v>7</v>
      </c>
      <c r="AE866" t="s">
        <v>3261</v>
      </c>
    </row>
    <row r="867" spans="1:31" x14ac:dyDescent="0.3">
      <c r="A867" s="17">
        <v>90739624000118</v>
      </c>
      <c r="B867" t="s">
        <v>13</v>
      </c>
      <c r="C867">
        <v>26010</v>
      </c>
      <c r="D867" t="s">
        <v>336</v>
      </c>
      <c r="E867" t="s">
        <v>2</v>
      </c>
      <c r="F867">
        <v>269308</v>
      </c>
      <c r="G867" s="1" t="s">
        <v>3262</v>
      </c>
      <c r="H867">
        <v>24809941</v>
      </c>
      <c r="I867">
        <v>263820</v>
      </c>
      <c r="J867" t="s">
        <v>337</v>
      </c>
      <c r="K867" s="17">
        <v>6068493000188</v>
      </c>
      <c r="L867" s="17">
        <v>90739624000380</v>
      </c>
      <c r="M867" s="9">
        <v>217</v>
      </c>
      <c r="N867" t="s">
        <v>43</v>
      </c>
      <c r="Q867" s="2"/>
      <c r="R867" s="9"/>
      <c r="S867" t="s">
        <v>44</v>
      </c>
      <c r="T867" t="s">
        <v>45</v>
      </c>
      <c r="U867" s="2" t="s">
        <v>695</v>
      </c>
      <c r="V867" s="9" t="s">
        <v>3260</v>
      </c>
      <c r="W867">
        <v>3.5260806068492999E+43</v>
      </c>
      <c r="X867" t="s">
        <v>46</v>
      </c>
      <c r="Y867" s="2" t="s">
        <v>717</v>
      </c>
      <c r="Z867" s="2" t="s">
        <v>718</v>
      </c>
      <c r="AA867" s="9" t="s">
        <v>715</v>
      </c>
      <c r="AC867" s="2"/>
      <c r="AD867" t="s">
        <v>7</v>
      </c>
      <c r="AE867" t="s">
        <v>3261</v>
      </c>
    </row>
    <row r="868" spans="1:31" x14ac:dyDescent="0.3">
      <c r="A868" s="17">
        <v>90739624000118</v>
      </c>
      <c r="B868" t="s">
        <v>65</v>
      </c>
      <c r="D868" t="s">
        <v>66</v>
      </c>
      <c r="E868" t="s">
        <v>2</v>
      </c>
      <c r="F868">
        <v>269308</v>
      </c>
      <c r="G868" s="1" t="s">
        <v>3263</v>
      </c>
      <c r="H868">
        <v>24809861</v>
      </c>
      <c r="I868">
        <v>75137</v>
      </c>
      <c r="J868" t="s">
        <v>67</v>
      </c>
      <c r="K868" s="17">
        <v>7473735006031</v>
      </c>
      <c r="L868" s="17">
        <v>90739624002323</v>
      </c>
      <c r="M868" s="9">
        <v>214.43</v>
      </c>
      <c r="N868" t="s">
        <v>43</v>
      </c>
      <c r="Q868" s="2"/>
      <c r="R868" s="9"/>
      <c r="S868" t="s">
        <v>44</v>
      </c>
      <c r="T868" t="s">
        <v>45</v>
      </c>
      <c r="U868" s="2" t="s">
        <v>585</v>
      </c>
      <c r="V868" s="9" t="s">
        <v>3264</v>
      </c>
      <c r="W868">
        <v>4.3260807473734999E+43</v>
      </c>
      <c r="X868" t="s">
        <v>46</v>
      </c>
      <c r="Y868" s="2" t="s">
        <v>717</v>
      </c>
      <c r="Z868" s="2" t="s">
        <v>718</v>
      </c>
      <c r="AA868" s="9" t="s">
        <v>715</v>
      </c>
      <c r="AC868" s="2"/>
      <c r="AD868" t="s">
        <v>7</v>
      </c>
      <c r="AE868" t="s">
        <v>3265</v>
      </c>
    </row>
    <row r="869" spans="1:31" x14ac:dyDescent="0.3">
      <c r="A869" s="17">
        <v>90739624000118</v>
      </c>
      <c r="B869" t="s">
        <v>25</v>
      </c>
      <c r="D869" t="s">
        <v>129</v>
      </c>
      <c r="E869" t="s">
        <v>2</v>
      </c>
      <c r="F869">
        <v>269308</v>
      </c>
      <c r="G869" s="1" t="s">
        <v>3266</v>
      </c>
      <c r="H869">
        <v>24809398</v>
      </c>
      <c r="I869">
        <v>74344</v>
      </c>
      <c r="J869" t="s">
        <v>130</v>
      </c>
      <c r="K869" s="17">
        <v>1594553000182</v>
      </c>
      <c r="L869" s="17">
        <v>90739624001866</v>
      </c>
      <c r="M869" s="9">
        <v>150</v>
      </c>
      <c r="N869" t="s">
        <v>43</v>
      </c>
      <c r="Q869" s="2"/>
      <c r="R869" s="9"/>
      <c r="S869" t="s">
        <v>44</v>
      </c>
      <c r="T869" t="s">
        <v>45</v>
      </c>
      <c r="U869" s="2" t="s">
        <v>585</v>
      </c>
      <c r="V869" s="9" t="s">
        <v>3267</v>
      </c>
      <c r="W869">
        <v>5.1260801594553001E+43</v>
      </c>
      <c r="X869" t="s">
        <v>46</v>
      </c>
      <c r="Y869" s="2" t="s">
        <v>717</v>
      </c>
      <c r="Z869" s="2" t="s">
        <v>718</v>
      </c>
      <c r="AA869" s="9" t="s">
        <v>715</v>
      </c>
      <c r="AC869" s="2"/>
      <c r="AD869" t="s">
        <v>7</v>
      </c>
      <c r="AE869" t="s">
        <v>3268</v>
      </c>
    </row>
    <row r="870" spans="1:31" x14ac:dyDescent="0.3">
      <c r="A870" s="17">
        <v>90739624000118</v>
      </c>
      <c r="B870" t="s">
        <v>25</v>
      </c>
      <c r="C870">
        <v>20890</v>
      </c>
      <c r="D870" t="s">
        <v>354</v>
      </c>
      <c r="E870" t="s">
        <v>2</v>
      </c>
      <c r="F870">
        <v>269308</v>
      </c>
      <c r="G870" s="1" t="s">
        <v>3269</v>
      </c>
      <c r="H870">
        <v>24809269</v>
      </c>
      <c r="I870">
        <v>33909</v>
      </c>
      <c r="J870" t="s">
        <v>132</v>
      </c>
      <c r="K870" s="17">
        <v>10588554000105</v>
      </c>
      <c r="L870" s="17">
        <v>90739624003486</v>
      </c>
      <c r="M870" s="9">
        <v>178.17</v>
      </c>
      <c r="N870" t="s">
        <v>43</v>
      </c>
      <c r="Q870" s="2"/>
      <c r="R870" s="9"/>
      <c r="S870" t="s">
        <v>44</v>
      </c>
      <c r="T870" t="s">
        <v>45</v>
      </c>
      <c r="U870" s="2" t="s">
        <v>585</v>
      </c>
      <c r="V870" s="9" t="s">
        <v>3270</v>
      </c>
      <c r="W870">
        <v>5.1260810588554005E+43</v>
      </c>
      <c r="X870" t="s">
        <v>46</v>
      </c>
      <c r="Y870" s="2" t="s">
        <v>717</v>
      </c>
      <c r="Z870" s="2" t="s">
        <v>718</v>
      </c>
      <c r="AA870" s="9" t="s">
        <v>715</v>
      </c>
      <c r="AC870" s="2"/>
      <c r="AD870" t="s">
        <v>7</v>
      </c>
      <c r="AE870" t="s">
        <v>3271</v>
      </c>
    </row>
    <row r="871" spans="1:31" x14ac:dyDescent="0.3">
      <c r="A871" s="17">
        <v>90739624000118</v>
      </c>
      <c r="B871" t="s">
        <v>28</v>
      </c>
      <c r="D871" t="s">
        <v>511</v>
      </c>
      <c r="E871" t="s">
        <v>2</v>
      </c>
      <c r="F871">
        <v>269308</v>
      </c>
      <c r="G871" s="1" t="s">
        <v>3272</v>
      </c>
      <c r="H871">
        <v>24809071</v>
      </c>
      <c r="I871">
        <v>9193</v>
      </c>
      <c r="J871" t="s">
        <v>339</v>
      </c>
      <c r="K871" s="17">
        <v>53741408000180</v>
      </c>
      <c r="L871" s="17">
        <v>90739624001947</v>
      </c>
      <c r="M871" s="9">
        <v>162.26</v>
      </c>
      <c r="N871" t="s">
        <v>43</v>
      </c>
      <c r="Q871" s="2"/>
      <c r="R871" s="9"/>
      <c r="S871" t="s">
        <v>44</v>
      </c>
      <c r="T871" t="s">
        <v>45</v>
      </c>
      <c r="U871" s="2" t="s">
        <v>585</v>
      </c>
      <c r="V871" s="9" t="s">
        <v>3273</v>
      </c>
      <c r="W871">
        <v>5.2260853741407999E+43</v>
      </c>
      <c r="X871" t="s">
        <v>46</v>
      </c>
      <c r="Y871" s="2" t="s">
        <v>717</v>
      </c>
      <c r="Z871" s="2" t="s">
        <v>718</v>
      </c>
      <c r="AA871" s="9" t="s">
        <v>715</v>
      </c>
      <c r="AC871" s="2"/>
      <c r="AD871" t="s">
        <v>7</v>
      </c>
      <c r="AE871" t="s">
        <v>3274</v>
      </c>
    </row>
    <row r="872" spans="1:31" x14ac:dyDescent="0.3">
      <c r="A872" s="17">
        <v>90739624000118</v>
      </c>
      <c r="B872" t="s">
        <v>65</v>
      </c>
      <c r="D872" t="s">
        <v>335</v>
      </c>
      <c r="E872" t="s">
        <v>2</v>
      </c>
      <c r="F872">
        <v>269308</v>
      </c>
      <c r="G872" s="1" t="s">
        <v>3275</v>
      </c>
      <c r="H872">
        <v>24808965</v>
      </c>
      <c r="I872">
        <v>75136</v>
      </c>
      <c r="J872" t="s">
        <v>67</v>
      </c>
      <c r="K872" s="17">
        <v>7473735006031</v>
      </c>
      <c r="L872" s="17">
        <v>90739624002323</v>
      </c>
      <c r="M872" s="9">
        <v>326.60000000000002</v>
      </c>
      <c r="N872" t="s">
        <v>43</v>
      </c>
      <c r="Q872" s="2"/>
      <c r="R872" s="9"/>
      <c r="S872" t="s">
        <v>44</v>
      </c>
      <c r="T872" t="s">
        <v>45</v>
      </c>
      <c r="U872" s="2" t="s">
        <v>585</v>
      </c>
      <c r="V872" s="9" t="s">
        <v>3276</v>
      </c>
      <c r="W872">
        <v>4.3260807473734999E+43</v>
      </c>
      <c r="X872" t="s">
        <v>46</v>
      </c>
      <c r="Y872" s="2" t="s">
        <v>717</v>
      </c>
      <c r="Z872" s="2" t="s">
        <v>718</v>
      </c>
      <c r="AA872" s="9" t="s">
        <v>715</v>
      </c>
      <c r="AC872" s="2"/>
      <c r="AD872" t="s">
        <v>7</v>
      </c>
      <c r="AE872" t="s">
        <v>3277</v>
      </c>
    </row>
    <row r="873" spans="1:31" x14ac:dyDescent="0.3">
      <c r="A873" s="17">
        <v>90739624000118</v>
      </c>
      <c r="B873" t="s">
        <v>40</v>
      </c>
      <c r="D873" t="s">
        <v>124</v>
      </c>
      <c r="E873" t="s">
        <v>2</v>
      </c>
      <c r="F873">
        <v>269308</v>
      </c>
      <c r="G873" s="1" t="s">
        <v>3278</v>
      </c>
      <c r="H873">
        <v>24808831</v>
      </c>
      <c r="I873">
        <v>168219</v>
      </c>
      <c r="J873" t="s">
        <v>42</v>
      </c>
      <c r="K873" s="17">
        <v>82156977000248</v>
      </c>
      <c r="L873" s="17">
        <v>90739624001432</v>
      </c>
      <c r="M873" s="9">
        <v>259.23</v>
      </c>
      <c r="N873" t="s">
        <v>43</v>
      </c>
      <c r="Q873" s="2"/>
      <c r="R873" s="9"/>
      <c r="S873" t="s">
        <v>44</v>
      </c>
      <c r="T873" t="s">
        <v>45</v>
      </c>
      <c r="U873" s="2" t="s">
        <v>585</v>
      </c>
      <c r="V873" s="9" t="s">
        <v>3279</v>
      </c>
      <c r="W873">
        <v>4.2260882156977001E+43</v>
      </c>
      <c r="X873" t="s">
        <v>46</v>
      </c>
      <c r="Y873" s="2" t="s">
        <v>717</v>
      </c>
      <c r="Z873" s="2" t="s">
        <v>718</v>
      </c>
      <c r="AA873" s="9" t="s">
        <v>715</v>
      </c>
      <c r="AC873" s="2"/>
      <c r="AD873" t="s">
        <v>7</v>
      </c>
      <c r="AE873" t="s">
        <v>3280</v>
      </c>
    </row>
    <row r="874" spans="1:31" x14ac:dyDescent="0.3">
      <c r="A874" s="17">
        <v>90739624000118</v>
      </c>
      <c r="B874" t="s">
        <v>25</v>
      </c>
      <c r="D874" t="s">
        <v>548</v>
      </c>
      <c r="E874" t="s">
        <v>2</v>
      </c>
      <c r="F874">
        <v>269308</v>
      </c>
      <c r="G874" s="1" t="s">
        <v>3281</v>
      </c>
      <c r="H874">
        <v>24808699</v>
      </c>
      <c r="I874">
        <v>33908</v>
      </c>
      <c r="J874" t="s">
        <v>132</v>
      </c>
      <c r="K874" s="17">
        <v>10588554000105</v>
      </c>
      <c r="L874" s="17">
        <v>90739624003486</v>
      </c>
      <c r="M874" s="9">
        <v>142.94</v>
      </c>
      <c r="N874" t="s">
        <v>43</v>
      </c>
      <c r="Q874" s="2"/>
      <c r="R874" s="9"/>
      <c r="S874" t="s">
        <v>44</v>
      </c>
      <c r="T874" t="s">
        <v>45</v>
      </c>
      <c r="U874" s="2" t="s">
        <v>585</v>
      </c>
      <c r="V874" s="9" t="s">
        <v>3282</v>
      </c>
      <c r="W874">
        <v>5.1260810588554005E+43</v>
      </c>
      <c r="X874" t="s">
        <v>46</v>
      </c>
      <c r="Y874" s="2" t="s">
        <v>717</v>
      </c>
      <c r="Z874" s="2" t="s">
        <v>718</v>
      </c>
      <c r="AA874" s="9" t="s">
        <v>715</v>
      </c>
      <c r="AC874" s="2"/>
      <c r="AD874" t="s">
        <v>7</v>
      </c>
      <c r="AE874" t="s">
        <v>3283</v>
      </c>
    </row>
    <row r="875" spans="1:31" x14ac:dyDescent="0.3">
      <c r="A875" s="17">
        <v>90739624000118</v>
      </c>
      <c r="B875" t="s">
        <v>58</v>
      </c>
      <c r="C875">
        <v>25067</v>
      </c>
      <c r="D875" t="s">
        <v>361</v>
      </c>
      <c r="E875" t="s">
        <v>2</v>
      </c>
      <c r="F875">
        <v>269308</v>
      </c>
      <c r="G875" s="1" t="s">
        <v>3284</v>
      </c>
      <c r="H875">
        <v>24808247</v>
      </c>
      <c r="J875" t="s">
        <v>3285</v>
      </c>
      <c r="K875" s="17">
        <v>7473735020883</v>
      </c>
      <c r="L875" s="17"/>
      <c r="M875" s="9">
        <v>353.84</v>
      </c>
      <c r="N875" t="s">
        <v>43</v>
      </c>
      <c r="Q875" s="2"/>
      <c r="R875" s="9"/>
      <c r="S875" t="s">
        <v>87</v>
      </c>
      <c r="U875" s="2"/>
      <c r="V875" s="9"/>
      <c r="X875" t="s">
        <v>88</v>
      </c>
      <c r="Y875" s="2" t="s">
        <v>717</v>
      </c>
      <c r="Z875" s="2" t="s">
        <v>718</v>
      </c>
      <c r="AA875" s="9" t="s">
        <v>715</v>
      </c>
      <c r="AC875" s="2"/>
      <c r="AD875" t="s">
        <v>7</v>
      </c>
    </row>
    <row r="876" spans="1:31" x14ac:dyDescent="0.3">
      <c r="A876" s="17">
        <v>90739624000118</v>
      </c>
      <c r="B876" t="s">
        <v>120</v>
      </c>
      <c r="C876">
        <v>22469</v>
      </c>
      <c r="D876" t="s">
        <v>643</v>
      </c>
      <c r="E876" t="s">
        <v>2</v>
      </c>
      <c r="F876">
        <v>269308</v>
      </c>
      <c r="G876" s="1" t="s">
        <v>3287</v>
      </c>
      <c r="H876">
        <v>24807315</v>
      </c>
      <c r="I876">
        <v>8574</v>
      </c>
      <c r="J876" t="s">
        <v>122</v>
      </c>
      <c r="K876" s="17">
        <v>1387686000340</v>
      </c>
      <c r="L876" s="17">
        <v>90739624001432</v>
      </c>
      <c r="M876" s="9">
        <v>225.27</v>
      </c>
      <c r="N876" t="s">
        <v>43</v>
      </c>
      <c r="Q876" s="2"/>
      <c r="R876" s="9"/>
      <c r="S876" t="s">
        <v>44</v>
      </c>
      <c r="T876" t="s">
        <v>45</v>
      </c>
      <c r="U876" s="2" t="s">
        <v>585</v>
      </c>
      <c r="V876" s="9" t="s">
        <v>3288</v>
      </c>
      <c r="W876">
        <v>4.2260801387686002E+43</v>
      </c>
      <c r="X876" t="s">
        <v>46</v>
      </c>
      <c r="Y876" s="2" t="s">
        <v>717</v>
      </c>
      <c r="Z876" s="2" t="s">
        <v>718</v>
      </c>
      <c r="AA876" s="9" t="s">
        <v>715</v>
      </c>
      <c r="AC876" s="2"/>
      <c r="AD876" t="s">
        <v>7</v>
      </c>
      <c r="AE876" t="s">
        <v>3289</v>
      </c>
    </row>
    <row r="877" spans="1:31" x14ac:dyDescent="0.3">
      <c r="A877" s="17">
        <v>90739624000118</v>
      </c>
      <c r="B877" t="s">
        <v>28</v>
      </c>
      <c r="C877">
        <v>22447</v>
      </c>
      <c r="D877" t="s">
        <v>331</v>
      </c>
      <c r="E877" t="s">
        <v>2</v>
      </c>
      <c r="F877">
        <v>269308</v>
      </c>
      <c r="G877" s="1" t="s">
        <v>3290</v>
      </c>
      <c r="H877">
        <v>24806109</v>
      </c>
      <c r="I877">
        <v>9374</v>
      </c>
      <c r="J877" t="s">
        <v>3291</v>
      </c>
      <c r="K877" s="17">
        <v>2982547000165</v>
      </c>
      <c r="L877" s="17">
        <v>90739624001947</v>
      </c>
      <c r="M877" s="9">
        <v>331.7</v>
      </c>
      <c r="N877" t="s">
        <v>43</v>
      </c>
      <c r="Q877" s="2"/>
      <c r="R877" s="9"/>
      <c r="S877" t="s">
        <v>44</v>
      </c>
      <c r="T877" t="s">
        <v>45</v>
      </c>
      <c r="U877" s="2" t="s">
        <v>585</v>
      </c>
      <c r="V877" s="9" t="s">
        <v>3292</v>
      </c>
      <c r="W877">
        <v>5.2260802982546996E+43</v>
      </c>
      <c r="X877" t="s">
        <v>46</v>
      </c>
      <c r="Y877" s="2" t="s">
        <v>717</v>
      </c>
      <c r="Z877" s="2" t="s">
        <v>718</v>
      </c>
      <c r="AA877" s="9" t="s">
        <v>715</v>
      </c>
      <c r="AC877" s="2"/>
      <c r="AD877" t="s">
        <v>7</v>
      </c>
      <c r="AE877" t="s">
        <v>3293</v>
      </c>
    </row>
    <row r="878" spans="1:31" x14ac:dyDescent="0.3">
      <c r="A878" s="17">
        <v>90739624000118</v>
      </c>
      <c r="B878" t="s">
        <v>174</v>
      </c>
      <c r="C878">
        <v>21315</v>
      </c>
      <c r="D878" t="s">
        <v>463</v>
      </c>
      <c r="E878" t="s">
        <v>2</v>
      </c>
      <c r="F878">
        <v>269308</v>
      </c>
      <c r="G878" s="1" t="s">
        <v>3294</v>
      </c>
      <c r="H878">
        <v>24806059</v>
      </c>
      <c r="I878">
        <v>99225</v>
      </c>
      <c r="J878" t="s">
        <v>176</v>
      </c>
      <c r="K878" s="17">
        <v>4219621000111</v>
      </c>
      <c r="L878" s="17">
        <v>90739624000118</v>
      </c>
      <c r="M878" s="9">
        <v>310.60000000000002</v>
      </c>
      <c r="N878" t="s">
        <v>43</v>
      </c>
      <c r="Q878" s="2"/>
      <c r="R878" s="9"/>
      <c r="S878" t="s">
        <v>44</v>
      </c>
      <c r="T878" t="s">
        <v>45</v>
      </c>
      <c r="U878" s="2" t="s">
        <v>583</v>
      </c>
      <c r="V878" s="9" t="s">
        <v>3295</v>
      </c>
      <c r="W878">
        <v>1.7260804219621001E+43</v>
      </c>
      <c r="X878" t="s">
        <v>46</v>
      </c>
      <c r="Y878" s="2" t="s">
        <v>717</v>
      </c>
      <c r="Z878" s="2" t="s">
        <v>718</v>
      </c>
      <c r="AA878" s="9" t="s">
        <v>715</v>
      </c>
      <c r="AC878" s="2"/>
      <c r="AD878" t="s">
        <v>7</v>
      </c>
      <c r="AE878" t="s">
        <v>3296</v>
      </c>
    </row>
    <row r="879" spans="1:31" x14ac:dyDescent="0.3">
      <c r="A879" s="17">
        <v>90739624000118</v>
      </c>
      <c r="B879" t="s">
        <v>25</v>
      </c>
      <c r="D879" t="s">
        <v>265</v>
      </c>
      <c r="E879" t="s">
        <v>2</v>
      </c>
      <c r="F879">
        <v>269308</v>
      </c>
      <c r="G879" s="1" t="s">
        <v>3297</v>
      </c>
      <c r="H879">
        <v>24805527</v>
      </c>
      <c r="I879">
        <v>33906</v>
      </c>
      <c r="J879" t="s">
        <v>132</v>
      </c>
      <c r="K879" s="17">
        <v>10588554000105</v>
      </c>
      <c r="L879" s="17">
        <v>90739624003486</v>
      </c>
      <c r="M879" s="9">
        <v>115.59</v>
      </c>
      <c r="N879" t="s">
        <v>43</v>
      </c>
      <c r="Q879" s="2"/>
      <c r="R879" s="9"/>
      <c r="S879" t="s">
        <v>44</v>
      </c>
      <c r="T879" t="s">
        <v>45</v>
      </c>
      <c r="U879" s="2" t="s">
        <v>585</v>
      </c>
      <c r="V879" s="9" t="s">
        <v>3298</v>
      </c>
      <c r="W879">
        <v>5.1260810588554005E+43</v>
      </c>
      <c r="X879" t="s">
        <v>46</v>
      </c>
      <c r="Y879" s="2" t="s">
        <v>717</v>
      </c>
      <c r="Z879" s="2" t="s">
        <v>718</v>
      </c>
      <c r="AA879" s="9" t="s">
        <v>715</v>
      </c>
      <c r="AC879" s="2"/>
      <c r="AD879" t="s">
        <v>7</v>
      </c>
      <c r="AE879" t="s">
        <v>3299</v>
      </c>
    </row>
    <row r="880" spans="1:31" x14ac:dyDescent="0.3">
      <c r="A880" s="17">
        <v>90739624000118</v>
      </c>
      <c r="B880" t="s">
        <v>25</v>
      </c>
      <c r="D880" t="s">
        <v>93</v>
      </c>
      <c r="E880" t="s">
        <v>2</v>
      </c>
      <c r="F880">
        <v>269308</v>
      </c>
      <c r="G880" s="1" t="s">
        <v>3300</v>
      </c>
      <c r="H880">
        <v>24805255</v>
      </c>
      <c r="I880">
        <v>33907</v>
      </c>
      <c r="J880" t="s">
        <v>132</v>
      </c>
      <c r="K880" s="17">
        <v>10588554000105</v>
      </c>
      <c r="L880" s="17">
        <v>90739624003486</v>
      </c>
      <c r="M880" s="9">
        <v>156.41999999999999</v>
      </c>
      <c r="N880" t="s">
        <v>43</v>
      </c>
      <c r="Q880" s="2"/>
      <c r="R880" s="9"/>
      <c r="S880" t="s">
        <v>44</v>
      </c>
      <c r="T880" t="s">
        <v>45</v>
      </c>
      <c r="U880" s="2" t="s">
        <v>585</v>
      </c>
      <c r="V880" s="9" t="s">
        <v>3301</v>
      </c>
      <c r="W880">
        <v>5.1260810588554005E+43</v>
      </c>
      <c r="X880" t="s">
        <v>46</v>
      </c>
      <c r="Y880" s="2" t="s">
        <v>717</v>
      </c>
      <c r="Z880" s="2" t="s">
        <v>718</v>
      </c>
      <c r="AA880" s="9" t="s">
        <v>715</v>
      </c>
      <c r="AC880" s="2"/>
      <c r="AD880" t="s">
        <v>7</v>
      </c>
      <c r="AE880" t="s">
        <v>3302</v>
      </c>
    </row>
    <row r="881" spans="1:31" x14ac:dyDescent="0.3">
      <c r="A881" s="17">
        <v>90739624000118</v>
      </c>
      <c r="B881" t="s">
        <v>100</v>
      </c>
      <c r="D881" t="s">
        <v>112</v>
      </c>
      <c r="E881" t="s">
        <v>2</v>
      </c>
      <c r="F881">
        <v>269308</v>
      </c>
      <c r="G881" s="1" t="s">
        <v>3303</v>
      </c>
      <c r="H881">
        <v>24804155</v>
      </c>
      <c r="J881" t="s">
        <v>113</v>
      </c>
      <c r="K881" s="17">
        <v>20499184000193</v>
      </c>
      <c r="L881" s="17"/>
      <c r="M881" s="9">
        <v>334.22</v>
      </c>
      <c r="N881" t="s">
        <v>43</v>
      </c>
      <c r="Q881" s="2"/>
      <c r="R881" s="9"/>
      <c r="S881" t="s">
        <v>87</v>
      </c>
      <c r="U881" s="2"/>
      <c r="V881" s="9"/>
      <c r="X881" t="s">
        <v>88</v>
      </c>
      <c r="Y881" s="2" t="s">
        <v>717</v>
      </c>
      <c r="Z881" s="2" t="s">
        <v>718</v>
      </c>
      <c r="AA881" s="9" t="s">
        <v>715</v>
      </c>
      <c r="AC881" s="2"/>
      <c r="AD881" t="s">
        <v>7</v>
      </c>
    </row>
    <row r="882" spans="1:31" x14ac:dyDescent="0.3">
      <c r="A882" s="17">
        <v>90739624000118</v>
      </c>
      <c r="B882" t="s">
        <v>70</v>
      </c>
      <c r="D882" t="s">
        <v>274</v>
      </c>
      <c r="E882" t="s">
        <v>2</v>
      </c>
      <c r="F882">
        <v>269308</v>
      </c>
      <c r="G882" s="1" t="s">
        <v>3305</v>
      </c>
      <c r="H882">
        <v>24804083</v>
      </c>
      <c r="I882">
        <v>257033</v>
      </c>
      <c r="J882" t="s">
        <v>72</v>
      </c>
      <c r="K882" s="17">
        <v>79964177000168</v>
      </c>
      <c r="L882" s="17">
        <v>9576274000106</v>
      </c>
      <c r="M882" s="9">
        <v>87.03</v>
      </c>
      <c r="N882" t="s">
        <v>43</v>
      </c>
      <c r="Q882" s="2"/>
      <c r="R882" s="9"/>
      <c r="S882" t="s">
        <v>44</v>
      </c>
      <c r="T882" t="s">
        <v>45</v>
      </c>
      <c r="U882" s="2" t="s">
        <v>585</v>
      </c>
      <c r="V882" s="9" t="s">
        <v>3306</v>
      </c>
      <c r="W882">
        <v>4.1260879964176998E+43</v>
      </c>
      <c r="X882" t="s">
        <v>46</v>
      </c>
      <c r="Y882" s="2" t="s">
        <v>717</v>
      </c>
      <c r="Z882" s="2" t="s">
        <v>718</v>
      </c>
      <c r="AA882" s="9" t="s">
        <v>715</v>
      </c>
      <c r="AC882" s="2"/>
      <c r="AD882" t="s">
        <v>7</v>
      </c>
      <c r="AE882" t="s">
        <v>3307</v>
      </c>
    </row>
    <row r="883" spans="1:31" x14ac:dyDescent="0.3">
      <c r="A883" s="17">
        <v>90739624000118</v>
      </c>
      <c r="B883" t="s">
        <v>170</v>
      </c>
      <c r="D883" t="s">
        <v>275</v>
      </c>
      <c r="E883" t="s">
        <v>2</v>
      </c>
      <c r="F883">
        <v>269308</v>
      </c>
      <c r="G883" s="1" t="s">
        <v>3308</v>
      </c>
      <c r="H883">
        <v>24803867</v>
      </c>
      <c r="I883">
        <v>129167</v>
      </c>
      <c r="J883" t="s">
        <v>178</v>
      </c>
      <c r="K883" s="17">
        <v>83392050000199</v>
      </c>
      <c r="L883" s="17">
        <v>90739624001432</v>
      </c>
      <c r="M883" s="9">
        <v>2613.4499999999998</v>
      </c>
      <c r="N883" t="s">
        <v>43</v>
      </c>
      <c r="Q883" s="2"/>
      <c r="R883" s="9"/>
      <c r="S883" t="s">
        <v>44</v>
      </c>
      <c r="T883" t="s">
        <v>45</v>
      </c>
      <c r="U883" s="2" t="s">
        <v>585</v>
      </c>
      <c r="V883" s="9" t="s">
        <v>3309</v>
      </c>
      <c r="W883">
        <v>4.2260883392050001E+43</v>
      </c>
      <c r="X883" t="s">
        <v>46</v>
      </c>
      <c r="Y883" s="2" t="s">
        <v>717</v>
      </c>
      <c r="Z883" s="2" t="s">
        <v>718</v>
      </c>
      <c r="AA883" s="9" t="s">
        <v>715</v>
      </c>
      <c r="AC883" s="2"/>
      <c r="AD883" t="s">
        <v>7</v>
      </c>
      <c r="AE883" t="s">
        <v>3310</v>
      </c>
    </row>
    <row r="884" spans="1:31" x14ac:dyDescent="0.3">
      <c r="A884" s="17">
        <v>90739624000118</v>
      </c>
      <c r="B884" t="s">
        <v>100</v>
      </c>
      <c r="D884" t="s">
        <v>101</v>
      </c>
      <c r="E884" t="s">
        <v>2</v>
      </c>
      <c r="F884">
        <v>269308</v>
      </c>
      <c r="G884" s="1" t="s">
        <v>3311</v>
      </c>
      <c r="H884">
        <v>24803843</v>
      </c>
      <c r="I884">
        <v>137631</v>
      </c>
      <c r="J884" t="s">
        <v>27</v>
      </c>
      <c r="K884" s="17">
        <v>2031363000110</v>
      </c>
      <c r="L884" s="17">
        <v>90739624001947</v>
      </c>
      <c r="M884" s="9">
        <v>254.05</v>
      </c>
      <c r="N884" t="s">
        <v>43</v>
      </c>
      <c r="Q884" s="2"/>
      <c r="R884" s="9"/>
      <c r="S884" t="s">
        <v>44</v>
      </c>
      <c r="T884" t="s">
        <v>45</v>
      </c>
      <c r="U884" s="2" t="s">
        <v>585</v>
      </c>
      <c r="V884" s="9" t="s">
        <v>3312</v>
      </c>
      <c r="W884">
        <v>5.2260802031363001E+43</v>
      </c>
      <c r="X884" t="s">
        <v>46</v>
      </c>
      <c r="Y884" s="2" t="s">
        <v>717</v>
      </c>
      <c r="Z884" s="2" t="s">
        <v>718</v>
      </c>
      <c r="AA884" s="9" t="s">
        <v>715</v>
      </c>
      <c r="AC884" s="2"/>
      <c r="AD884" t="s">
        <v>7</v>
      </c>
      <c r="AE884" t="s">
        <v>3313</v>
      </c>
    </row>
    <row r="885" spans="1:31" x14ac:dyDescent="0.3">
      <c r="A885" s="17">
        <v>90739624000118</v>
      </c>
      <c r="B885" t="s">
        <v>11</v>
      </c>
      <c r="C885">
        <v>22475</v>
      </c>
      <c r="D885" t="s">
        <v>12</v>
      </c>
      <c r="E885" t="s">
        <v>2</v>
      </c>
      <c r="F885">
        <v>269308</v>
      </c>
      <c r="G885" s="1" t="s">
        <v>3314</v>
      </c>
      <c r="H885">
        <v>24803697</v>
      </c>
      <c r="I885">
        <v>4440</v>
      </c>
      <c r="J885" t="s">
        <v>117</v>
      </c>
      <c r="K885" s="17">
        <v>1756915000194</v>
      </c>
      <c r="L885" s="17">
        <v>90739624001947</v>
      </c>
      <c r="M885" s="9">
        <v>284.35000000000002</v>
      </c>
      <c r="N885" t="s">
        <v>43</v>
      </c>
      <c r="Q885" s="2"/>
      <c r="R885" s="9"/>
      <c r="S885" t="s">
        <v>44</v>
      </c>
      <c r="T885" t="s">
        <v>45</v>
      </c>
      <c r="U885" s="2" t="s">
        <v>583</v>
      </c>
      <c r="V885" s="9" t="s">
        <v>3315</v>
      </c>
      <c r="W885">
        <v>5.2260801756915002E+43</v>
      </c>
      <c r="X885" t="s">
        <v>46</v>
      </c>
      <c r="Y885" s="2" t="s">
        <v>717</v>
      </c>
      <c r="Z885" s="2" t="s">
        <v>718</v>
      </c>
      <c r="AA885" s="9" t="s">
        <v>715</v>
      </c>
      <c r="AC885" s="2"/>
      <c r="AD885" t="s">
        <v>7</v>
      </c>
      <c r="AE885" t="s">
        <v>3316</v>
      </c>
    </row>
    <row r="886" spans="1:31" x14ac:dyDescent="0.3">
      <c r="A886" s="17">
        <v>90739624000118</v>
      </c>
      <c r="B886" t="s">
        <v>61</v>
      </c>
      <c r="D886" t="s">
        <v>522</v>
      </c>
      <c r="E886" t="s">
        <v>2</v>
      </c>
      <c r="F886">
        <v>269308</v>
      </c>
      <c r="G886" s="1" t="s">
        <v>3317</v>
      </c>
      <c r="H886">
        <v>24803530</v>
      </c>
      <c r="I886">
        <v>819965</v>
      </c>
      <c r="J886" t="s">
        <v>62</v>
      </c>
      <c r="K886" s="17">
        <v>79964177000591</v>
      </c>
      <c r="L886" s="17">
        <v>9576274000106</v>
      </c>
      <c r="M886" s="9">
        <v>459.01</v>
      </c>
      <c r="N886" t="s">
        <v>43</v>
      </c>
      <c r="Q886" s="2"/>
      <c r="R886" s="9"/>
      <c r="S886" t="s">
        <v>44</v>
      </c>
      <c r="T886" t="s">
        <v>45</v>
      </c>
      <c r="U886" s="2" t="s">
        <v>585</v>
      </c>
      <c r="V886" s="9" t="s">
        <v>3318</v>
      </c>
      <c r="W886">
        <v>4.1260879964176998E+43</v>
      </c>
      <c r="X886" t="s">
        <v>46</v>
      </c>
      <c r="Y886" s="2" t="s">
        <v>717</v>
      </c>
      <c r="Z886" s="2" t="s">
        <v>718</v>
      </c>
      <c r="AA886" s="9" t="s">
        <v>715</v>
      </c>
      <c r="AC886" s="2"/>
      <c r="AD886" t="s">
        <v>7</v>
      </c>
      <c r="AE886" t="s">
        <v>3319</v>
      </c>
    </row>
    <row r="887" spans="1:31" x14ac:dyDescent="0.3">
      <c r="A887" s="17">
        <v>90739624000118</v>
      </c>
      <c r="B887" t="s">
        <v>126</v>
      </c>
      <c r="D887" t="s">
        <v>3320</v>
      </c>
      <c r="E887" t="s">
        <v>2</v>
      </c>
      <c r="F887">
        <v>269308</v>
      </c>
      <c r="G887" s="1" t="s">
        <v>3321</v>
      </c>
      <c r="H887">
        <v>24803416</v>
      </c>
      <c r="I887">
        <v>28566</v>
      </c>
      <c r="J887" t="s">
        <v>127</v>
      </c>
      <c r="K887" s="17">
        <v>76493295000147</v>
      </c>
      <c r="L887" s="17">
        <v>9576274000106</v>
      </c>
      <c r="M887" s="9">
        <v>258.44</v>
      </c>
      <c r="N887" t="s">
        <v>43</v>
      </c>
      <c r="Q887" s="2"/>
      <c r="R887" s="9"/>
      <c r="S887" t="s">
        <v>44</v>
      </c>
      <c r="T887" t="s">
        <v>45</v>
      </c>
      <c r="U887" s="2" t="s">
        <v>585</v>
      </c>
      <c r="V887" s="9" t="s">
        <v>3322</v>
      </c>
      <c r="W887">
        <v>4.1260876493295002E+43</v>
      </c>
      <c r="X887" t="s">
        <v>46</v>
      </c>
      <c r="Y887" s="2" t="s">
        <v>717</v>
      </c>
      <c r="Z887" s="2" t="s">
        <v>718</v>
      </c>
      <c r="AA887" s="9" t="s">
        <v>715</v>
      </c>
      <c r="AC887" s="2"/>
      <c r="AD887" t="s">
        <v>7</v>
      </c>
      <c r="AE887" t="s">
        <v>3323</v>
      </c>
    </row>
    <row r="888" spans="1:31" x14ac:dyDescent="0.3">
      <c r="A888" s="17">
        <v>90739624000118</v>
      </c>
      <c r="B888" t="s">
        <v>31</v>
      </c>
      <c r="D888" t="s">
        <v>118</v>
      </c>
      <c r="E888" t="s">
        <v>2</v>
      </c>
      <c r="F888">
        <v>269308</v>
      </c>
      <c r="G888" s="1" t="s">
        <v>3324</v>
      </c>
      <c r="H888">
        <v>24802972</v>
      </c>
      <c r="I888">
        <v>167711</v>
      </c>
      <c r="J888" t="s">
        <v>119</v>
      </c>
      <c r="K888" s="17">
        <v>25220634000342</v>
      </c>
      <c r="L888" s="17">
        <v>90739624001866</v>
      </c>
      <c r="M888" s="9">
        <v>152.54</v>
      </c>
      <c r="N888" t="s">
        <v>43</v>
      </c>
      <c r="Q888" s="2"/>
      <c r="R888" s="9"/>
      <c r="S888" t="s">
        <v>44</v>
      </c>
      <c r="T888" t="s">
        <v>45</v>
      </c>
      <c r="U888" s="2" t="s">
        <v>585</v>
      </c>
      <c r="V888" s="9" t="s">
        <v>3325</v>
      </c>
      <c r="W888">
        <v>5.1260825220633996E+43</v>
      </c>
      <c r="X888" t="s">
        <v>46</v>
      </c>
      <c r="Y888" s="2" t="s">
        <v>717</v>
      </c>
      <c r="Z888" s="2" t="s">
        <v>718</v>
      </c>
      <c r="AA888" s="9" t="s">
        <v>715</v>
      </c>
      <c r="AC888" s="2"/>
      <c r="AD888" t="s">
        <v>7</v>
      </c>
      <c r="AE888" t="s">
        <v>3326</v>
      </c>
    </row>
    <row r="889" spans="1:31" x14ac:dyDescent="0.3">
      <c r="A889" s="17">
        <v>90739624000118</v>
      </c>
      <c r="B889" t="s">
        <v>13</v>
      </c>
      <c r="C889">
        <v>24495</v>
      </c>
      <c r="D889" t="s">
        <v>14</v>
      </c>
      <c r="E889" t="s">
        <v>2</v>
      </c>
      <c r="F889">
        <v>269308</v>
      </c>
      <c r="G889" s="1" t="s">
        <v>3327</v>
      </c>
      <c r="H889">
        <v>24802757</v>
      </c>
      <c r="I889">
        <v>117188</v>
      </c>
      <c r="J889" t="s">
        <v>340</v>
      </c>
      <c r="K889" s="17">
        <v>29127799000163</v>
      </c>
      <c r="L889" s="17">
        <v>90739624000380</v>
      </c>
      <c r="M889" s="9">
        <v>234.65</v>
      </c>
      <c r="N889" t="s">
        <v>43</v>
      </c>
      <c r="Q889" s="2"/>
      <c r="R889" s="9"/>
      <c r="S889" t="s">
        <v>44</v>
      </c>
      <c r="T889" t="s">
        <v>45</v>
      </c>
      <c r="U889" s="2" t="s">
        <v>695</v>
      </c>
      <c r="V889" s="9" t="s">
        <v>3328</v>
      </c>
      <c r="W889">
        <v>3.5260829127798998E+43</v>
      </c>
      <c r="X889" t="s">
        <v>46</v>
      </c>
      <c r="Y889" s="2" t="s">
        <v>717</v>
      </c>
      <c r="Z889" s="2" t="s">
        <v>718</v>
      </c>
      <c r="AA889" s="9" t="s">
        <v>715</v>
      </c>
      <c r="AC889" s="2"/>
      <c r="AD889" t="s">
        <v>7</v>
      </c>
      <c r="AE889" t="s">
        <v>3329</v>
      </c>
    </row>
    <row r="890" spans="1:31" x14ac:dyDescent="0.3">
      <c r="A890" s="17">
        <v>90739624000118</v>
      </c>
      <c r="B890" t="s">
        <v>58</v>
      </c>
      <c r="C890">
        <v>24800</v>
      </c>
      <c r="D890" t="s">
        <v>539</v>
      </c>
      <c r="E890" t="s">
        <v>2</v>
      </c>
      <c r="F890">
        <v>269308</v>
      </c>
      <c r="G890" s="1" t="s">
        <v>3330</v>
      </c>
      <c r="H890">
        <v>24802754</v>
      </c>
      <c r="I890">
        <v>110732</v>
      </c>
      <c r="J890" t="s">
        <v>106</v>
      </c>
      <c r="K890" s="17">
        <v>7473735015103</v>
      </c>
      <c r="L890" s="17">
        <v>90739624002323</v>
      </c>
      <c r="M890" s="9">
        <v>863</v>
      </c>
      <c r="N890" t="s">
        <v>43</v>
      </c>
      <c r="Q890" s="2"/>
      <c r="R890" s="9"/>
      <c r="S890" t="s">
        <v>44</v>
      </c>
      <c r="T890" t="s">
        <v>45</v>
      </c>
      <c r="U890" s="2" t="s">
        <v>585</v>
      </c>
      <c r="V890" s="9" t="s">
        <v>3331</v>
      </c>
      <c r="W890">
        <v>4.3260807473734999E+43</v>
      </c>
      <c r="X890" t="s">
        <v>46</v>
      </c>
      <c r="Y890" s="2" t="s">
        <v>717</v>
      </c>
      <c r="Z890" s="2" t="s">
        <v>718</v>
      </c>
      <c r="AA890" s="9" t="s">
        <v>715</v>
      </c>
      <c r="AC890" s="2"/>
      <c r="AD890" t="s">
        <v>7</v>
      </c>
      <c r="AE890" t="s">
        <v>3332</v>
      </c>
    </row>
    <row r="891" spans="1:31" x14ac:dyDescent="0.3">
      <c r="A891" s="17">
        <v>90739624000118</v>
      </c>
      <c r="B891" t="s">
        <v>8</v>
      </c>
      <c r="C891">
        <v>26249</v>
      </c>
      <c r="D891" t="s">
        <v>76</v>
      </c>
      <c r="E891" t="s">
        <v>17</v>
      </c>
      <c r="F891">
        <v>269308</v>
      </c>
      <c r="G891" s="1" t="s">
        <v>3333</v>
      </c>
      <c r="H891">
        <v>24802674</v>
      </c>
      <c r="I891">
        <v>4231</v>
      </c>
      <c r="J891" t="s">
        <v>10</v>
      </c>
      <c r="K891" s="17">
        <v>33286065000102</v>
      </c>
      <c r="L891" s="17">
        <v>9576274000106</v>
      </c>
      <c r="M891" s="9">
        <v>15.31</v>
      </c>
      <c r="N891" t="s">
        <v>43</v>
      </c>
      <c r="Q891" s="2"/>
      <c r="R891" s="9"/>
      <c r="S891" t="s">
        <v>44</v>
      </c>
      <c r="T891" t="s">
        <v>45</v>
      </c>
      <c r="U891" s="2" t="s">
        <v>585</v>
      </c>
      <c r="V891" s="9" t="s">
        <v>3334</v>
      </c>
      <c r="W891">
        <v>4.1260833286065001E+43</v>
      </c>
      <c r="X891" t="s">
        <v>46</v>
      </c>
      <c r="Y891" s="2" t="s">
        <v>717</v>
      </c>
      <c r="Z891" s="2" t="s">
        <v>718</v>
      </c>
      <c r="AA891" s="9" t="s">
        <v>715</v>
      </c>
      <c r="AC891" s="2"/>
      <c r="AD891" t="s">
        <v>7</v>
      </c>
      <c r="AE891" t="s">
        <v>3335</v>
      </c>
    </row>
    <row r="892" spans="1:31" x14ac:dyDescent="0.3">
      <c r="A892" s="17">
        <v>90739624000118</v>
      </c>
      <c r="B892" t="s">
        <v>8</v>
      </c>
      <c r="C892">
        <v>26249</v>
      </c>
      <c r="D892" t="s">
        <v>76</v>
      </c>
      <c r="E892" t="s">
        <v>2</v>
      </c>
      <c r="F892">
        <v>269308</v>
      </c>
      <c r="G892" s="1" t="s">
        <v>3336</v>
      </c>
      <c r="H892">
        <v>24802657</v>
      </c>
      <c r="I892">
        <v>4230</v>
      </c>
      <c r="J892" t="s">
        <v>10</v>
      </c>
      <c r="K892" s="17">
        <v>33286065000102</v>
      </c>
      <c r="L892" s="17">
        <v>9576274000106</v>
      </c>
      <c r="M892" s="9">
        <v>719.9</v>
      </c>
      <c r="N892" t="s">
        <v>43</v>
      </c>
      <c r="Q892" s="2"/>
      <c r="R892" s="9"/>
      <c r="S892" t="s">
        <v>44</v>
      </c>
      <c r="T892" t="s">
        <v>45</v>
      </c>
      <c r="U892" s="2" t="s">
        <v>585</v>
      </c>
      <c r="V892" s="9" t="s">
        <v>3337</v>
      </c>
      <c r="W892">
        <v>4.1260833286065001E+43</v>
      </c>
      <c r="X892" t="s">
        <v>46</v>
      </c>
      <c r="Y892" s="2" t="s">
        <v>717</v>
      </c>
      <c r="Z892" s="2" t="s">
        <v>718</v>
      </c>
      <c r="AA892" s="9" t="s">
        <v>715</v>
      </c>
      <c r="AC892" s="2"/>
      <c r="AD892" t="s">
        <v>7</v>
      </c>
      <c r="AE892" t="s">
        <v>3338</v>
      </c>
    </row>
    <row r="893" spans="1:31" x14ac:dyDescent="0.3">
      <c r="A893" s="17">
        <v>90739624000118</v>
      </c>
      <c r="B893" t="s">
        <v>31</v>
      </c>
      <c r="D893" t="s">
        <v>280</v>
      </c>
      <c r="E893" t="s">
        <v>2</v>
      </c>
      <c r="F893">
        <v>269308</v>
      </c>
      <c r="G893" s="1" t="s">
        <v>3339</v>
      </c>
      <c r="H893">
        <v>24802638</v>
      </c>
      <c r="I893">
        <v>15852</v>
      </c>
      <c r="J893" t="s">
        <v>142</v>
      </c>
      <c r="K893" s="17">
        <v>54494203000100</v>
      </c>
      <c r="L893" s="17">
        <v>90739624001866</v>
      </c>
      <c r="M893" s="9">
        <v>103</v>
      </c>
      <c r="N893" t="s">
        <v>43</v>
      </c>
      <c r="Q893" s="2"/>
      <c r="R893" s="9"/>
      <c r="S893" t="s">
        <v>44</v>
      </c>
      <c r="T893" t="s">
        <v>45</v>
      </c>
      <c r="U893" s="2" t="s">
        <v>590</v>
      </c>
      <c r="V893" s="9" t="s">
        <v>3340</v>
      </c>
      <c r="W893">
        <v>5.1260854494202996E+43</v>
      </c>
      <c r="X893" t="s">
        <v>46</v>
      </c>
      <c r="Y893" s="2" t="s">
        <v>717</v>
      </c>
      <c r="Z893" s="2" t="s">
        <v>718</v>
      </c>
      <c r="AA893" s="9" t="s">
        <v>715</v>
      </c>
      <c r="AC893" s="2"/>
      <c r="AD893" t="s">
        <v>7</v>
      </c>
      <c r="AE893" t="s">
        <v>3341</v>
      </c>
    </row>
    <row r="894" spans="1:31" x14ac:dyDescent="0.3">
      <c r="A894" s="17">
        <v>90739624000118</v>
      </c>
      <c r="B894" t="s">
        <v>25</v>
      </c>
      <c r="C894">
        <v>24558</v>
      </c>
      <c r="D894" t="s">
        <v>292</v>
      </c>
      <c r="E894" t="s">
        <v>2</v>
      </c>
      <c r="F894">
        <v>269308</v>
      </c>
      <c r="G894" s="1" t="s">
        <v>3342</v>
      </c>
      <c r="H894">
        <v>24802630</v>
      </c>
      <c r="J894" t="s">
        <v>32</v>
      </c>
      <c r="K894" s="17">
        <v>9001879002619</v>
      </c>
      <c r="L894" s="17"/>
      <c r="M894" s="9">
        <v>308.58999999999997</v>
      </c>
      <c r="N894" t="s">
        <v>43</v>
      </c>
      <c r="Q894" s="2"/>
      <c r="R894" s="9"/>
      <c r="S894" t="s">
        <v>87</v>
      </c>
      <c r="U894" s="2"/>
      <c r="V894" s="9"/>
      <c r="X894" t="s">
        <v>88</v>
      </c>
      <c r="Y894" s="2" t="s">
        <v>717</v>
      </c>
      <c r="Z894" s="2" t="s">
        <v>718</v>
      </c>
      <c r="AA894" s="9" t="s">
        <v>715</v>
      </c>
      <c r="AC894" s="2"/>
      <c r="AD894" t="s">
        <v>7</v>
      </c>
    </row>
    <row r="895" spans="1:31" x14ac:dyDescent="0.3">
      <c r="A895" s="17">
        <v>90739624000118</v>
      </c>
      <c r="B895" t="s">
        <v>100</v>
      </c>
      <c r="C895">
        <v>23395</v>
      </c>
      <c r="D895" t="s">
        <v>188</v>
      </c>
      <c r="E895" t="s">
        <v>2</v>
      </c>
      <c r="F895">
        <v>269308</v>
      </c>
      <c r="G895" s="1" t="s">
        <v>3344</v>
      </c>
      <c r="H895">
        <v>24802500</v>
      </c>
      <c r="I895">
        <v>10185</v>
      </c>
      <c r="J895" t="s">
        <v>189</v>
      </c>
      <c r="K895" s="17">
        <v>50128357000551</v>
      </c>
      <c r="L895" s="17">
        <v>90739624001866</v>
      </c>
      <c r="M895" s="9">
        <v>230.04</v>
      </c>
      <c r="N895" t="s">
        <v>43</v>
      </c>
      <c r="Q895" s="2"/>
      <c r="R895" s="9"/>
      <c r="S895" t="s">
        <v>44</v>
      </c>
      <c r="T895" t="s">
        <v>45</v>
      </c>
      <c r="U895" s="2" t="s">
        <v>585</v>
      </c>
      <c r="V895" s="9" t="s">
        <v>672</v>
      </c>
      <c r="W895">
        <v>5.1260850128356998E+43</v>
      </c>
      <c r="X895" t="s">
        <v>46</v>
      </c>
      <c r="Y895" s="2" t="s">
        <v>717</v>
      </c>
      <c r="Z895" s="2" t="s">
        <v>718</v>
      </c>
      <c r="AA895" s="9" t="s">
        <v>715</v>
      </c>
      <c r="AC895" s="2"/>
      <c r="AD895" t="s">
        <v>7</v>
      </c>
      <c r="AE895" t="s">
        <v>3345</v>
      </c>
    </row>
    <row r="896" spans="1:31" x14ac:dyDescent="0.3">
      <c r="A896" s="17">
        <v>90739624000118</v>
      </c>
      <c r="B896" t="s">
        <v>100</v>
      </c>
      <c r="D896" t="s">
        <v>135</v>
      </c>
      <c r="E896" t="s">
        <v>2</v>
      </c>
      <c r="F896">
        <v>269308</v>
      </c>
      <c r="G896" s="1" t="s">
        <v>3346</v>
      </c>
      <c r="H896">
        <v>24802254</v>
      </c>
      <c r="I896">
        <v>21563</v>
      </c>
      <c r="J896" t="s">
        <v>136</v>
      </c>
      <c r="K896" s="17">
        <v>33855749000170</v>
      </c>
      <c r="L896" s="17">
        <v>90739624001866</v>
      </c>
      <c r="M896" s="9">
        <v>314.05</v>
      </c>
      <c r="N896" t="s">
        <v>43</v>
      </c>
      <c r="Q896" s="2"/>
      <c r="R896" s="9"/>
      <c r="S896" t="s">
        <v>44</v>
      </c>
      <c r="T896" t="s">
        <v>45</v>
      </c>
      <c r="U896" s="2" t="s">
        <v>585</v>
      </c>
      <c r="V896" s="9" t="s">
        <v>3347</v>
      </c>
      <c r="W896">
        <v>5.1260833855749002E+43</v>
      </c>
      <c r="X896" t="s">
        <v>46</v>
      </c>
      <c r="Y896" s="2" t="s">
        <v>717</v>
      </c>
      <c r="Z896" s="2" t="s">
        <v>718</v>
      </c>
      <c r="AA896" s="9" t="s">
        <v>715</v>
      </c>
      <c r="AC896" s="2"/>
      <c r="AD896" t="s">
        <v>7</v>
      </c>
      <c r="AE896" t="s">
        <v>3348</v>
      </c>
    </row>
    <row r="897" spans="1:31" x14ac:dyDescent="0.3">
      <c r="A897" s="17">
        <v>90739624000118</v>
      </c>
      <c r="B897" t="s">
        <v>0</v>
      </c>
      <c r="D897" t="s">
        <v>367</v>
      </c>
      <c r="E897" t="s">
        <v>2</v>
      </c>
      <c r="F897">
        <v>269308</v>
      </c>
      <c r="G897" s="1" t="s">
        <v>3349</v>
      </c>
      <c r="H897">
        <v>24802195</v>
      </c>
      <c r="I897">
        <v>36037</v>
      </c>
      <c r="J897" t="s">
        <v>3</v>
      </c>
      <c r="K897" s="17">
        <v>81326258001156</v>
      </c>
      <c r="L897" s="17">
        <v>90739624001432</v>
      </c>
      <c r="M897" s="9">
        <v>321.01</v>
      </c>
      <c r="N897" t="s">
        <v>43</v>
      </c>
      <c r="Q897" s="2"/>
      <c r="R897" s="9"/>
      <c r="S897" t="s">
        <v>44</v>
      </c>
      <c r="T897" t="s">
        <v>45</v>
      </c>
      <c r="U897" s="2" t="s">
        <v>585</v>
      </c>
      <c r="V897" s="9" t="s">
        <v>3350</v>
      </c>
      <c r="W897">
        <v>4.2260881326258001E+43</v>
      </c>
      <c r="X897" t="s">
        <v>46</v>
      </c>
      <c r="Y897" s="2" t="s">
        <v>717</v>
      </c>
      <c r="Z897" s="2" t="s">
        <v>718</v>
      </c>
      <c r="AA897" s="9" t="s">
        <v>715</v>
      </c>
      <c r="AC897" s="2"/>
      <c r="AD897" t="s">
        <v>7</v>
      </c>
      <c r="AE897" t="s">
        <v>3351</v>
      </c>
    </row>
    <row r="898" spans="1:31" x14ac:dyDescent="0.3">
      <c r="A898" s="17">
        <v>90739624000118</v>
      </c>
      <c r="B898" t="s">
        <v>25</v>
      </c>
      <c r="D898" t="s">
        <v>563</v>
      </c>
      <c r="E898" t="s">
        <v>2</v>
      </c>
      <c r="F898">
        <v>269308</v>
      </c>
      <c r="G898" s="1" t="s">
        <v>3352</v>
      </c>
      <c r="H898">
        <v>24801695</v>
      </c>
      <c r="I898">
        <v>21720</v>
      </c>
      <c r="J898" t="s">
        <v>344</v>
      </c>
      <c r="K898" s="17">
        <v>34453861000147</v>
      </c>
      <c r="L898" s="17">
        <v>90739624000118</v>
      </c>
      <c r="M898" s="9">
        <v>183.6</v>
      </c>
      <c r="N898" t="s">
        <v>43</v>
      </c>
      <c r="Q898" s="2"/>
      <c r="R898" s="9"/>
      <c r="S898" t="s">
        <v>44</v>
      </c>
      <c r="T898" t="s">
        <v>45</v>
      </c>
      <c r="U898" s="2" t="s">
        <v>585</v>
      </c>
      <c r="V898" s="9" t="s">
        <v>3353</v>
      </c>
      <c r="W898">
        <v>1.5260834453860999E+43</v>
      </c>
      <c r="X898" t="s">
        <v>46</v>
      </c>
      <c r="Y898" s="2" t="s">
        <v>717</v>
      </c>
      <c r="Z898" s="2" t="s">
        <v>718</v>
      </c>
      <c r="AA898" s="9" t="s">
        <v>715</v>
      </c>
      <c r="AC898" s="2"/>
      <c r="AD898" t="s">
        <v>7</v>
      </c>
      <c r="AE898" t="s">
        <v>3354</v>
      </c>
    </row>
    <row r="899" spans="1:31" x14ac:dyDescent="0.3">
      <c r="A899" s="17">
        <v>90739624000118</v>
      </c>
      <c r="B899" t="s">
        <v>0</v>
      </c>
      <c r="D899" t="s">
        <v>213</v>
      </c>
      <c r="E899" t="s">
        <v>2</v>
      </c>
      <c r="F899">
        <v>269308</v>
      </c>
      <c r="G899" s="1" t="s">
        <v>3355</v>
      </c>
      <c r="H899">
        <v>24801401</v>
      </c>
      <c r="I899">
        <v>118564</v>
      </c>
      <c r="J899" t="s">
        <v>183</v>
      </c>
      <c r="K899" s="17">
        <v>84711084000161</v>
      </c>
      <c r="L899" s="17">
        <v>90739624001432</v>
      </c>
      <c r="M899" s="9">
        <v>3627.18</v>
      </c>
      <c r="N899" t="s">
        <v>43</v>
      </c>
      <c r="Q899" s="2"/>
      <c r="R899" s="9"/>
      <c r="S899" t="s">
        <v>44</v>
      </c>
      <c r="T899" t="s">
        <v>45</v>
      </c>
      <c r="U899" s="2" t="s">
        <v>585</v>
      </c>
      <c r="V899" s="9" t="s">
        <v>3356</v>
      </c>
      <c r="W899">
        <v>4.2260884711084001E+43</v>
      </c>
      <c r="X899" t="s">
        <v>46</v>
      </c>
      <c r="Y899" s="2" t="s">
        <v>717</v>
      </c>
      <c r="Z899" s="2" t="s">
        <v>718</v>
      </c>
      <c r="AA899" s="9" t="s">
        <v>715</v>
      </c>
      <c r="AC899" s="2"/>
      <c r="AD899" t="s">
        <v>7</v>
      </c>
      <c r="AE899" t="s">
        <v>3357</v>
      </c>
    </row>
    <row r="900" spans="1:31" x14ac:dyDescent="0.3">
      <c r="A900" s="17">
        <v>90739624000118</v>
      </c>
      <c r="B900" t="s">
        <v>174</v>
      </c>
      <c r="D900" t="s">
        <v>175</v>
      </c>
      <c r="E900" t="s">
        <v>2</v>
      </c>
      <c r="F900">
        <v>269308</v>
      </c>
      <c r="G900" s="1" t="s">
        <v>3358</v>
      </c>
      <c r="H900">
        <v>24801377</v>
      </c>
      <c r="I900">
        <v>5566</v>
      </c>
      <c r="J900" t="s">
        <v>268</v>
      </c>
      <c r="K900" s="17">
        <v>4985282000184</v>
      </c>
      <c r="L900" s="17">
        <v>90739624000118</v>
      </c>
      <c r="M900" s="9">
        <v>256.25</v>
      </c>
      <c r="N900" t="s">
        <v>43</v>
      </c>
      <c r="Q900" s="2"/>
      <c r="R900" s="9"/>
      <c r="S900" t="s">
        <v>44</v>
      </c>
      <c r="T900" t="s">
        <v>45</v>
      </c>
      <c r="U900" s="2" t="s">
        <v>585</v>
      </c>
      <c r="V900" s="9" t="s">
        <v>3359</v>
      </c>
      <c r="W900">
        <v>1.7260804985282E+43</v>
      </c>
      <c r="X900" t="s">
        <v>46</v>
      </c>
      <c r="Y900" s="2" t="s">
        <v>717</v>
      </c>
      <c r="Z900" s="2" t="s">
        <v>718</v>
      </c>
      <c r="AA900" s="9" t="s">
        <v>715</v>
      </c>
      <c r="AC900" s="2"/>
      <c r="AD900" t="s">
        <v>7</v>
      </c>
      <c r="AE900" t="s">
        <v>3360</v>
      </c>
    </row>
    <row r="901" spans="1:31" x14ac:dyDescent="0.3">
      <c r="A901" s="17">
        <v>90739624000118</v>
      </c>
      <c r="B901" t="s">
        <v>33</v>
      </c>
      <c r="C901">
        <v>23399</v>
      </c>
      <c r="D901" t="s">
        <v>146</v>
      </c>
      <c r="E901" t="s">
        <v>2</v>
      </c>
      <c r="F901">
        <v>269308</v>
      </c>
      <c r="G901" s="1" t="s">
        <v>3361</v>
      </c>
      <c r="H901">
        <v>24801188</v>
      </c>
      <c r="I901">
        <v>1126</v>
      </c>
      <c r="J901" t="s">
        <v>35</v>
      </c>
      <c r="K901" s="17">
        <v>27933025000102</v>
      </c>
      <c r="L901" s="17">
        <v>9576274000106</v>
      </c>
      <c r="M901" s="9">
        <v>366.25</v>
      </c>
      <c r="N901" t="s">
        <v>43</v>
      </c>
      <c r="Q901" s="2"/>
      <c r="R901" s="9"/>
      <c r="S901" t="s">
        <v>44</v>
      </c>
      <c r="T901" t="s">
        <v>45</v>
      </c>
      <c r="U901" s="2" t="s">
        <v>583</v>
      </c>
      <c r="V901" s="9" t="s">
        <v>3362</v>
      </c>
      <c r="W901">
        <v>4.1260827933025001E+43</v>
      </c>
      <c r="X901" t="s">
        <v>46</v>
      </c>
      <c r="Y901" s="2" t="s">
        <v>717</v>
      </c>
      <c r="Z901" s="2" t="s">
        <v>718</v>
      </c>
      <c r="AA901" s="9" t="s">
        <v>715</v>
      </c>
      <c r="AC901" s="2"/>
      <c r="AD901" t="s">
        <v>7</v>
      </c>
      <c r="AE901" t="s">
        <v>3363</v>
      </c>
    </row>
    <row r="902" spans="1:31" x14ac:dyDescent="0.3">
      <c r="A902" s="17">
        <v>90739624000118</v>
      </c>
      <c r="B902" t="s">
        <v>61</v>
      </c>
      <c r="D902" t="s">
        <v>140</v>
      </c>
      <c r="E902" t="s">
        <v>2</v>
      </c>
      <c r="F902">
        <v>269308</v>
      </c>
      <c r="G902" s="1" t="s">
        <v>3364</v>
      </c>
      <c r="H902">
        <v>24801041</v>
      </c>
      <c r="I902">
        <v>819945</v>
      </c>
      <c r="J902" t="s">
        <v>62</v>
      </c>
      <c r="K902" s="17">
        <v>79964177000591</v>
      </c>
      <c r="L902" s="17">
        <v>9576274000106</v>
      </c>
      <c r="M902" s="9">
        <v>1930.95</v>
      </c>
      <c r="N902" t="s">
        <v>43</v>
      </c>
      <c r="Q902" s="2"/>
      <c r="R902" s="9"/>
      <c r="S902" t="s">
        <v>44</v>
      </c>
      <c r="T902" t="s">
        <v>45</v>
      </c>
      <c r="U902" s="2" t="s">
        <v>585</v>
      </c>
      <c r="V902" s="9" t="s">
        <v>1866</v>
      </c>
      <c r="W902">
        <v>4.1260879964176998E+43</v>
      </c>
      <c r="X902" t="s">
        <v>46</v>
      </c>
      <c r="Y902" s="2" t="s">
        <v>717</v>
      </c>
      <c r="Z902" s="2" t="s">
        <v>718</v>
      </c>
      <c r="AA902" s="9" t="s">
        <v>715</v>
      </c>
      <c r="AC902" s="2"/>
      <c r="AD902" t="s">
        <v>7</v>
      </c>
      <c r="AE902" t="s">
        <v>3365</v>
      </c>
    </row>
    <row r="903" spans="1:31" x14ac:dyDescent="0.3">
      <c r="A903" s="17">
        <v>90739624000118</v>
      </c>
      <c r="B903" t="s">
        <v>58</v>
      </c>
      <c r="D903" t="s">
        <v>78</v>
      </c>
      <c r="E903" t="s">
        <v>2</v>
      </c>
      <c r="F903">
        <v>269308</v>
      </c>
      <c r="G903" s="1" t="s">
        <v>3366</v>
      </c>
      <c r="H903">
        <v>24801016</v>
      </c>
      <c r="I903">
        <v>73923</v>
      </c>
      <c r="J903" t="s">
        <v>60</v>
      </c>
      <c r="K903" s="17">
        <v>7473735018200</v>
      </c>
      <c r="L903" s="17">
        <v>90739624002323</v>
      </c>
      <c r="M903" s="9">
        <v>1482.11</v>
      </c>
      <c r="N903" t="s">
        <v>43</v>
      </c>
      <c r="Q903" s="2"/>
      <c r="R903" s="9"/>
      <c r="S903" t="s">
        <v>44</v>
      </c>
      <c r="T903" t="s">
        <v>45</v>
      </c>
      <c r="U903" s="2" t="s">
        <v>585</v>
      </c>
      <c r="V903" s="9" t="s">
        <v>3367</v>
      </c>
      <c r="W903">
        <v>4.3260807473734999E+43</v>
      </c>
      <c r="X903" t="s">
        <v>46</v>
      </c>
      <c r="Y903" s="2" t="s">
        <v>717</v>
      </c>
      <c r="Z903" s="2" t="s">
        <v>718</v>
      </c>
      <c r="AA903" s="9" t="s">
        <v>715</v>
      </c>
      <c r="AC903" s="2"/>
      <c r="AD903" t="s">
        <v>7</v>
      </c>
      <c r="AE903" t="s">
        <v>3368</v>
      </c>
    </row>
    <row r="904" spans="1:31" x14ac:dyDescent="0.3">
      <c r="A904" s="17">
        <v>90739624000118</v>
      </c>
      <c r="B904" t="s">
        <v>11</v>
      </c>
      <c r="D904" t="s">
        <v>26</v>
      </c>
      <c r="E904" t="s">
        <v>17</v>
      </c>
      <c r="F904">
        <v>269308</v>
      </c>
      <c r="G904" s="1" t="s">
        <v>3369</v>
      </c>
      <c r="H904">
        <v>24800636</v>
      </c>
      <c r="I904">
        <v>11574</v>
      </c>
      <c r="J904" t="s">
        <v>143</v>
      </c>
      <c r="K904" s="17">
        <v>4505289000151</v>
      </c>
      <c r="L904" s="17">
        <v>90739624001866</v>
      </c>
      <c r="M904" s="9">
        <v>47.64</v>
      </c>
      <c r="N904" t="s">
        <v>43</v>
      </c>
      <c r="Q904" s="2"/>
      <c r="R904" s="9"/>
      <c r="S904" t="s">
        <v>44</v>
      </c>
      <c r="T904" t="s">
        <v>45</v>
      </c>
      <c r="U904" s="2" t="s">
        <v>585</v>
      </c>
      <c r="V904" s="9" t="s">
        <v>3370</v>
      </c>
      <c r="W904">
        <v>5.1260804505289001E+43</v>
      </c>
      <c r="X904" t="s">
        <v>46</v>
      </c>
      <c r="Y904" s="2" t="s">
        <v>717</v>
      </c>
      <c r="Z904" s="2" t="s">
        <v>718</v>
      </c>
      <c r="AA904" s="9" t="s">
        <v>715</v>
      </c>
      <c r="AC904" s="2"/>
      <c r="AD904" t="s">
        <v>7</v>
      </c>
      <c r="AE904" t="s">
        <v>3371</v>
      </c>
    </row>
    <row r="905" spans="1:31" x14ac:dyDescent="0.3">
      <c r="A905" s="17">
        <v>90739624000118</v>
      </c>
      <c r="B905" t="s">
        <v>11</v>
      </c>
      <c r="D905" t="s">
        <v>26</v>
      </c>
      <c r="E905" t="s">
        <v>2</v>
      </c>
      <c r="F905">
        <v>269308</v>
      </c>
      <c r="G905" s="1" t="s">
        <v>3372</v>
      </c>
      <c r="H905">
        <v>24800605</v>
      </c>
      <c r="I905">
        <v>11573</v>
      </c>
      <c r="J905" t="s">
        <v>143</v>
      </c>
      <c r="K905" s="17">
        <v>4505289000151</v>
      </c>
      <c r="L905" s="17">
        <v>90739624001866</v>
      </c>
      <c r="M905" s="9">
        <v>185.72</v>
      </c>
      <c r="N905" t="s">
        <v>43</v>
      </c>
      <c r="Q905" s="2"/>
      <c r="R905" s="9"/>
      <c r="S905" t="s">
        <v>44</v>
      </c>
      <c r="T905" t="s">
        <v>45</v>
      </c>
      <c r="U905" s="2" t="s">
        <v>585</v>
      </c>
      <c r="V905" s="9" t="s">
        <v>3373</v>
      </c>
      <c r="W905">
        <v>5.1260804505289001E+43</v>
      </c>
      <c r="X905" t="s">
        <v>46</v>
      </c>
      <c r="Y905" s="2" t="s">
        <v>717</v>
      </c>
      <c r="Z905" s="2" t="s">
        <v>718</v>
      </c>
      <c r="AA905" s="9" t="s">
        <v>715</v>
      </c>
      <c r="AC905" s="2"/>
      <c r="AD905" t="s">
        <v>7</v>
      </c>
      <c r="AE905" t="s">
        <v>3374</v>
      </c>
    </row>
    <row r="906" spans="1:31" x14ac:dyDescent="0.3">
      <c r="A906" s="17">
        <v>90739624000118</v>
      </c>
      <c r="B906" t="s">
        <v>369</v>
      </c>
      <c r="C906">
        <v>19880</v>
      </c>
      <c r="D906" t="s">
        <v>3375</v>
      </c>
      <c r="E906" t="s">
        <v>2</v>
      </c>
      <c r="F906">
        <v>269308</v>
      </c>
      <c r="G906" s="1" t="s">
        <v>3376</v>
      </c>
      <c r="H906">
        <v>24800584</v>
      </c>
      <c r="I906">
        <v>11412</v>
      </c>
      <c r="J906" t="s">
        <v>371</v>
      </c>
      <c r="K906" s="17">
        <v>26814629000169</v>
      </c>
      <c r="L906" s="17">
        <v>90739624002080</v>
      </c>
      <c r="M906" s="9">
        <v>516.32000000000005</v>
      </c>
      <c r="N906" t="s">
        <v>43</v>
      </c>
      <c r="Q906" s="2"/>
      <c r="R906" s="9"/>
      <c r="S906" t="s">
        <v>44</v>
      </c>
      <c r="T906" t="s">
        <v>45</v>
      </c>
      <c r="U906" s="2" t="s">
        <v>585</v>
      </c>
      <c r="V906" s="9" t="s">
        <v>3377</v>
      </c>
      <c r="W906">
        <v>2.9260826814629E+43</v>
      </c>
      <c r="X906" t="s">
        <v>46</v>
      </c>
      <c r="Y906" s="2" t="s">
        <v>717</v>
      </c>
      <c r="Z906" s="2" t="s">
        <v>718</v>
      </c>
      <c r="AA906" s="9" t="s">
        <v>715</v>
      </c>
      <c r="AC906" s="2"/>
      <c r="AD906" t="s">
        <v>7</v>
      </c>
      <c r="AE906" t="s">
        <v>3378</v>
      </c>
    </row>
    <row r="907" spans="1:31" x14ac:dyDescent="0.3">
      <c r="A907" s="17">
        <v>90739624000118</v>
      </c>
      <c r="B907" t="s">
        <v>100</v>
      </c>
      <c r="C907">
        <v>23619</v>
      </c>
      <c r="D907" t="s">
        <v>856</v>
      </c>
      <c r="E907" t="s">
        <v>2</v>
      </c>
      <c r="F907">
        <v>269308</v>
      </c>
      <c r="G907" s="1" t="s">
        <v>3379</v>
      </c>
      <c r="H907">
        <v>24800414</v>
      </c>
      <c r="I907">
        <v>323143</v>
      </c>
      <c r="J907" t="s">
        <v>634</v>
      </c>
      <c r="K907" s="17">
        <v>22611652000286</v>
      </c>
      <c r="L907" s="17">
        <v>90739624001866</v>
      </c>
      <c r="M907" s="9">
        <v>327</v>
      </c>
      <c r="N907" t="s">
        <v>43</v>
      </c>
      <c r="Q907" s="2"/>
      <c r="R907" s="9"/>
      <c r="S907" t="s">
        <v>44</v>
      </c>
      <c r="T907" t="s">
        <v>45</v>
      </c>
      <c r="U907" s="2" t="s">
        <v>585</v>
      </c>
      <c r="V907" s="9" t="s">
        <v>3380</v>
      </c>
      <c r="W907">
        <v>5.1260822611652001E+43</v>
      </c>
      <c r="X907" t="s">
        <v>46</v>
      </c>
      <c r="Y907" s="2" t="s">
        <v>717</v>
      </c>
      <c r="Z907" s="2" t="s">
        <v>718</v>
      </c>
      <c r="AA907" s="9" t="s">
        <v>715</v>
      </c>
      <c r="AC907" s="2"/>
      <c r="AD907" t="s">
        <v>7</v>
      </c>
      <c r="AE907" t="s">
        <v>3381</v>
      </c>
    </row>
    <row r="908" spans="1:31" x14ac:dyDescent="0.3">
      <c r="A908" s="17">
        <v>90739624000118</v>
      </c>
      <c r="B908" t="s">
        <v>11</v>
      </c>
      <c r="C908">
        <v>26124</v>
      </c>
      <c r="D908" t="s">
        <v>453</v>
      </c>
      <c r="E908" t="s">
        <v>2</v>
      </c>
      <c r="F908">
        <v>269308</v>
      </c>
      <c r="G908" s="1" t="s">
        <v>3382</v>
      </c>
      <c r="H908">
        <v>24800193</v>
      </c>
      <c r="I908">
        <v>23012</v>
      </c>
      <c r="J908" t="s">
        <v>24</v>
      </c>
      <c r="K908" s="17">
        <v>46472822000176</v>
      </c>
      <c r="L908" s="17">
        <v>90739624000380</v>
      </c>
      <c r="M908" s="9">
        <v>278.22000000000003</v>
      </c>
      <c r="N908" t="s">
        <v>43</v>
      </c>
      <c r="Q908" s="2"/>
      <c r="R908" s="9"/>
      <c r="S908" t="s">
        <v>44</v>
      </c>
      <c r="T908" t="s">
        <v>45</v>
      </c>
      <c r="U908" s="2" t="s">
        <v>695</v>
      </c>
      <c r="V908" s="9" t="s">
        <v>3383</v>
      </c>
      <c r="W908">
        <v>3.5260846472822E+43</v>
      </c>
      <c r="X908" t="s">
        <v>46</v>
      </c>
      <c r="Y908" s="2" t="s">
        <v>717</v>
      </c>
      <c r="Z908" s="2" t="s">
        <v>718</v>
      </c>
      <c r="AA908" s="9" t="s">
        <v>715</v>
      </c>
      <c r="AC908" s="2"/>
      <c r="AD908" t="s">
        <v>7</v>
      </c>
      <c r="AE908" t="s">
        <v>3384</v>
      </c>
    </row>
    <row r="909" spans="1:31" x14ac:dyDescent="0.3">
      <c r="A909" s="17">
        <v>90739624000118</v>
      </c>
      <c r="B909" t="s">
        <v>28</v>
      </c>
      <c r="D909" t="s">
        <v>282</v>
      </c>
      <c r="E909" t="s">
        <v>2</v>
      </c>
      <c r="F909">
        <v>269308</v>
      </c>
      <c r="G909" s="1" t="s">
        <v>3385</v>
      </c>
      <c r="H909">
        <v>24799948</v>
      </c>
      <c r="I909">
        <v>81165</v>
      </c>
      <c r="J909" t="s">
        <v>48</v>
      </c>
      <c r="K909" s="17">
        <v>1272434001002</v>
      </c>
      <c r="L909" s="17">
        <v>90739624001947</v>
      </c>
      <c r="M909" s="9">
        <v>279.25</v>
      </c>
      <c r="N909" t="s">
        <v>43</v>
      </c>
      <c r="Q909" s="2"/>
      <c r="R909" s="9"/>
      <c r="S909" t="s">
        <v>44</v>
      </c>
      <c r="T909" t="s">
        <v>45</v>
      </c>
      <c r="U909" s="2" t="s">
        <v>585</v>
      </c>
      <c r="V909" s="9" t="s">
        <v>3386</v>
      </c>
      <c r="W909">
        <v>5.2260801272433996E+43</v>
      </c>
      <c r="X909" t="s">
        <v>46</v>
      </c>
      <c r="Y909" s="2" t="s">
        <v>717</v>
      </c>
      <c r="Z909" s="2" t="s">
        <v>718</v>
      </c>
      <c r="AA909" s="9" t="s">
        <v>715</v>
      </c>
      <c r="AC909" s="2"/>
      <c r="AD909" t="s">
        <v>7</v>
      </c>
      <c r="AE909" t="s">
        <v>3387</v>
      </c>
    </row>
    <row r="910" spans="1:31" x14ac:dyDescent="0.3">
      <c r="A910" s="17">
        <v>90739624000118</v>
      </c>
      <c r="B910" t="s">
        <v>61</v>
      </c>
      <c r="D910" t="s">
        <v>521</v>
      </c>
      <c r="E910" t="s">
        <v>2</v>
      </c>
      <c r="F910">
        <v>269308</v>
      </c>
      <c r="G910" s="1" t="s">
        <v>3388</v>
      </c>
      <c r="H910">
        <v>24799760</v>
      </c>
      <c r="I910">
        <v>2442</v>
      </c>
      <c r="J910" t="s">
        <v>498</v>
      </c>
      <c r="K910" s="17">
        <v>17125457000206</v>
      </c>
      <c r="L910" s="17">
        <v>9576274000106</v>
      </c>
      <c r="M910" s="9">
        <v>644.02</v>
      </c>
      <c r="N910" t="s">
        <v>43</v>
      </c>
      <c r="Q910" s="2"/>
      <c r="R910" s="9"/>
      <c r="S910" t="s">
        <v>44</v>
      </c>
      <c r="T910" t="s">
        <v>45</v>
      </c>
      <c r="U910" s="2" t="s">
        <v>602</v>
      </c>
      <c r="V910" s="9" t="s">
        <v>3389</v>
      </c>
      <c r="W910">
        <v>4.1260817125457002E+43</v>
      </c>
      <c r="X910" t="s">
        <v>46</v>
      </c>
      <c r="Y910" s="2" t="s">
        <v>717</v>
      </c>
      <c r="Z910" s="2" t="s">
        <v>718</v>
      </c>
      <c r="AA910" s="9" t="s">
        <v>715</v>
      </c>
      <c r="AC910" s="2"/>
      <c r="AD910" t="s">
        <v>7</v>
      </c>
      <c r="AE910" t="s">
        <v>3390</v>
      </c>
    </row>
    <row r="911" spans="1:31" x14ac:dyDescent="0.3">
      <c r="A911" s="17">
        <v>90739624000118</v>
      </c>
      <c r="B911" t="s">
        <v>181</v>
      </c>
      <c r="C911">
        <v>23836</v>
      </c>
      <c r="D911" t="s">
        <v>462</v>
      </c>
      <c r="E911" t="s">
        <v>2</v>
      </c>
      <c r="F911">
        <v>269308</v>
      </c>
      <c r="G911" s="1" t="s">
        <v>3391</v>
      </c>
      <c r="H911">
        <v>24799663</v>
      </c>
      <c r="I911">
        <v>199170</v>
      </c>
      <c r="J911" t="s">
        <v>3392</v>
      </c>
      <c r="K911" s="17">
        <v>3157705000105</v>
      </c>
      <c r="L911" s="17">
        <v>90739624001432</v>
      </c>
      <c r="M911" s="9">
        <v>298.92</v>
      </c>
      <c r="N911" t="s">
        <v>43</v>
      </c>
      <c r="Q911" s="2"/>
      <c r="R911" s="9"/>
      <c r="S911" t="s">
        <v>44</v>
      </c>
      <c r="T911" t="s">
        <v>45</v>
      </c>
      <c r="U911" s="2" t="s">
        <v>585</v>
      </c>
      <c r="V911" s="9" t="s">
        <v>3393</v>
      </c>
      <c r="W911">
        <v>4.2260803157705E+43</v>
      </c>
      <c r="X911" t="s">
        <v>46</v>
      </c>
      <c r="Y911" s="2" t="s">
        <v>717</v>
      </c>
      <c r="Z911" s="2" t="s">
        <v>718</v>
      </c>
      <c r="AA911" s="9" t="s">
        <v>715</v>
      </c>
      <c r="AC911" s="2"/>
      <c r="AD911" t="s">
        <v>7</v>
      </c>
      <c r="AE911" t="s">
        <v>3394</v>
      </c>
    </row>
    <row r="912" spans="1:31" x14ac:dyDescent="0.3">
      <c r="A912" s="17">
        <v>90739624000118</v>
      </c>
      <c r="B912" t="s">
        <v>120</v>
      </c>
      <c r="D912" t="s">
        <v>652</v>
      </c>
      <c r="E912" t="s">
        <v>2</v>
      </c>
      <c r="F912">
        <v>269308</v>
      </c>
      <c r="G912" s="1" t="s">
        <v>3395</v>
      </c>
      <c r="H912">
        <v>24799307</v>
      </c>
      <c r="I912">
        <v>60897</v>
      </c>
      <c r="J912" t="s">
        <v>150</v>
      </c>
      <c r="K912" s="17">
        <v>27643038000139</v>
      </c>
      <c r="L912" s="17">
        <v>90739624001432</v>
      </c>
      <c r="M912" s="9">
        <v>450.71</v>
      </c>
      <c r="N912" t="s">
        <v>43</v>
      </c>
      <c r="Q912" s="2"/>
      <c r="R912" s="9"/>
      <c r="S912" t="s">
        <v>44</v>
      </c>
      <c r="T912" t="s">
        <v>45</v>
      </c>
      <c r="U912" s="2" t="s">
        <v>585</v>
      </c>
      <c r="V912" s="9" t="s">
        <v>3396</v>
      </c>
      <c r="W912">
        <v>4.2260827643038002E+43</v>
      </c>
      <c r="X912" t="s">
        <v>46</v>
      </c>
      <c r="Y912" s="2" t="s">
        <v>717</v>
      </c>
      <c r="Z912" s="2" t="s">
        <v>718</v>
      </c>
      <c r="AA912" s="9" t="s">
        <v>715</v>
      </c>
      <c r="AC912" s="2"/>
      <c r="AD912" t="s">
        <v>7</v>
      </c>
      <c r="AE912" t="s">
        <v>3397</v>
      </c>
    </row>
    <row r="913" spans="1:31" x14ac:dyDescent="0.3">
      <c r="A913" s="17">
        <v>90739624000118</v>
      </c>
      <c r="B913" t="s">
        <v>28</v>
      </c>
      <c r="D913" t="s">
        <v>212</v>
      </c>
      <c r="E913" t="s">
        <v>2</v>
      </c>
      <c r="F913">
        <v>269308</v>
      </c>
      <c r="G913" s="1" t="s">
        <v>3398</v>
      </c>
      <c r="H913">
        <v>24799294</v>
      </c>
      <c r="I913">
        <v>81164</v>
      </c>
      <c r="J913" t="s">
        <v>48</v>
      </c>
      <c r="K913" s="17">
        <v>1272434001002</v>
      </c>
      <c r="L913" s="17">
        <v>90739624001947</v>
      </c>
      <c r="M913" s="9">
        <v>185.66</v>
      </c>
      <c r="N913" t="s">
        <v>43</v>
      </c>
      <c r="Q913" s="2"/>
      <c r="R913" s="9"/>
      <c r="S913" t="s">
        <v>44</v>
      </c>
      <c r="T913" t="s">
        <v>45</v>
      </c>
      <c r="U913" s="2" t="s">
        <v>585</v>
      </c>
      <c r="V913" s="9" t="s">
        <v>3399</v>
      </c>
      <c r="W913">
        <v>5.2260801272433996E+43</v>
      </c>
      <c r="X913" t="s">
        <v>46</v>
      </c>
      <c r="Y913" s="2" t="s">
        <v>717</v>
      </c>
      <c r="Z913" s="2" t="s">
        <v>718</v>
      </c>
      <c r="AA913" s="9" t="s">
        <v>715</v>
      </c>
      <c r="AC913" s="2"/>
      <c r="AD913" t="s">
        <v>7</v>
      </c>
      <c r="AE913" t="s">
        <v>3400</v>
      </c>
    </row>
    <row r="914" spans="1:31" x14ac:dyDescent="0.3">
      <c r="A914" s="17">
        <v>90739624000118</v>
      </c>
      <c r="B914" t="s">
        <v>174</v>
      </c>
      <c r="D914" t="s">
        <v>256</v>
      </c>
      <c r="E914" t="s">
        <v>2</v>
      </c>
      <c r="F914">
        <v>269308</v>
      </c>
      <c r="G914" s="1" t="s">
        <v>3401</v>
      </c>
      <c r="H914">
        <v>24798808</v>
      </c>
      <c r="I914">
        <v>62247</v>
      </c>
      <c r="J914" t="s">
        <v>346</v>
      </c>
      <c r="K914" s="17">
        <v>8318079000105</v>
      </c>
      <c r="L914" s="17">
        <v>90739624000118</v>
      </c>
      <c r="M914" s="9">
        <v>93.47</v>
      </c>
      <c r="N914" t="s">
        <v>43</v>
      </c>
      <c r="Q914" s="2"/>
      <c r="R914" s="9"/>
      <c r="S914" t="s">
        <v>44</v>
      </c>
      <c r="T914" t="s">
        <v>45</v>
      </c>
      <c r="U914" s="2" t="s">
        <v>585</v>
      </c>
      <c r="V914" s="9" t="s">
        <v>3402</v>
      </c>
      <c r="W914">
        <v>1.7260808318079E+43</v>
      </c>
      <c r="X914" t="s">
        <v>46</v>
      </c>
      <c r="Y914" s="2" t="s">
        <v>717</v>
      </c>
      <c r="Z914" s="2" t="s">
        <v>718</v>
      </c>
      <c r="AA914" s="9" t="s">
        <v>715</v>
      </c>
      <c r="AC914" s="2"/>
      <c r="AD914" t="s">
        <v>7</v>
      </c>
      <c r="AE914" t="s">
        <v>3403</v>
      </c>
    </row>
    <row r="915" spans="1:31" x14ac:dyDescent="0.3">
      <c r="A915" s="17">
        <v>90739624000118</v>
      </c>
      <c r="B915" t="s">
        <v>61</v>
      </c>
      <c r="D915" t="s">
        <v>314</v>
      </c>
      <c r="E915" t="s">
        <v>2</v>
      </c>
      <c r="F915">
        <v>269308</v>
      </c>
      <c r="G915" s="1" t="s">
        <v>3404</v>
      </c>
      <c r="H915">
        <v>24798148</v>
      </c>
      <c r="I915">
        <v>819932</v>
      </c>
      <c r="J915" t="s">
        <v>62</v>
      </c>
      <c r="K915" s="17">
        <v>79964177000591</v>
      </c>
      <c r="L915" s="17">
        <v>9576274000106</v>
      </c>
      <c r="M915" s="9">
        <v>1679</v>
      </c>
      <c r="N915" t="s">
        <v>43</v>
      </c>
      <c r="Q915" s="2"/>
      <c r="R915" s="9"/>
      <c r="S915" t="s">
        <v>44</v>
      </c>
      <c r="T915" t="s">
        <v>45</v>
      </c>
      <c r="U915" s="2" t="s">
        <v>585</v>
      </c>
      <c r="V915" s="9" t="s">
        <v>3405</v>
      </c>
      <c r="W915">
        <v>4.1260879964176998E+43</v>
      </c>
      <c r="X915" t="s">
        <v>46</v>
      </c>
      <c r="Y915" s="2" t="s">
        <v>717</v>
      </c>
      <c r="Z915" s="2" t="s">
        <v>718</v>
      </c>
      <c r="AA915" s="9" t="s">
        <v>715</v>
      </c>
      <c r="AC915" s="2"/>
      <c r="AD915" t="s">
        <v>7</v>
      </c>
      <c r="AE915" t="s">
        <v>3406</v>
      </c>
    </row>
    <row r="916" spans="1:31" x14ac:dyDescent="0.3">
      <c r="A916" s="17">
        <v>90739624000118</v>
      </c>
      <c r="B916" t="s">
        <v>36</v>
      </c>
      <c r="D916" t="s">
        <v>510</v>
      </c>
      <c r="E916" t="s">
        <v>2</v>
      </c>
      <c r="F916">
        <v>269308</v>
      </c>
      <c r="G916" s="1" t="s">
        <v>3407</v>
      </c>
      <c r="H916">
        <v>24797405</v>
      </c>
      <c r="J916" t="s">
        <v>37</v>
      </c>
      <c r="K916" s="17">
        <v>35257918000103</v>
      </c>
      <c r="L916" s="17"/>
      <c r="M916" s="9">
        <v>148.63</v>
      </c>
      <c r="N916" t="s">
        <v>43</v>
      </c>
      <c r="Q916" s="2"/>
      <c r="R916" s="9"/>
      <c r="S916" t="s">
        <v>87</v>
      </c>
      <c r="U916" s="2"/>
      <c r="V916" s="9"/>
      <c r="X916" t="s">
        <v>88</v>
      </c>
      <c r="Y916" s="2" t="s">
        <v>717</v>
      </c>
      <c r="Z916" s="2" t="s">
        <v>718</v>
      </c>
      <c r="AA916" s="9" t="s">
        <v>715</v>
      </c>
      <c r="AC916" s="2"/>
      <c r="AD916" t="s">
        <v>7</v>
      </c>
    </row>
    <row r="917" spans="1:31" x14ac:dyDescent="0.3">
      <c r="A917" s="17">
        <v>90739624000118</v>
      </c>
      <c r="B917" t="s">
        <v>25</v>
      </c>
      <c r="D917" t="s">
        <v>586</v>
      </c>
      <c r="E917" t="s">
        <v>2</v>
      </c>
      <c r="F917">
        <v>269308</v>
      </c>
      <c r="G917" s="1" t="s">
        <v>3409</v>
      </c>
      <c r="H917">
        <v>24797280</v>
      </c>
      <c r="I917">
        <v>30300</v>
      </c>
      <c r="J917" t="s">
        <v>149</v>
      </c>
      <c r="K917" s="17">
        <v>8512459000186</v>
      </c>
      <c r="L917" s="17">
        <v>90739624001866</v>
      </c>
      <c r="M917" s="9">
        <v>89.01</v>
      </c>
      <c r="N917" t="s">
        <v>43</v>
      </c>
      <c r="Q917" s="2"/>
      <c r="R917" s="9"/>
      <c r="S917" t="s">
        <v>44</v>
      </c>
      <c r="T917" t="s">
        <v>45</v>
      </c>
      <c r="U917" s="2" t="s">
        <v>585</v>
      </c>
      <c r="V917" s="9" t="s">
        <v>3410</v>
      </c>
      <c r="W917">
        <v>5.1260808512458996E+43</v>
      </c>
      <c r="X917" t="s">
        <v>46</v>
      </c>
      <c r="Y917" s="2" t="s">
        <v>717</v>
      </c>
      <c r="Z917" s="2" t="s">
        <v>718</v>
      </c>
      <c r="AA917" s="9" t="s">
        <v>715</v>
      </c>
      <c r="AC917" s="2"/>
      <c r="AD917" t="s">
        <v>7</v>
      </c>
      <c r="AE917" t="s">
        <v>3411</v>
      </c>
    </row>
    <row r="918" spans="1:31" x14ac:dyDescent="0.3">
      <c r="A918" s="17">
        <v>90739624000118</v>
      </c>
      <c r="B918" t="s">
        <v>170</v>
      </c>
      <c r="C918">
        <v>24760</v>
      </c>
      <c r="D918" t="s">
        <v>528</v>
      </c>
      <c r="E918" t="s">
        <v>2</v>
      </c>
      <c r="F918">
        <v>269308</v>
      </c>
      <c r="G918" s="1" t="s">
        <v>3412</v>
      </c>
      <c r="H918">
        <v>24796256</v>
      </c>
      <c r="I918">
        <v>129123</v>
      </c>
      <c r="J918" t="s">
        <v>178</v>
      </c>
      <c r="K918" s="17">
        <v>83392050000199</v>
      </c>
      <c r="L918" s="17">
        <v>90739624001432</v>
      </c>
      <c r="M918" s="9">
        <v>646.51</v>
      </c>
      <c r="N918" t="s">
        <v>43</v>
      </c>
      <c r="Q918" s="2"/>
      <c r="R918" s="9"/>
      <c r="S918" t="s">
        <v>44</v>
      </c>
      <c r="T918" t="s">
        <v>45</v>
      </c>
      <c r="U918" s="2" t="s">
        <v>585</v>
      </c>
      <c r="V918" s="9" t="s">
        <v>3413</v>
      </c>
      <c r="W918">
        <v>4.2260883392050001E+43</v>
      </c>
      <c r="X918" t="s">
        <v>46</v>
      </c>
      <c r="Y918" s="2" t="s">
        <v>717</v>
      </c>
      <c r="Z918" s="2" t="s">
        <v>718</v>
      </c>
      <c r="AA918" s="9" t="s">
        <v>715</v>
      </c>
      <c r="AC918" s="2"/>
      <c r="AD918" t="s">
        <v>7</v>
      </c>
      <c r="AE918" t="s">
        <v>3414</v>
      </c>
    </row>
    <row r="919" spans="1:31" x14ac:dyDescent="0.3">
      <c r="A919" s="17">
        <v>90739624000118</v>
      </c>
      <c r="B919" t="s">
        <v>63</v>
      </c>
      <c r="D919" t="s">
        <v>193</v>
      </c>
      <c r="E919" t="s">
        <v>2</v>
      </c>
      <c r="F919">
        <v>269308</v>
      </c>
      <c r="G919" s="1" t="s">
        <v>3415</v>
      </c>
      <c r="H919">
        <v>24795670</v>
      </c>
      <c r="I919">
        <v>178772</v>
      </c>
      <c r="J919" t="s">
        <v>64</v>
      </c>
      <c r="K919" s="17">
        <v>23448964001921</v>
      </c>
      <c r="L919" s="17">
        <v>90739624001432</v>
      </c>
      <c r="M919" s="9">
        <v>304.54000000000002</v>
      </c>
      <c r="N919" t="s">
        <v>43</v>
      </c>
      <c r="Q919" s="2"/>
      <c r="R919" s="9"/>
      <c r="S919" t="s">
        <v>44</v>
      </c>
      <c r="T919" t="s">
        <v>45</v>
      </c>
      <c r="U919" s="2" t="s">
        <v>585</v>
      </c>
      <c r="V919" s="9" t="s">
        <v>3416</v>
      </c>
      <c r="W919">
        <v>4.2260823448963998E+43</v>
      </c>
      <c r="X919" t="s">
        <v>46</v>
      </c>
      <c r="Y919" s="2" t="s">
        <v>717</v>
      </c>
      <c r="Z919" s="2" t="s">
        <v>718</v>
      </c>
      <c r="AA919" s="9" t="s">
        <v>715</v>
      </c>
      <c r="AC919" s="2"/>
      <c r="AD919" t="s">
        <v>7</v>
      </c>
      <c r="AE919" t="s">
        <v>3417</v>
      </c>
    </row>
    <row r="920" spans="1:31" x14ac:dyDescent="0.3">
      <c r="A920" s="17">
        <v>90739624000118</v>
      </c>
      <c r="B920" t="s">
        <v>11</v>
      </c>
      <c r="D920" t="s">
        <v>116</v>
      </c>
      <c r="E920" t="s">
        <v>2</v>
      </c>
      <c r="F920">
        <v>269308</v>
      </c>
      <c r="G920" s="1" t="s">
        <v>3418</v>
      </c>
      <c r="H920">
        <v>24795343</v>
      </c>
      <c r="I920">
        <v>4408</v>
      </c>
      <c r="J920" t="s">
        <v>95</v>
      </c>
      <c r="K920" s="17">
        <v>37489429000102</v>
      </c>
      <c r="L920" s="17">
        <v>90739624001947</v>
      </c>
      <c r="M920" s="9">
        <v>253.05</v>
      </c>
      <c r="N920" t="s">
        <v>43</v>
      </c>
      <c r="Q920" s="2"/>
      <c r="R920" s="9"/>
      <c r="S920" t="s">
        <v>44</v>
      </c>
      <c r="T920" t="s">
        <v>45</v>
      </c>
      <c r="U920" s="2" t="s">
        <v>585</v>
      </c>
      <c r="V920" s="9" t="s">
        <v>3419</v>
      </c>
      <c r="W920">
        <v>5.2260837489428997E+43</v>
      </c>
      <c r="X920" t="s">
        <v>46</v>
      </c>
      <c r="Y920" s="2" t="s">
        <v>717</v>
      </c>
      <c r="Z920" s="2" t="s">
        <v>718</v>
      </c>
      <c r="AA920" s="9" t="s">
        <v>715</v>
      </c>
      <c r="AC920" s="2"/>
      <c r="AD920" t="s">
        <v>7</v>
      </c>
      <c r="AE920" t="s">
        <v>3420</v>
      </c>
    </row>
    <row r="921" spans="1:31" x14ac:dyDescent="0.3">
      <c r="A921" s="17">
        <v>90739624000118</v>
      </c>
      <c r="B921" t="s">
        <v>49</v>
      </c>
      <c r="D921" t="s">
        <v>86</v>
      </c>
      <c r="E921" t="s">
        <v>2</v>
      </c>
      <c r="F921">
        <v>269308</v>
      </c>
      <c r="G921" s="1" t="s">
        <v>3421</v>
      </c>
      <c r="H921">
        <v>24795225</v>
      </c>
      <c r="I921">
        <v>103370</v>
      </c>
      <c r="J921" t="s">
        <v>299</v>
      </c>
      <c r="K921" s="17">
        <v>7388800000170</v>
      </c>
      <c r="L921" s="17">
        <v>9576274000106</v>
      </c>
      <c r="M921" s="9">
        <v>505.17</v>
      </c>
      <c r="N921" t="s">
        <v>43</v>
      </c>
      <c r="Q921" s="2"/>
      <c r="R921" s="9"/>
      <c r="S921" t="s">
        <v>44</v>
      </c>
      <c r="T921" t="s">
        <v>45</v>
      </c>
      <c r="U921" s="2" t="s">
        <v>585</v>
      </c>
      <c r="V921" s="9" t="s">
        <v>3422</v>
      </c>
      <c r="W921">
        <v>4.1260807388800002E+43</v>
      </c>
      <c r="X921" t="s">
        <v>46</v>
      </c>
      <c r="Y921" s="2" t="s">
        <v>717</v>
      </c>
      <c r="Z921" s="2" t="s">
        <v>718</v>
      </c>
      <c r="AA921" s="9" t="s">
        <v>715</v>
      </c>
      <c r="AC921" s="2"/>
      <c r="AD921" t="s">
        <v>7</v>
      </c>
      <c r="AE921" t="s">
        <v>3423</v>
      </c>
    </row>
    <row r="922" spans="1:31" x14ac:dyDescent="0.3">
      <c r="A922" s="17">
        <v>90739624000118</v>
      </c>
      <c r="B922" t="s">
        <v>0</v>
      </c>
      <c r="D922" t="s">
        <v>565</v>
      </c>
      <c r="E922" t="s">
        <v>2</v>
      </c>
      <c r="F922">
        <v>269308</v>
      </c>
      <c r="G922" s="1" t="s">
        <v>3424</v>
      </c>
      <c r="H922">
        <v>24794243</v>
      </c>
      <c r="I922">
        <v>101107</v>
      </c>
      <c r="J922" t="s">
        <v>134</v>
      </c>
      <c r="K922" s="17">
        <v>81326258000770</v>
      </c>
      <c r="L922" s="17">
        <v>90739624001432</v>
      </c>
      <c r="M922" s="9">
        <v>444.41</v>
      </c>
      <c r="N922" t="s">
        <v>43</v>
      </c>
      <c r="Q922" s="2"/>
      <c r="R922" s="9"/>
      <c r="S922" t="s">
        <v>44</v>
      </c>
      <c r="T922" t="s">
        <v>45</v>
      </c>
      <c r="U922" s="2" t="s">
        <v>585</v>
      </c>
      <c r="V922" s="9" t="s">
        <v>3425</v>
      </c>
      <c r="W922">
        <v>4.2260881326258001E+43</v>
      </c>
      <c r="X922" t="s">
        <v>46</v>
      </c>
      <c r="Y922" s="2" t="s">
        <v>717</v>
      </c>
      <c r="Z922" s="2" t="s">
        <v>718</v>
      </c>
      <c r="AA922" s="9" t="s">
        <v>715</v>
      </c>
      <c r="AC922" s="2"/>
      <c r="AD922" t="s">
        <v>7</v>
      </c>
      <c r="AE922" t="s">
        <v>3426</v>
      </c>
    </row>
    <row r="923" spans="1:31" x14ac:dyDescent="0.3">
      <c r="A923" s="17">
        <v>90739624000118</v>
      </c>
      <c r="B923" t="s">
        <v>8</v>
      </c>
      <c r="D923" t="s">
        <v>3427</v>
      </c>
      <c r="E923" t="s">
        <v>2</v>
      </c>
      <c r="F923">
        <v>269308</v>
      </c>
      <c r="G923" s="1" t="s">
        <v>3428</v>
      </c>
      <c r="H923">
        <v>24794032</v>
      </c>
      <c r="I923">
        <v>4210</v>
      </c>
      <c r="J923" t="s">
        <v>10</v>
      </c>
      <c r="K923" s="17">
        <v>33286065000102</v>
      </c>
      <c r="L923" s="17">
        <v>9576274000106</v>
      </c>
      <c r="M923" s="9">
        <v>179.64</v>
      </c>
      <c r="N923" t="s">
        <v>43</v>
      </c>
      <c r="Q923" s="2"/>
      <c r="R923" s="9"/>
      <c r="S923" t="s">
        <v>44</v>
      </c>
      <c r="T923" t="s">
        <v>45</v>
      </c>
      <c r="U923" s="2" t="s">
        <v>585</v>
      </c>
      <c r="V923" s="9" t="s">
        <v>3429</v>
      </c>
      <c r="W923">
        <v>4.1260833286065001E+43</v>
      </c>
      <c r="X923" t="s">
        <v>46</v>
      </c>
      <c r="Y923" s="2" t="s">
        <v>717</v>
      </c>
      <c r="Z923" s="2" t="s">
        <v>718</v>
      </c>
      <c r="AA923" s="9" t="s">
        <v>715</v>
      </c>
      <c r="AC923" s="2"/>
      <c r="AD923" t="s">
        <v>7</v>
      </c>
      <c r="AE923" t="s">
        <v>3430</v>
      </c>
    </row>
    <row r="924" spans="1:31" x14ac:dyDescent="0.3">
      <c r="A924" s="17">
        <v>90739624000118</v>
      </c>
      <c r="B924" t="s">
        <v>63</v>
      </c>
      <c r="C924">
        <v>26140</v>
      </c>
      <c r="D924" t="s">
        <v>195</v>
      </c>
      <c r="E924" t="s">
        <v>2</v>
      </c>
      <c r="F924">
        <v>269308</v>
      </c>
      <c r="G924" s="1" t="s">
        <v>3431</v>
      </c>
      <c r="H924">
        <v>24794021</v>
      </c>
      <c r="I924">
        <v>178756</v>
      </c>
      <c r="J924" t="s">
        <v>64</v>
      </c>
      <c r="K924" s="17">
        <v>23448964001921</v>
      </c>
      <c r="L924" s="17">
        <v>90739624001432</v>
      </c>
      <c r="M924" s="9">
        <v>237.51</v>
      </c>
      <c r="N924" t="s">
        <v>43</v>
      </c>
      <c r="Q924" s="2"/>
      <c r="R924" s="9"/>
      <c r="S924" t="s">
        <v>44</v>
      </c>
      <c r="T924" t="s">
        <v>45</v>
      </c>
      <c r="U924" s="2" t="s">
        <v>585</v>
      </c>
      <c r="V924" s="9" t="s">
        <v>3432</v>
      </c>
      <c r="W924">
        <v>4.2260823448963998E+43</v>
      </c>
      <c r="X924" t="s">
        <v>46</v>
      </c>
      <c r="Y924" s="2" t="s">
        <v>717</v>
      </c>
      <c r="Z924" s="2" t="s">
        <v>718</v>
      </c>
      <c r="AA924" s="9" t="s">
        <v>715</v>
      </c>
      <c r="AC924" s="2"/>
      <c r="AD924" t="s">
        <v>7</v>
      </c>
      <c r="AE924" t="s">
        <v>3433</v>
      </c>
    </row>
    <row r="925" spans="1:31" x14ac:dyDescent="0.3">
      <c r="A925" s="17">
        <v>90739624000118</v>
      </c>
      <c r="B925" t="s">
        <v>73</v>
      </c>
      <c r="D925" t="s">
        <v>506</v>
      </c>
      <c r="E925" t="s">
        <v>2</v>
      </c>
      <c r="F925">
        <v>269308</v>
      </c>
      <c r="G925" s="1" t="s">
        <v>3434</v>
      </c>
      <c r="H925">
        <v>24793877</v>
      </c>
      <c r="J925" t="s">
        <v>694</v>
      </c>
      <c r="K925" s="17">
        <v>7473735020026</v>
      </c>
      <c r="L925" s="17"/>
      <c r="M925" s="9">
        <v>173.27</v>
      </c>
      <c r="N925" t="s">
        <v>43</v>
      </c>
      <c r="Q925" s="2"/>
      <c r="R925" s="9"/>
      <c r="S925" t="s">
        <v>87</v>
      </c>
      <c r="U925" s="2"/>
      <c r="V925" s="9"/>
      <c r="X925" t="s">
        <v>88</v>
      </c>
      <c r="Y925" s="2" t="s">
        <v>717</v>
      </c>
      <c r="Z925" s="2" t="s">
        <v>718</v>
      </c>
      <c r="AA925" s="9" t="s">
        <v>715</v>
      </c>
      <c r="AC925" s="2"/>
      <c r="AD925" t="s">
        <v>7</v>
      </c>
    </row>
    <row r="926" spans="1:31" x14ac:dyDescent="0.3">
      <c r="A926" s="17">
        <v>90739624000118</v>
      </c>
      <c r="B926" t="s">
        <v>170</v>
      </c>
      <c r="D926" t="s">
        <v>628</v>
      </c>
      <c r="E926" t="s">
        <v>17</v>
      </c>
      <c r="F926">
        <v>269308</v>
      </c>
      <c r="G926" s="1" t="s">
        <v>3436</v>
      </c>
      <c r="H926">
        <v>24793873</v>
      </c>
      <c r="I926">
        <v>129113</v>
      </c>
      <c r="J926" t="s">
        <v>178</v>
      </c>
      <c r="K926" s="17">
        <v>83392050000199</v>
      </c>
      <c r="L926" s="17">
        <v>90739624001432</v>
      </c>
      <c r="M926" s="9">
        <v>58.01</v>
      </c>
      <c r="N926" t="s">
        <v>43</v>
      </c>
      <c r="Q926" s="2"/>
      <c r="R926" s="9"/>
      <c r="S926" t="s">
        <v>44</v>
      </c>
      <c r="T926" t="s">
        <v>45</v>
      </c>
      <c r="U926" s="2" t="s">
        <v>585</v>
      </c>
      <c r="V926" s="9" t="s">
        <v>3437</v>
      </c>
      <c r="W926">
        <v>4.2260883392050001E+43</v>
      </c>
      <c r="X926" t="s">
        <v>46</v>
      </c>
      <c r="Y926" s="2" t="s">
        <v>717</v>
      </c>
      <c r="Z926" s="2" t="s">
        <v>718</v>
      </c>
      <c r="AA926" s="9" t="s">
        <v>715</v>
      </c>
      <c r="AC926" s="2"/>
      <c r="AD926" t="s">
        <v>7</v>
      </c>
      <c r="AE926" t="s">
        <v>3438</v>
      </c>
    </row>
    <row r="927" spans="1:31" x14ac:dyDescent="0.3">
      <c r="A927" s="17">
        <v>90739624000118</v>
      </c>
      <c r="B927" t="s">
        <v>170</v>
      </c>
      <c r="D927" t="s">
        <v>628</v>
      </c>
      <c r="E927" t="s">
        <v>2</v>
      </c>
      <c r="F927">
        <v>269308</v>
      </c>
      <c r="G927" s="1" t="s">
        <v>3439</v>
      </c>
      <c r="H927">
        <v>24793846</v>
      </c>
      <c r="I927">
        <v>129112</v>
      </c>
      <c r="J927" t="s">
        <v>178</v>
      </c>
      <c r="K927" s="17">
        <v>83392050000199</v>
      </c>
      <c r="L927" s="17">
        <v>90739624001432</v>
      </c>
      <c r="M927" s="9">
        <v>372.4</v>
      </c>
      <c r="N927" t="s">
        <v>43</v>
      </c>
      <c r="Q927" s="2"/>
      <c r="R927" s="9"/>
      <c r="S927" t="s">
        <v>44</v>
      </c>
      <c r="T927" t="s">
        <v>45</v>
      </c>
      <c r="U927" s="2" t="s">
        <v>585</v>
      </c>
      <c r="V927" s="9" t="s">
        <v>3440</v>
      </c>
      <c r="W927">
        <v>4.2260883392050001E+43</v>
      </c>
      <c r="X927" t="s">
        <v>46</v>
      </c>
      <c r="Y927" s="2" t="s">
        <v>717</v>
      </c>
      <c r="Z927" s="2" t="s">
        <v>718</v>
      </c>
      <c r="AA927" s="9" t="s">
        <v>715</v>
      </c>
      <c r="AC927" s="2"/>
      <c r="AD927" t="s">
        <v>7</v>
      </c>
      <c r="AE927" t="s">
        <v>3441</v>
      </c>
    </row>
    <row r="928" spans="1:31" x14ac:dyDescent="0.3">
      <c r="A928" s="17">
        <v>90739624000118</v>
      </c>
      <c r="B928" t="s">
        <v>61</v>
      </c>
      <c r="C928">
        <v>21310</v>
      </c>
      <c r="D928" t="s">
        <v>302</v>
      </c>
      <c r="E928" t="s">
        <v>2</v>
      </c>
      <c r="F928">
        <v>269308</v>
      </c>
      <c r="G928" s="1" t="s">
        <v>3442</v>
      </c>
      <c r="H928">
        <v>24793834</v>
      </c>
      <c r="I928">
        <v>2497</v>
      </c>
      <c r="J928" t="s">
        <v>85</v>
      </c>
      <c r="K928" s="17">
        <v>1975878000105</v>
      </c>
      <c r="L928" s="17">
        <v>9576274000106</v>
      </c>
      <c r="M928" s="9">
        <v>193.89</v>
      </c>
      <c r="N928" t="s">
        <v>43</v>
      </c>
      <c r="Q928" s="2"/>
      <c r="R928" s="9"/>
      <c r="S928" t="s">
        <v>44</v>
      </c>
      <c r="T928" t="s">
        <v>45</v>
      </c>
      <c r="U928" s="2" t="s">
        <v>585</v>
      </c>
      <c r="V928" s="9" t="s">
        <v>3444</v>
      </c>
      <c r="W928">
        <v>4.1260801975878E+43</v>
      </c>
      <c r="X928" t="s">
        <v>46</v>
      </c>
      <c r="Y928" s="2" t="s">
        <v>717</v>
      </c>
      <c r="Z928" s="2" t="s">
        <v>718</v>
      </c>
      <c r="AA928" s="9" t="s">
        <v>715</v>
      </c>
      <c r="AC928" s="2"/>
      <c r="AD928" t="s">
        <v>7</v>
      </c>
      <c r="AE928" t="s">
        <v>3445</v>
      </c>
    </row>
    <row r="929" spans="1:31" x14ac:dyDescent="0.3">
      <c r="A929" s="17">
        <v>90739624000118</v>
      </c>
      <c r="B929" t="s">
        <v>8</v>
      </c>
      <c r="D929" t="s">
        <v>238</v>
      </c>
      <c r="E929" t="s">
        <v>2</v>
      </c>
      <c r="F929">
        <v>269308</v>
      </c>
      <c r="G929" s="1" t="s">
        <v>3446</v>
      </c>
      <c r="H929">
        <v>24793828</v>
      </c>
      <c r="J929" t="s">
        <v>285</v>
      </c>
      <c r="K929" s="17">
        <v>7473735012198</v>
      </c>
      <c r="L929" s="17"/>
      <c r="M929" s="9">
        <v>210.32</v>
      </c>
      <c r="N929" t="s">
        <v>43</v>
      </c>
      <c r="Q929" s="2"/>
      <c r="R929" s="9"/>
      <c r="S929" t="s">
        <v>87</v>
      </c>
      <c r="U929" s="2"/>
      <c r="V929" s="9"/>
      <c r="X929" t="s">
        <v>88</v>
      </c>
      <c r="Y929" s="2" t="s">
        <v>717</v>
      </c>
      <c r="Z929" s="2" t="s">
        <v>718</v>
      </c>
      <c r="AA929" s="9" t="s">
        <v>715</v>
      </c>
      <c r="AC929" s="2"/>
      <c r="AD929" t="s">
        <v>7</v>
      </c>
    </row>
    <row r="930" spans="1:31" x14ac:dyDescent="0.3">
      <c r="A930" s="17">
        <v>90739624000118</v>
      </c>
      <c r="B930" t="s">
        <v>31</v>
      </c>
      <c r="D930" t="s">
        <v>55</v>
      </c>
      <c r="E930" t="s">
        <v>2</v>
      </c>
      <c r="F930">
        <v>269308</v>
      </c>
      <c r="G930" s="1" t="s">
        <v>3448</v>
      </c>
      <c r="H930">
        <v>24793818</v>
      </c>
      <c r="I930">
        <v>109967</v>
      </c>
      <c r="J930" t="s">
        <v>184</v>
      </c>
      <c r="K930" s="17">
        <v>8399617000303</v>
      </c>
      <c r="L930" s="17">
        <v>90739624001866</v>
      </c>
      <c r="M930" s="9">
        <v>101.14</v>
      </c>
      <c r="N930" t="s">
        <v>43</v>
      </c>
      <c r="Q930" s="2"/>
      <c r="R930" s="9"/>
      <c r="S930" t="s">
        <v>44</v>
      </c>
      <c r="T930" t="s">
        <v>45</v>
      </c>
      <c r="U930" s="2" t="s">
        <v>585</v>
      </c>
      <c r="V930" s="9" t="s">
        <v>615</v>
      </c>
      <c r="W930">
        <v>5.1260808399616999E+43</v>
      </c>
      <c r="X930" t="s">
        <v>46</v>
      </c>
      <c r="Y930" s="2" t="s">
        <v>717</v>
      </c>
      <c r="Z930" s="2" t="s">
        <v>718</v>
      </c>
      <c r="AA930" s="9" t="s">
        <v>715</v>
      </c>
      <c r="AC930" s="2"/>
      <c r="AD930" t="s">
        <v>7</v>
      </c>
      <c r="AE930" t="s">
        <v>3449</v>
      </c>
    </row>
    <row r="931" spans="1:31" x14ac:dyDescent="0.3">
      <c r="A931" s="17">
        <v>90739624000118</v>
      </c>
      <c r="B931" t="s">
        <v>8</v>
      </c>
      <c r="C931">
        <v>24443</v>
      </c>
      <c r="D931" t="s">
        <v>155</v>
      </c>
      <c r="E931" t="s">
        <v>2</v>
      </c>
      <c r="F931">
        <v>269308</v>
      </c>
      <c r="G931" s="1" t="s">
        <v>3450</v>
      </c>
      <c r="H931">
        <v>24793759</v>
      </c>
      <c r="I931">
        <v>10518</v>
      </c>
      <c r="J931" t="s">
        <v>144</v>
      </c>
      <c r="K931" s="17">
        <v>37607755000169</v>
      </c>
      <c r="L931" s="17">
        <v>9576274000106</v>
      </c>
      <c r="M931" s="9">
        <v>245.18</v>
      </c>
      <c r="N931" t="s">
        <v>43</v>
      </c>
      <c r="Q931" s="2"/>
      <c r="R931" s="9"/>
      <c r="S931" t="s">
        <v>44</v>
      </c>
      <c r="T931" t="s">
        <v>45</v>
      </c>
      <c r="U931" s="2" t="s">
        <v>585</v>
      </c>
      <c r="V931" s="9" t="s">
        <v>3451</v>
      </c>
      <c r="W931">
        <v>4.1260837607755001E+43</v>
      </c>
      <c r="X931" t="s">
        <v>46</v>
      </c>
      <c r="Y931" s="2" t="s">
        <v>717</v>
      </c>
      <c r="Z931" s="2" t="s">
        <v>718</v>
      </c>
      <c r="AA931" s="9" t="s">
        <v>715</v>
      </c>
      <c r="AC931" s="2"/>
      <c r="AD931" t="s">
        <v>7</v>
      </c>
      <c r="AE931" t="s">
        <v>3452</v>
      </c>
    </row>
    <row r="932" spans="1:31" x14ac:dyDescent="0.3">
      <c r="A932" s="17">
        <v>90739624000118</v>
      </c>
      <c r="B932" t="s">
        <v>58</v>
      </c>
      <c r="D932" t="s">
        <v>3453</v>
      </c>
      <c r="E932" t="s">
        <v>2</v>
      </c>
      <c r="F932">
        <v>269308</v>
      </c>
      <c r="G932" s="1" t="s">
        <v>3454</v>
      </c>
      <c r="H932">
        <v>24793632</v>
      </c>
      <c r="J932" t="s">
        <v>167</v>
      </c>
      <c r="K932" s="17">
        <v>7473735016266</v>
      </c>
      <c r="L932" s="17"/>
      <c r="M932" s="9">
        <v>309.44</v>
      </c>
      <c r="N932" t="s">
        <v>43</v>
      </c>
      <c r="Q932" s="2"/>
      <c r="R932" s="9"/>
      <c r="S932" t="s">
        <v>87</v>
      </c>
      <c r="U932" s="2"/>
      <c r="V932" s="9"/>
      <c r="X932" t="s">
        <v>88</v>
      </c>
      <c r="Y932" s="2" t="s">
        <v>717</v>
      </c>
      <c r="Z932" s="2" t="s">
        <v>718</v>
      </c>
      <c r="AA932" s="9" t="s">
        <v>715</v>
      </c>
      <c r="AC932" s="2"/>
      <c r="AD932" t="s">
        <v>7</v>
      </c>
    </row>
    <row r="933" spans="1:31" x14ac:dyDescent="0.3">
      <c r="A933" s="17">
        <v>90739624000118</v>
      </c>
      <c r="B933" t="s">
        <v>25</v>
      </c>
      <c r="D933" t="s">
        <v>129</v>
      </c>
      <c r="E933" t="s">
        <v>2</v>
      </c>
      <c r="F933">
        <v>269308</v>
      </c>
      <c r="G933" s="1" t="s">
        <v>3456</v>
      </c>
      <c r="H933">
        <v>24793611</v>
      </c>
      <c r="I933">
        <v>69856</v>
      </c>
      <c r="J933" t="s">
        <v>345</v>
      </c>
      <c r="K933" s="17">
        <v>656619000230</v>
      </c>
      <c r="L933" s="17">
        <v>90739624001866</v>
      </c>
      <c r="M933" s="9">
        <v>187.94</v>
      </c>
      <c r="N933" t="s">
        <v>43</v>
      </c>
      <c r="Q933" s="2"/>
      <c r="R933" s="9"/>
      <c r="S933" t="s">
        <v>44</v>
      </c>
      <c r="T933" t="s">
        <v>45</v>
      </c>
      <c r="U933" s="2" t="s">
        <v>585</v>
      </c>
      <c r="V933" s="9" t="s">
        <v>3457</v>
      </c>
      <c r="W933">
        <v>5.1260800656618995E+43</v>
      </c>
      <c r="X933" t="s">
        <v>46</v>
      </c>
      <c r="Y933" s="2" t="s">
        <v>717</v>
      </c>
      <c r="Z933" s="2" t="s">
        <v>718</v>
      </c>
      <c r="AA933" s="9" t="s">
        <v>715</v>
      </c>
      <c r="AC933" s="2"/>
      <c r="AD933" t="s">
        <v>7</v>
      </c>
      <c r="AE933" t="s">
        <v>3458</v>
      </c>
    </row>
    <row r="934" spans="1:31" x14ac:dyDescent="0.3">
      <c r="A934" s="17">
        <v>90739624000118</v>
      </c>
      <c r="B934" t="s">
        <v>61</v>
      </c>
      <c r="D934" t="s">
        <v>490</v>
      </c>
      <c r="E934" t="s">
        <v>2</v>
      </c>
      <c r="F934">
        <v>269308</v>
      </c>
      <c r="G934" s="1" t="s">
        <v>3459</v>
      </c>
      <c r="H934">
        <v>24793584</v>
      </c>
      <c r="I934">
        <v>819906</v>
      </c>
      <c r="J934" t="s">
        <v>62</v>
      </c>
      <c r="K934" s="17">
        <v>79964177000591</v>
      </c>
      <c r="L934" s="17">
        <v>9576274000106</v>
      </c>
      <c r="M934" s="9">
        <v>2292.7399999999998</v>
      </c>
      <c r="N934" t="s">
        <v>43</v>
      </c>
      <c r="Q934" s="2"/>
      <c r="R934" s="9"/>
      <c r="S934" t="s">
        <v>44</v>
      </c>
      <c r="T934" t="s">
        <v>45</v>
      </c>
      <c r="U934" s="2" t="s">
        <v>585</v>
      </c>
      <c r="V934" s="9" t="s">
        <v>3460</v>
      </c>
      <c r="W934">
        <v>4.1260879964176998E+43</v>
      </c>
      <c r="X934" t="s">
        <v>46</v>
      </c>
      <c r="Y934" s="2" t="s">
        <v>717</v>
      </c>
      <c r="Z934" s="2" t="s">
        <v>718</v>
      </c>
      <c r="AA934" s="9" t="s">
        <v>715</v>
      </c>
      <c r="AC934" s="2"/>
      <c r="AD934" t="s">
        <v>7</v>
      </c>
      <c r="AE934" t="s">
        <v>3461</v>
      </c>
    </row>
    <row r="935" spans="1:31" x14ac:dyDescent="0.3">
      <c r="A935" s="17">
        <v>90739624000118</v>
      </c>
      <c r="B935" t="s">
        <v>63</v>
      </c>
      <c r="D935" t="s">
        <v>466</v>
      </c>
      <c r="E935" t="s">
        <v>2</v>
      </c>
      <c r="F935">
        <v>269308</v>
      </c>
      <c r="G935" s="1" t="s">
        <v>3462</v>
      </c>
      <c r="H935">
        <v>24793569</v>
      </c>
      <c r="I935">
        <v>178748</v>
      </c>
      <c r="J935" t="s">
        <v>64</v>
      </c>
      <c r="K935" s="17">
        <v>23448964001921</v>
      </c>
      <c r="L935" s="17">
        <v>90739624001432</v>
      </c>
      <c r="M935" s="9">
        <v>190.22</v>
      </c>
      <c r="N935" t="s">
        <v>43</v>
      </c>
      <c r="Q935" s="2"/>
      <c r="R935" s="9"/>
      <c r="S935" t="s">
        <v>44</v>
      </c>
      <c r="T935" t="s">
        <v>45</v>
      </c>
      <c r="U935" s="2" t="s">
        <v>585</v>
      </c>
      <c r="V935" s="9" t="s">
        <v>3463</v>
      </c>
      <c r="W935">
        <v>4.2260823448963998E+43</v>
      </c>
      <c r="X935" t="s">
        <v>46</v>
      </c>
      <c r="Y935" s="2" t="s">
        <v>717</v>
      </c>
      <c r="Z935" s="2" t="s">
        <v>718</v>
      </c>
      <c r="AA935" s="9" t="s">
        <v>715</v>
      </c>
      <c r="AC935" s="2"/>
      <c r="AD935" t="s">
        <v>7</v>
      </c>
      <c r="AE935" t="s">
        <v>3464</v>
      </c>
    </row>
    <row r="936" spans="1:31" x14ac:dyDescent="0.3">
      <c r="A936" s="17">
        <v>90739624000118</v>
      </c>
      <c r="B936" t="s">
        <v>28</v>
      </c>
      <c r="D936" t="s">
        <v>525</v>
      </c>
      <c r="E936" t="s">
        <v>2</v>
      </c>
      <c r="F936">
        <v>269308</v>
      </c>
      <c r="G936" s="1" t="s">
        <v>3465</v>
      </c>
      <c r="H936">
        <v>24793561</v>
      </c>
      <c r="I936">
        <v>81158</v>
      </c>
      <c r="J936" t="s">
        <v>48</v>
      </c>
      <c r="K936" s="17">
        <v>1272434001002</v>
      </c>
      <c r="L936" s="17">
        <v>90739624001947</v>
      </c>
      <c r="M936" s="9">
        <v>218.62</v>
      </c>
      <c r="N936" t="s">
        <v>43</v>
      </c>
      <c r="Q936" s="2"/>
      <c r="R936" s="9"/>
      <c r="S936" t="s">
        <v>44</v>
      </c>
      <c r="T936" t="s">
        <v>45</v>
      </c>
      <c r="U936" s="2" t="s">
        <v>585</v>
      </c>
      <c r="V936" s="9" t="s">
        <v>3466</v>
      </c>
      <c r="W936">
        <v>5.2260801272433996E+43</v>
      </c>
      <c r="X936" t="s">
        <v>46</v>
      </c>
      <c r="Y936" s="2" t="s">
        <v>717</v>
      </c>
      <c r="Z936" s="2" t="s">
        <v>718</v>
      </c>
      <c r="AA936" s="9" t="s">
        <v>715</v>
      </c>
      <c r="AC936" s="2"/>
      <c r="AD936" t="s">
        <v>7</v>
      </c>
      <c r="AE936" t="s">
        <v>3467</v>
      </c>
    </row>
    <row r="937" spans="1:31" x14ac:dyDescent="0.3">
      <c r="A937" s="17">
        <v>90739624000118</v>
      </c>
      <c r="B937" t="s">
        <v>28</v>
      </c>
      <c r="C937">
        <v>23725</v>
      </c>
      <c r="D937" t="s">
        <v>560</v>
      </c>
      <c r="E937" t="s">
        <v>2</v>
      </c>
      <c r="F937">
        <v>269308</v>
      </c>
      <c r="G937" s="1" t="s">
        <v>3468</v>
      </c>
      <c r="H937">
        <v>24793552</v>
      </c>
      <c r="I937">
        <v>113031</v>
      </c>
      <c r="J937" t="s">
        <v>29</v>
      </c>
      <c r="K937" s="17">
        <v>47377960000139</v>
      </c>
      <c r="L937" s="17">
        <v>90739624001947</v>
      </c>
      <c r="M937" s="9">
        <v>182.58</v>
      </c>
      <c r="N937" t="s">
        <v>43</v>
      </c>
      <c r="Q937" s="2"/>
      <c r="R937" s="9"/>
      <c r="S937" t="s">
        <v>44</v>
      </c>
      <c r="T937" t="s">
        <v>45</v>
      </c>
      <c r="U937" s="2" t="s">
        <v>695</v>
      </c>
      <c r="V937" s="9" t="s">
        <v>3469</v>
      </c>
      <c r="W937">
        <v>5.2260847377959996E+43</v>
      </c>
      <c r="X937" t="s">
        <v>46</v>
      </c>
      <c r="Y937" s="2" t="s">
        <v>717</v>
      </c>
      <c r="Z937" s="2" t="s">
        <v>718</v>
      </c>
      <c r="AA937" s="9" t="s">
        <v>715</v>
      </c>
      <c r="AC937" s="2"/>
      <c r="AD937" t="s">
        <v>7</v>
      </c>
      <c r="AE937" t="s">
        <v>3470</v>
      </c>
    </row>
    <row r="938" spans="1:31" x14ac:dyDescent="0.3">
      <c r="A938" s="17">
        <v>90739624000118</v>
      </c>
      <c r="B938" t="s">
        <v>61</v>
      </c>
      <c r="D938" t="s">
        <v>84</v>
      </c>
      <c r="E938" t="s">
        <v>2</v>
      </c>
      <c r="F938">
        <v>269308</v>
      </c>
      <c r="G938" s="1" t="s">
        <v>3471</v>
      </c>
      <c r="H938">
        <v>24793510</v>
      </c>
      <c r="I938">
        <v>2496</v>
      </c>
      <c r="J938" t="s">
        <v>85</v>
      </c>
      <c r="K938" s="17">
        <v>1975878000105</v>
      </c>
      <c r="L938" s="17">
        <v>9576274000106</v>
      </c>
      <c r="M938" s="9">
        <v>254.14</v>
      </c>
      <c r="N938" t="s">
        <v>43</v>
      </c>
      <c r="Q938" s="2"/>
      <c r="R938" s="9"/>
      <c r="S938" t="s">
        <v>44</v>
      </c>
      <c r="T938" t="s">
        <v>45</v>
      </c>
      <c r="U938" s="2" t="s">
        <v>585</v>
      </c>
      <c r="V938" s="9" t="s">
        <v>3473</v>
      </c>
      <c r="W938">
        <v>4.1260801975878E+43</v>
      </c>
      <c r="X938" t="s">
        <v>46</v>
      </c>
      <c r="Y938" s="2" t="s">
        <v>717</v>
      </c>
      <c r="Z938" s="2" t="s">
        <v>718</v>
      </c>
      <c r="AA938" s="9" t="s">
        <v>715</v>
      </c>
      <c r="AC938" s="2"/>
      <c r="AD938" t="s">
        <v>7</v>
      </c>
      <c r="AE938" t="s">
        <v>3474</v>
      </c>
    </row>
    <row r="939" spans="1:31" x14ac:dyDescent="0.3">
      <c r="A939" s="17">
        <v>90739624000118</v>
      </c>
      <c r="B939" t="s">
        <v>40</v>
      </c>
      <c r="C939">
        <v>23397</v>
      </c>
      <c r="D939" t="s">
        <v>227</v>
      </c>
      <c r="E939" t="s">
        <v>2</v>
      </c>
      <c r="F939">
        <v>269308</v>
      </c>
      <c r="G939" s="1" t="s">
        <v>3475</v>
      </c>
      <c r="H939">
        <v>24793495</v>
      </c>
      <c r="I939">
        <v>168185</v>
      </c>
      <c r="J939" t="s">
        <v>42</v>
      </c>
      <c r="K939" s="17">
        <v>82156977000248</v>
      </c>
      <c r="L939" s="17">
        <v>90739624001432</v>
      </c>
      <c r="M939" s="9">
        <v>242.63</v>
      </c>
      <c r="N939" t="s">
        <v>43</v>
      </c>
      <c r="Q939" s="2"/>
      <c r="R939" s="9"/>
      <c r="S939" t="s">
        <v>44</v>
      </c>
      <c r="T939" t="s">
        <v>45</v>
      </c>
      <c r="U939" s="2" t="s">
        <v>585</v>
      </c>
      <c r="V939" s="9" t="s">
        <v>1287</v>
      </c>
      <c r="W939">
        <v>4.2260882156977001E+43</v>
      </c>
      <c r="X939" t="s">
        <v>46</v>
      </c>
      <c r="Y939" s="2" t="s">
        <v>717</v>
      </c>
      <c r="Z939" s="2" t="s">
        <v>718</v>
      </c>
      <c r="AA939" s="9" t="s">
        <v>715</v>
      </c>
      <c r="AC939" s="2"/>
      <c r="AD939" t="s">
        <v>7</v>
      </c>
      <c r="AE939" t="s">
        <v>3476</v>
      </c>
    </row>
    <row r="940" spans="1:31" x14ac:dyDescent="0.3">
      <c r="A940" s="17">
        <v>90739624000118</v>
      </c>
      <c r="B940" t="s">
        <v>36</v>
      </c>
      <c r="D940" t="s">
        <v>185</v>
      </c>
      <c r="E940" t="s">
        <v>2</v>
      </c>
      <c r="F940">
        <v>269308</v>
      </c>
      <c r="G940" s="1" t="s">
        <v>3477</v>
      </c>
      <c r="H940">
        <v>24793357</v>
      </c>
      <c r="I940">
        <v>4113</v>
      </c>
      <c r="J940" t="s">
        <v>186</v>
      </c>
      <c r="K940" s="17">
        <v>7822636000168</v>
      </c>
      <c r="L940" s="17">
        <v>90739624004458</v>
      </c>
      <c r="M940" s="9">
        <v>255.26</v>
      </c>
      <c r="N940" t="s">
        <v>43</v>
      </c>
      <c r="Q940" s="2"/>
      <c r="R940" s="9"/>
      <c r="S940" t="s">
        <v>44</v>
      </c>
      <c r="T940" t="s">
        <v>45</v>
      </c>
      <c r="U940" s="2" t="s">
        <v>585</v>
      </c>
      <c r="V940" s="9" t="s">
        <v>3478</v>
      </c>
      <c r="W940">
        <v>5.3260807822636003E+43</v>
      </c>
      <c r="X940" t="s">
        <v>46</v>
      </c>
      <c r="Y940" s="2" t="s">
        <v>717</v>
      </c>
      <c r="Z940" s="2" t="s">
        <v>718</v>
      </c>
      <c r="AA940" s="9" t="s">
        <v>715</v>
      </c>
      <c r="AC940" s="2"/>
      <c r="AD940" t="s">
        <v>7</v>
      </c>
      <c r="AE940" t="s">
        <v>3479</v>
      </c>
    </row>
    <row r="941" spans="1:31" x14ac:dyDescent="0.3">
      <c r="A941" s="17">
        <v>90739624000118</v>
      </c>
      <c r="B941" t="s">
        <v>61</v>
      </c>
      <c r="D941" t="s">
        <v>243</v>
      </c>
      <c r="E941" t="s">
        <v>2</v>
      </c>
      <c r="F941">
        <v>269308</v>
      </c>
      <c r="G941" s="1" t="s">
        <v>3480</v>
      </c>
      <c r="H941">
        <v>24793347</v>
      </c>
      <c r="I941">
        <v>2495</v>
      </c>
      <c r="J941" t="s">
        <v>85</v>
      </c>
      <c r="K941" s="17">
        <v>1975878000105</v>
      </c>
      <c r="L941" s="17">
        <v>9576274000106</v>
      </c>
      <c r="M941" s="9">
        <v>139.88999999999999</v>
      </c>
      <c r="N941" t="s">
        <v>43</v>
      </c>
      <c r="Q941" s="2"/>
      <c r="R941" s="9"/>
      <c r="S941" t="s">
        <v>44</v>
      </c>
      <c r="T941" t="s">
        <v>45</v>
      </c>
      <c r="U941" s="2" t="s">
        <v>585</v>
      </c>
      <c r="V941" s="9" t="s">
        <v>3482</v>
      </c>
      <c r="W941">
        <v>4.1260801975878E+43</v>
      </c>
      <c r="X941" t="s">
        <v>46</v>
      </c>
      <c r="Y941" s="2" t="s">
        <v>717</v>
      </c>
      <c r="Z941" s="2" t="s">
        <v>718</v>
      </c>
      <c r="AA941" s="9" t="s">
        <v>715</v>
      </c>
      <c r="AC941" s="2"/>
      <c r="AD941" t="s">
        <v>7</v>
      </c>
      <c r="AE941" t="s">
        <v>3483</v>
      </c>
    </row>
    <row r="942" spans="1:31" x14ac:dyDescent="0.3">
      <c r="A942" s="17">
        <v>90739624000118</v>
      </c>
      <c r="B942" t="s">
        <v>58</v>
      </c>
      <c r="D942" t="s">
        <v>334</v>
      </c>
      <c r="E942" t="s">
        <v>2</v>
      </c>
      <c r="F942">
        <v>269308</v>
      </c>
      <c r="G942" s="1" t="s">
        <v>3484</v>
      </c>
      <c r="H942">
        <v>24793183</v>
      </c>
      <c r="I942">
        <v>110707</v>
      </c>
      <c r="J942" t="s">
        <v>106</v>
      </c>
      <c r="K942" s="17">
        <v>7473735015103</v>
      </c>
      <c r="L942" s="17">
        <v>90739624002323</v>
      </c>
      <c r="M942" s="9">
        <v>172.63</v>
      </c>
      <c r="N942" t="s">
        <v>43</v>
      </c>
      <c r="Q942" s="2"/>
      <c r="R942" s="9"/>
      <c r="S942" t="s">
        <v>44</v>
      </c>
      <c r="T942" t="s">
        <v>45</v>
      </c>
      <c r="U942" s="2" t="s">
        <v>585</v>
      </c>
      <c r="V942" s="9" t="s">
        <v>3485</v>
      </c>
      <c r="W942">
        <v>4.3260807473734999E+43</v>
      </c>
      <c r="X942" t="s">
        <v>46</v>
      </c>
      <c r="Y942" s="2" t="s">
        <v>717</v>
      </c>
      <c r="Z942" s="2" t="s">
        <v>718</v>
      </c>
      <c r="AA942" s="9" t="s">
        <v>715</v>
      </c>
      <c r="AC942" s="2"/>
      <c r="AD942" t="s">
        <v>7</v>
      </c>
      <c r="AE942" t="s">
        <v>3486</v>
      </c>
    </row>
    <row r="943" spans="1:31" x14ac:dyDescent="0.3">
      <c r="A943" s="17">
        <v>90739624000118</v>
      </c>
      <c r="B943" t="s">
        <v>63</v>
      </c>
      <c r="D943" t="s">
        <v>1309</v>
      </c>
      <c r="E943" t="s">
        <v>2</v>
      </c>
      <c r="F943">
        <v>269308</v>
      </c>
      <c r="G943" s="1" t="s">
        <v>3487</v>
      </c>
      <c r="H943">
        <v>24793127</v>
      </c>
      <c r="I943">
        <v>178740</v>
      </c>
      <c r="J943" t="s">
        <v>64</v>
      </c>
      <c r="K943" s="17">
        <v>23448964001921</v>
      </c>
      <c r="L943" s="17">
        <v>90739624001432</v>
      </c>
      <c r="M943" s="9">
        <v>369.99</v>
      </c>
      <c r="N943" t="s">
        <v>43</v>
      </c>
      <c r="Q943" s="2"/>
      <c r="R943" s="9"/>
      <c r="S943" t="s">
        <v>44</v>
      </c>
      <c r="T943" t="s">
        <v>45</v>
      </c>
      <c r="U943" s="2" t="s">
        <v>585</v>
      </c>
      <c r="V943" s="9" t="s">
        <v>3488</v>
      </c>
      <c r="W943">
        <v>4.2260823448963998E+43</v>
      </c>
      <c r="X943" t="s">
        <v>46</v>
      </c>
      <c r="Y943" s="2" t="s">
        <v>717</v>
      </c>
      <c r="Z943" s="2" t="s">
        <v>718</v>
      </c>
      <c r="AA943" s="9" t="s">
        <v>715</v>
      </c>
      <c r="AC943" s="2"/>
      <c r="AD943" t="s">
        <v>7</v>
      </c>
      <c r="AE943" t="s">
        <v>3489</v>
      </c>
    </row>
    <row r="944" spans="1:31" x14ac:dyDescent="0.3">
      <c r="A944" s="17">
        <v>90739624000118</v>
      </c>
      <c r="B944" t="s">
        <v>40</v>
      </c>
      <c r="D944" t="s">
        <v>147</v>
      </c>
      <c r="E944" t="s">
        <v>17</v>
      </c>
      <c r="F944">
        <v>269308</v>
      </c>
      <c r="G944" s="1" t="s">
        <v>3490</v>
      </c>
      <c r="H944">
        <v>24793121</v>
      </c>
      <c r="I944">
        <v>168184</v>
      </c>
      <c r="J944" t="s">
        <v>42</v>
      </c>
      <c r="K944" s="17">
        <v>82156977000248</v>
      </c>
      <c r="L944" s="17">
        <v>90739624001432</v>
      </c>
      <c r="M944" s="9">
        <v>43.72</v>
      </c>
      <c r="N944" t="s">
        <v>43</v>
      </c>
      <c r="Q944" s="2"/>
      <c r="R944" s="9"/>
      <c r="S944" t="s">
        <v>44</v>
      </c>
      <c r="T944" t="s">
        <v>45</v>
      </c>
      <c r="U944" s="2" t="s">
        <v>585</v>
      </c>
      <c r="V944" s="9" t="s">
        <v>3491</v>
      </c>
      <c r="W944">
        <v>4.2260882156977001E+43</v>
      </c>
      <c r="X944" t="s">
        <v>46</v>
      </c>
      <c r="Y944" s="2" t="s">
        <v>717</v>
      </c>
      <c r="Z944" s="2" t="s">
        <v>718</v>
      </c>
      <c r="AA944" s="9" t="s">
        <v>715</v>
      </c>
      <c r="AC944" s="2"/>
      <c r="AD944" t="s">
        <v>7</v>
      </c>
      <c r="AE944" t="s">
        <v>3492</v>
      </c>
    </row>
    <row r="945" spans="1:31" x14ac:dyDescent="0.3">
      <c r="A945" s="17">
        <v>90739624000118</v>
      </c>
      <c r="B945" t="s">
        <v>40</v>
      </c>
      <c r="D945" t="s">
        <v>147</v>
      </c>
      <c r="E945" t="s">
        <v>2</v>
      </c>
      <c r="F945">
        <v>269308</v>
      </c>
      <c r="G945" s="1" t="s">
        <v>3493</v>
      </c>
      <c r="H945">
        <v>24793104</v>
      </c>
      <c r="I945">
        <v>168183</v>
      </c>
      <c r="J945" t="s">
        <v>42</v>
      </c>
      <c r="K945" s="17">
        <v>82156977000248</v>
      </c>
      <c r="L945" s="17">
        <v>90739624001432</v>
      </c>
      <c r="M945" s="9">
        <v>1397.89</v>
      </c>
      <c r="N945" t="s">
        <v>43</v>
      </c>
      <c r="Q945" s="2"/>
      <c r="R945" s="9"/>
      <c r="S945" t="s">
        <v>44</v>
      </c>
      <c r="T945" t="s">
        <v>45</v>
      </c>
      <c r="U945" s="2" t="s">
        <v>585</v>
      </c>
      <c r="V945" s="9" t="s">
        <v>3494</v>
      </c>
      <c r="W945">
        <v>4.2260882156977001E+43</v>
      </c>
      <c r="X945" t="s">
        <v>46</v>
      </c>
      <c r="Y945" s="2" t="s">
        <v>717</v>
      </c>
      <c r="Z945" s="2" t="s">
        <v>718</v>
      </c>
      <c r="AA945" s="9" t="s">
        <v>715</v>
      </c>
      <c r="AC945" s="2"/>
      <c r="AD945" t="s">
        <v>7</v>
      </c>
      <c r="AE945" t="s">
        <v>3495</v>
      </c>
    </row>
    <row r="946" spans="1:31" x14ac:dyDescent="0.3">
      <c r="A946" s="17">
        <v>90739624000118</v>
      </c>
      <c r="B946" t="s">
        <v>61</v>
      </c>
      <c r="D946" t="s">
        <v>307</v>
      </c>
      <c r="E946" t="s">
        <v>2</v>
      </c>
      <c r="F946">
        <v>269308</v>
      </c>
      <c r="G946" s="1" t="s">
        <v>3496</v>
      </c>
      <c r="H946">
        <v>24793095</v>
      </c>
      <c r="I946">
        <v>2494</v>
      </c>
      <c r="J946" t="s">
        <v>85</v>
      </c>
      <c r="K946" s="17">
        <v>1975878000105</v>
      </c>
      <c r="L946" s="17">
        <v>9576274000106</v>
      </c>
      <c r="M946" s="9">
        <v>254.79</v>
      </c>
      <c r="N946" t="s">
        <v>43</v>
      </c>
      <c r="Q946" s="2"/>
      <c r="R946" s="9"/>
      <c r="S946" t="s">
        <v>44</v>
      </c>
      <c r="T946" t="s">
        <v>45</v>
      </c>
      <c r="U946" s="2" t="s">
        <v>585</v>
      </c>
      <c r="V946" s="9" t="s">
        <v>3497</v>
      </c>
      <c r="W946">
        <v>4.1260801975878E+43</v>
      </c>
      <c r="X946" t="s">
        <v>46</v>
      </c>
      <c r="Y946" s="2" t="s">
        <v>717</v>
      </c>
      <c r="Z946" s="2" t="s">
        <v>718</v>
      </c>
      <c r="AA946" s="9" t="s">
        <v>715</v>
      </c>
      <c r="AC946" s="2"/>
      <c r="AD946" t="s">
        <v>7</v>
      </c>
      <c r="AE946" t="s">
        <v>3498</v>
      </c>
    </row>
    <row r="947" spans="1:31" x14ac:dyDescent="0.3">
      <c r="A947" s="17">
        <v>90739624000118</v>
      </c>
      <c r="B947" t="s">
        <v>58</v>
      </c>
      <c r="D947" t="s">
        <v>389</v>
      </c>
      <c r="E947" t="s">
        <v>2</v>
      </c>
      <c r="F947">
        <v>269308</v>
      </c>
      <c r="G947" s="1" t="s">
        <v>3499</v>
      </c>
      <c r="H947">
        <v>24793078</v>
      </c>
      <c r="I947">
        <v>56140</v>
      </c>
      <c r="J947" t="s">
        <v>532</v>
      </c>
      <c r="K947" s="17">
        <v>7473735018552</v>
      </c>
      <c r="L947" s="17">
        <v>90739624002323</v>
      </c>
      <c r="M947" s="9">
        <v>127.86</v>
      </c>
      <c r="N947" t="s">
        <v>43</v>
      </c>
      <c r="Q947" s="2"/>
      <c r="R947" s="9"/>
      <c r="S947" t="s">
        <v>44</v>
      </c>
      <c r="T947" t="s">
        <v>45</v>
      </c>
      <c r="U947" s="2" t="s">
        <v>585</v>
      </c>
      <c r="V947" s="9" t="s">
        <v>3500</v>
      </c>
      <c r="W947">
        <v>4.3260807473734999E+43</v>
      </c>
      <c r="X947" t="s">
        <v>46</v>
      </c>
      <c r="Y947" s="2" t="s">
        <v>717</v>
      </c>
      <c r="Z947" s="2" t="s">
        <v>718</v>
      </c>
      <c r="AA947" s="9" t="s">
        <v>715</v>
      </c>
      <c r="AC947" s="2"/>
      <c r="AD947" t="s">
        <v>7</v>
      </c>
      <c r="AE947" t="s">
        <v>3501</v>
      </c>
    </row>
    <row r="948" spans="1:31" x14ac:dyDescent="0.3">
      <c r="A948" s="17">
        <v>90739624000118</v>
      </c>
      <c r="B948" t="s">
        <v>13</v>
      </c>
      <c r="C948">
        <v>26010</v>
      </c>
      <c r="D948" t="s">
        <v>336</v>
      </c>
      <c r="E948" t="s">
        <v>2</v>
      </c>
      <c r="F948">
        <v>269308</v>
      </c>
      <c r="G948" s="1" t="s">
        <v>3502</v>
      </c>
      <c r="H948">
        <v>24792979</v>
      </c>
      <c r="J948" t="s">
        <v>315</v>
      </c>
      <c r="K948" s="17">
        <v>2322969000104</v>
      </c>
      <c r="L948" s="17"/>
      <c r="M948" s="9">
        <v>277.58</v>
      </c>
      <c r="N948" t="s">
        <v>43</v>
      </c>
      <c r="Q948" s="2"/>
      <c r="R948" s="9"/>
      <c r="S948" t="s">
        <v>87</v>
      </c>
      <c r="U948" s="2"/>
      <c r="V948" s="9"/>
      <c r="X948" t="s">
        <v>88</v>
      </c>
      <c r="Y948" s="2" t="s">
        <v>717</v>
      </c>
      <c r="Z948" s="2" t="s">
        <v>718</v>
      </c>
      <c r="AA948" s="9" t="s">
        <v>715</v>
      </c>
      <c r="AC948" s="2"/>
      <c r="AD948" t="s">
        <v>7</v>
      </c>
    </row>
    <row r="949" spans="1:31" x14ac:dyDescent="0.3">
      <c r="A949" s="17">
        <v>90739624000118</v>
      </c>
      <c r="B949" t="s">
        <v>170</v>
      </c>
      <c r="D949" t="s">
        <v>177</v>
      </c>
      <c r="E949" t="s">
        <v>2</v>
      </c>
      <c r="F949">
        <v>269308</v>
      </c>
      <c r="G949" s="1" t="s">
        <v>3504</v>
      </c>
      <c r="H949">
        <v>24792890</v>
      </c>
      <c r="I949">
        <v>47408</v>
      </c>
      <c r="J949" t="s">
        <v>171</v>
      </c>
      <c r="K949" s="17">
        <v>14631967000186</v>
      </c>
      <c r="L949" s="17">
        <v>90739624001432</v>
      </c>
      <c r="M949" s="9">
        <v>249.64</v>
      </c>
      <c r="N949" t="s">
        <v>43</v>
      </c>
      <c r="Q949" s="2"/>
      <c r="R949" s="9"/>
      <c r="S949" t="s">
        <v>44</v>
      </c>
      <c r="T949" t="s">
        <v>45</v>
      </c>
      <c r="U949" s="2" t="s">
        <v>585</v>
      </c>
      <c r="V949" s="9" t="s">
        <v>3505</v>
      </c>
      <c r="W949">
        <v>4.2260814631966998E+43</v>
      </c>
      <c r="X949" t="s">
        <v>46</v>
      </c>
      <c r="Y949" s="2" t="s">
        <v>717</v>
      </c>
      <c r="Z949" s="2" t="s">
        <v>718</v>
      </c>
      <c r="AA949" s="9" t="s">
        <v>715</v>
      </c>
      <c r="AC949" s="2"/>
      <c r="AD949" t="s">
        <v>7</v>
      </c>
      <c r="AE949" t="s">
        <v>3506</v>
      </c>
    </row>
    <row r="950" spans="1:31" x14ac:dyDescent="0.3">
      <c r="A950" s="17">
        <v>90739624000118</v>
      </c>
      <c r="B950" t="s">
        <v>58</v>
      </c>
      <c r="D950" t="s">
        <v>392</v>
      </c>
      <c r="E950" t="s">
        <v>2</v>
      </c>
      <c r="F950">
        <v>269308</v>
      </c>
      <c r="G950" s="1" t="s">
        <v>3507</v>
      </c>
      <c r="H950">
        <v>24792862</v>
      </c>
      <c r="I950">
        <v>57548</v>
      </c>
      <c r="J950" t="s">
        <v>480</v>
      </c>
      <c r="K950" s="17">
        <v>7473735019877</v>
      </c>
      <c r="L950" s="17">
        <v>90739624002323</v>
      </c>
      <c r="M950" s="9">
        <v>171.11</v>
      </c>
      <c r="N950" t="s">
        <v>43</v>
      </c>
      <c r="Q950" s="2"/>
      <c r="R950" s="9"/>
      <c r="S950" t="s">
        <v>44</v>
      </c>
      <c r="T950" t="s">
        <v>45</v>
      </c>
      <c r="U950" s="2" t="s">
        <v>585</v>
      </c>
      <c r="V950" s="9" t="s">
        <v>3508</v>
      </c>
      <c r="W950">
        <v>4.3260807473734999E+43</v>
      </c>
      <c r="X950" t="s">
        <v>46</v>
      </c>
      <c r="Y950" s="2" t="s">
        <v>717</v>
      </c>
      <c r="Z950" s="2" t="s">
        <v>718</v>
      </c>
      <c r="AA950" s="9" t="s">
        <v>715</v>
      </c>
      <c r="AC950" s="2"/>
      <c r="AD950" t="s">
        <v>7</v>
      </c>
      <c r="AE950" t="s">
        <v>3509</v>
      </c>
    </row>
    <row r="951" spans="1:31" x14ac:dyDescent="0.3">
      <c r="A951" s="17">
        <v>90739624000118</v>
      </c>
      <c r="B951" t="s">
        <v>36</v>
      </c>
      <c r="C951">
        <v>22446</v>
      </c>
      <c r="D951" t="s">
        <v>196</v>
      </c>
      <c r="E951" t="s">
        <v>2</v>
      </c>
      <c r="F951">
        <v>269308</v>
      </c>
      <c r="G951" s="1" t="s">
        <v>3510</v>
      </c>
      <c r="H951">
        <v>24792854</v>
      </c>
      <c r="I951">
        <v>4111</v>
      </c>
      <c r="J951" t="s">
        <v>186</v>
      </c>
      <c r="K951" s="17">
        <v>7822636000168</v>
      </c>
      <c r="L951" s="17">
        <v>90739624004458</v>
      </c>
      <c r="M951" s="9">
        <v>165.31</v>
      </c>
      <c r="N951" t="s">
        <v>43</v>
      </c>
      <c r="Q951" s="2"/>
      <c r="R951" s="9"/>
      <c r="S951" t="s">
        <v>44</v>
      </c>
      <c r="T951" t="s">
        <v>45</v>
      </c>
      <c r="U951" s="2" t="s">
        <v>585</v>
      </c>
      <c r="V951" s="9" t="s">
        <v>3511</v>
      </c>
      <c r="W951">
        <v>5.3260807822636003E+43</v>
      </c>
      <c r="X951" t="s">
        <v>46</v>
      </c>
      <c r="Y951" s="2" t="s">
        <v>717</v>
      </c>
      <c r="Z951" s="2" t="s">
        <v>718</v>
      </c>
      <c r="AA951" s="9" t="s">
        <v>715</v>
      </c>
      <c r="AC951" s="2"/>
      <c r="AD951" t="s">
        <v>7</v>
      </c>
      <c r="AE951" t="s">
        <v>3512</v>
      </c>
    </row>
    <row r="952" spans="1:31" x14ac:dyDescent="0.3">
      <c r="A952" s="17">
        <v>90739624000118</v>
      </c>
      <c r="B952" t="s">
        <v>63</v>
      </c>
      <c r="D952" t="s">
        <v>500</v>
      </c>
      <c r="E952" t="s">
        <v>2</v>
      </c>
      <c r="F952">
        <v>269308</v>
      </c>
      <c r="G952" s="1" t="s">
        <v>3513</v>
      </c>
      <c r="H952">
        <v>24792812</v>
      </c>
      <c r="I952">
        <v>178734</v>
      </c>
      <c r="J952" t="s">
        <v>64</v>
      </c>
      <c r="K952" s="17">
        <v>23448964001921</v>
      </c>
      <c r="L952" s="17">
        <v>90739624001432</v>
      </c>
      <c r="M952" s="9">
        <v>168.79</v>
      </c>
      <c r="N952" t="s">
        <v>43</v>
      </c>
      <c r="Q952" s="2"/>
      <c r="R952" s="9"/>
      <c r="S952" t="s">
        <v>44</v>
      </c>
      <c r="T952" t="s">
        <v>45</v>
      </c>
      <c r="U952" s="2" t="s">
        <v>585</v>
      </c>
      <c r="V952" s="9" t="s">
        <v>3514</v>
      </c>
      <c r="W952">
        <v>4.2260823448963998E+43</v>
      </c>
      <c r="X952" t="s">
        <v>46</v>
      </c>
      <c r="Y952" s="2" t="s">
        <v>717</v>
      </c>
      <c r="Z952" s="2" t="s">
        <v>718</v>
      </c>
      <c r="AA952" s="9" t="s">
        <v>715</v>
      </c>
      <c r="AC952" s="2"/>
      <c r="AD952" t="s">
        <v>7</v>
      </c>
      <c r="AE952" t="s">
        <v>3515</v>
      </c>
    </row>
    <row r="953" spans="1:31" x14ac:dyDescent="0.3">
      <c r="A953" s="17">
        <v>90739624000118</v>
      </c>
      <c r="B953" t="s">
        <v>174</v>
      </c>
      <c r="D953" t="s">
        <v>327</v>
      </c>
      <c r="E953" t="s">
        <v>2</v>
      </c>
      <c r="F953">
        <v>269308</v>
      </c>
      <c r="G953" s="1" t="s">
        <v>3516</v>
      </c>
      <c r="H953">
        <v>24792789</v>
      </c>
      <c r="I953">
        <v>83122</v>
      </c>
      <c r="J953" t="s">
        <v>328</v>
      </c>
      <c r="K953" s="17">
        <v>33210337000182</v>
      </c>
      <c r="L953" s="17">
        <v>90739624000118</v>
      </c>
      <c r="M953" s="9">
        <v>102.84</v>
      </c>
      <c r="N953" t="s">
        <v>43</v>
      </c>
      <c r="Q953" s="2"/>
      <c r="R953" s="9"/>
      <c r="S953" t="s">
        <v>44</v>
      </c>
      <c r="T953" t="s">
        <v>45</v>
      </c>
      <c r="U953" s="2" t="s">
        <v>583</v>
      </c>
      <c r="V953" s="9" t="s">
        <v>3517</v>
      </c>
      <c r="W953">
        <v>1.7260833210337001E+43</v>
      </c>
      <c r="X953" t="s">
        <v>46</v>
      </c>
      <c r="Y953" s="2" t="s">
        <v>717</v>
      </c>
      <c r="Z953" s="2" t="s">
        <v>718</v>
      </c>
      <c r="AA953" s="9" t="s">
        <v>715</v>
      </c>
      <c r="AC953" s="2"/>
      <c r="AD953" t="s">
        <v>7</v>
      </c>
      <c r="AE953" t="s">
        <v>3518</v>
      </c>
    </row>
    <row r="954" spans="1:31" x14ac:dyDescent="0.3">
      <c r="A954" s="17">
        <v>90739624000118</v>
      </c>
      <c r="B954" t="s">
        <v>58</v>
      </c>
      <c r="D954" t="s">
        <v>318</v>
      </c>
      <c r="E954" t="s">
        <v>2</v>
      </c>
      <c r="F954">
        <v>269308</v>
      </c>
      <c r="G954" s="1" t="s">
        <v>3519</v>
      </c>
      <c r="H954">
        <v>24792604</v>
      </c>
      <c r="I954">
        <v>26749</v>
      </c>
      <c r="J954" t="s">
        <v>69</v>
      </c>
      <c r="K954" s="17">
        <v>7473735015375</v>
      </c>
      <c r="L954" s="17">
        <v>90739624002323</v>
      </c>
      <c r="M954" s="9">
        <v>298.95999999999998</v>
      </c>
      <c r="N954" t="s">
        <v>43</v>
      </c>
      <c r="Q954" s="2"/>
      <c r="R954" s="9"/>
      <c r="S954" t="s">
        <v>44</v>
      </c>
      <c r="T954" t="s">
        <v>45</v>
      </c>
      <c r="U954" s="2" t="s">
        <v>585</v>
      </c>
      <c r="V954" s="9" t="s">
        <v>3520</v>
      </c>
      <c r="W954">
        <v>4.3260807473734999E+43</v>
      </c>
      <c r="X954" t="s">
        <v>46</v>
      </c>
      <c r="Y954" s="2" t="s">
        <v>717</v>
      </c>
      <c r="Z954" s="2" t="s">
        <v>718</v>
      </c>
      <c r="AA954" s="9" t="s">
        <v>715</v>
      </c>
      <c r="AC954" s="2"/>
      <c r="AD954" t="s">
        <v>7</v>
      </c>
      <c r="AE954" t="s">
        <v>3521</v>
      </c>
    </row>
    <row r="955" spans="1:31" x14ac:dyDescent="0.3">
      <c r="A955" s="17">
        <v>90739624000118</v>
      </c>
      <c r="B955" t="s">
        <v>58</v>
      </c>
      <c r="D955" t="s">
        <v>391</v>
      </c>
      <c r="E955" t="s">
        <v>2</v>
      </c>
      <c r="F955">
        <v>269308</v>
      </c>
      <c r="G955" s="1" t="s">
        <v>3522</v>
      </c>
      <c r="H955">
        <v>24792437</v>
      </c>
      <c r="I955">
        <v>110704</v>
      </c>
      <c r="J955" t="s">
        <v>106</v>
      </c>
      <c r="K955" s="17">
        <v>7473735015103</v>
      </c>
      <c r="L955" s="17">
        <v>90739624002323</v>
      </c>
      <c r="M955" s="9">
        <v>91.39</v>
      </c>
      <c r="N955" t="s">
        <v>43</v>
      </c>
      <c r="Q955" s="2"/>
      <c r="R955" s="9"/>
      <c r="S955" t="s">
        <v>44</v>
      </c>
      <c r="T955" t="s">
        <v>45</v>
      </c>
      <c r="U955" s="2" t="s">
        <v>585</v>
      </c>
      <c r="V955" s="9" t="s">
        <v>3523</v>
      </c>
      <c r="W955">
        <v>4.3260807473734999E+43</v>
      </c>
      <c r="X955" t="s">
        <v>46</v>
      </c>
      <c r="Y955" s="2" t="s">
        <v>717</v>
      </c>
      <c r="Z955" s="2" t="s">
        <v>718</v>
      </c>
      <c r="AA955" s="9" t="s">
        <v>715</v>
      </c>
      <c r="AC955" s="2"/>
      <c r="AD955" t="s">
        <v>7</v>
      </c>
      <c r="AE955" t="s">
        <v>3524</v>
      </c>
    </row>
    <row r="956" spans="1:31" x14ac:dyDescent="0.3">
      <c r="A956" s="17">
        <v>90739624000118</v>
      </c>
      <c r="B956" t="s">
        <v>63</v>
      </c>
      <c r="D956" t="s">
        <v>561</v>
      </c>
      <c r="E956" t="s">
        <v>2</v>
      </c>
      <c r="F956">
        <v>269308</v>
      </c>
      <c r="G956" s="1" t="s">
        <v>3525</v>
      </c>
      <c r="H956">
        <v>24792326</v>
      </c>
      <c r="I956">
        <v>178728</v>
      </c>
      <c r="J956" t="s">
        <v>64</v>
      </c>
      <c r="K956" s="17">
        <v>23448964001921</v>
      </c>
      <c r="L956" s="17">
        <v>90739624001432</v>
      </c>
      <c r="M956" s="9">
        <v>271.60000000000002</v>
      </c>
      <c r="N956" t="s">
        <v>43</v>
      </c>
      <c r="Q956" s="2"/>
      <c r="R956" s="9"/>
      <c r="S956" t="s">
        <v>44</v>
      </c>
      <c r="T956" t="s">
        <v>45</v>
      </c>
      <c r="U956" s="2" t="s">
        <v>585</v>
      </c>
      <c r="V956" s="9" t="s">
        <v>3526</v>
      </c>
      <c r="W956">
        <v>4.2260823448963998E+43</v>
      </c>
      <c r="X956" t="s">
        <v>46</v>
      </c>
      <c r="Y956" s="2" t="s">
        <v>717</v>
      </c>
      <c r="Z956" s="2" t="s">
        <v>718</v>
      </c>
      <c r="AA956" s="9" t="s">
        <v>715</v>
      </c>
      <c r="AC956" s="2"/>
      <c r="AD956" t="s">
        <v>7</v>
      </c>
      <c r="AE956" t="s">
        <v>3527</v>
      </c>
    </row>
    <row r="957" spans="1:31" x14ac:dyDescent="0.3">
      <c r="A957" s="17">
        <v>90739624000118</v>
      </c>
      <c r="B957" t="s">
        <v>25</v>
      </c>
      <c r="D957" t="s">
        <v>108</v>
      </c>
      <c r="E957" t="s">
        <v>2</v>
      </c>
      <c r="F957">
        <v>269308</v>
      </c>
      <c r="G957" s="1" t="s">
        <v>3528</v>
      </c>
      <c r="H957">
        <v>24792265</v>
      </c>
      <c r="I957">
        <v>297776</v>
      </c>
      <c r="J957" t="s">
        <v>109</v>
      </c>
      <c r="K957" s="17">
        <v>5218335000102</v>
      </c>
      <c r="L957" s="17">
        <v>90739624001866</v>
      </c>
      <c r="M957" s="9">
        <v>136.08000000000001</v>
      </c>
      <c r="N957" t="s">
        <v>43</v>
      </c>
      <c r="Q957" s="2"/>
      <c r="R957" s="9"/>
      <c r="S957" t="s">
        <v>44</v>
      </c>
      <c r="T957" t="s">
        <v>45</v>
      </c>
      <c r="U957" s="2" t="s">
        <v>585</v>
      </c>
      <c r="V957" s="9" t="s">
        <v>3529</v>
      </c>
      <c r="W957">
        <v>5.1260805218334996E+43</v>
      </c>
      <c r="X957" t="s">
        <v>46</v>
      </c>
      <c r="Y957" s="2" t="s">
        <v>717</v>
      </c>
      <c r="Z957" s="2" t="s">
        <v>718</v>
      </c>
      <c r="AA957" s="9" t="s">
        <v>715</v>
      </c>
      <c r="AC957" s="2"/>
      <c r="AD957" t="s">
        <v>7</v>
      </c>
      <c r="AE957" t="s">
        <v>3530</v>
      </c>
    </row>
    <row r="958" spans="1:31" x14ac:dyDescent="0.3">
      <c r="A958" s="17">
        <v>90739624000118</v>
      </c>
      <c r="B958" t="s">
        <v>61</v>
      </c>
      <c r="D958" t="s">
        <v>128</v>
      </c>
      <c r="E958" t="s">
        <v>2</v>
      </c>
      <c r="F958">
        <v>269308</v>
      </c>
      <c r="G958" s="1" t="s">
        <v>3531</v>
      </c>
      <c r="H958">
        <v>24792239</v>
      </c>
      <c r="I958">
        <v>819890</v>
      </c>
      <c r="J958" t="s">
        <v>62</v>
      </c>
      <c r="K958" s="17">
        <v>79964177000591</v>
      </c>
      <c r="L958" s="17">
        <v>9576274000106</v>
      </c>
      <c r="M958" s="9">
        <v>1563.15</v>
      </c>
      <c r="N958" t="s">
        <v>43</v>
      </c>
      <c r="Q958" s="2"/>
      <c r="R958" s="9"/>
      <c r="S958" t="s">
        <v>44</v>
      </c>
      <c r="T958" t="s">
        <v>45</v>
      </c>
      <c r="U958" s="2" t="s">
        <v>585</v>
      </c>
      <c r="V958" s="9" t="s">
        <v>3532</v>
      </c>
      <c r="W958">
        <v>4.1260879964176998E+43</v>
      </c>
      <c r="X958" t="s">
        <v>46</v>
      </c>
      <c r="Y958" s="2" t="s">
        <v>717</v>
      </c>
      <c r="Z958" s="2" t="s">
        <v>718</v>
      </c>
      <c r="AA958" s="9" t="s">
        <v>715</v>
      </c>
      <c r="AC958" s="2"/>
      <c r="AD958" t="s">
        <v>7</v>
      </c>
      <c r="AE958" t="s">
        <v>3533</v>
      </c>
    </row>
    <row r="959" spans="1:31" x14ac:dyDescent="0.3">
      <c r="A959" s="17">
        <v>90739624000118</v>
      </c>
      <c r="B959" t="s">
        <v>0</v>
      </c>
      <c r="D959" t="s">
        <v>2028</v>
      </c>
      <c r="E959" t="s">
        <v>2</v>
      </c>
      <c r="F959">
        <v>269308</v>
      </c>
      <c r="G959" s="1" t="s">
        <v>3534</v>
      </c>
      <c r="H959">
        <v>24792101</v>
      </c>
      <c r="I959">
        <v>101101</v>
      </c>
      <c r="J959" t="s">
        <v>134</v>
      </c>
      <c r="K959" s="17">
        <v>81326258000770</v>
      </c>
      <c r="L959" s="17">
        <v>90739624001432</v>
      </c>
      <c r="M959" s="9">
        <v>235.12</v>
      </c>
      <c r="N959" t="s">
        <v>43</v>
      </c>
      <c r="Q959" s="2"/>
      <c r="R959" s="9"/>
      <c r="S959" t="s">
        <v>44</v>
      </c>
      <c r="T959" t="s">
        <v>45</v>
      </c>
      <c r="U959" s="2" t="s">
        <v>585</v>
      </c>
      <c r="V959" s="9" t="s">
        <v>3535</v>
      </c>
      <c r="W959">
        <v>4.2260881326258001E+43</v>
      </c>
      <c r="X959" t="s">
        <v>46</v>
      </c>
      <c r="Y959" s="2" t="s">
        <v>717</v>
      </c>
      <c r="Z959" s="2" t="s">
        <v>718</v>
      </c>
      <c r="AA959" s="9" t="s">
        <v>715</v>
      </c>
      <c r="AC959" s="2"/>
      <c r="AD959" t="s">
        <v>7</v>
      </c>
      <c r="AE959" t="s">
        <v>3536</v>
      </c>
    </row>
    <row r="960" spans="1:31" x14ac:dyDescent="0.3">
      <c r="A960" s="17">
        <v>90739624000118</v>
      </c>
      <c r="B960" t="s">
        <v>61</v>
      </c>
      <c r="C960">
        <v>26247</v>
      </c>
      <c r="D960" t="s">
        <v>343</v>
      </c>
      <c r="E960" t="s">
        <v>2</v>
      </c>
      <c r="F960">
        <v>269308</v>
      </c>
      <c r="G960" s="1" t="s">
        <v>3537</v>
      </c>
      <c r="H960">
        <v>24791890</v>
      </c>
      <c r="I960">
        <v>819886</v>
      </c>
      <c r="J960" t="s">
        <v>62</v>
      </c>
      <c r="K960" s="17">
        <v>79964177000591</v>
      </c>
      <c r="L960" s="17">
        <v>9576274000106</v>
      </c>
      <c r="M960" s="9">
        <v>829.63</v>
      </c>
      <c r="N960" t="s">
        <v>43</v>
      </c>
      <c r="Q960" s="2"/>
      <c r="R960" s="9"/>
      <c r="S960" t="s">
        <v>44</v>
      </c>
      <c r="T960" t="s">
        <v>45</v>
      </c>
      <c r="U960" s="2" t="s">
        <v>585</v>
      </c>
      <c r="V960" s="9" t="s">
        <v>3538</v>
      </c>
      <c r="W960">
        <v>4.1260879964176998E+43</v>
      </c>
      <c r="X960" t="s">
        <v>46</v>
      </c>
      <c r="Y960" s="2" t="s">
        <v>717</v>
      </c>
      <c r="Z960" s="2" t="s">
        <v>718</v>
      </c>
      <c r="AA960" s="9" t="s">
        <v>715</v>
      </c>
      <c r="AC960" s="2"/>
      <c r="AD960" t="s">
        <v>7</v>
      </c>
      <c r="AE960" t="s">
        <v>3539</v>
      </c>
    </row>
    <row r="961" spans="1:31" x14ac:dyDescent="0.3">
      <c r="A961" s="17">
        <v>90739624000118</v>
      </c>
      <c r="B961" t="s">
        <v>58</v>
      </c>
      <c r="C961">
        <v>22006</v>
      </c>
      <c r="D961" t="s">
        <v>162</v>
      </c>
      <c r="E961" t="s">
        <v>2</v>
      </c>
      <c r="F961">
        <v>269308</v>
      </c>
      <c r="G961" s="1" t="s">
        <v>3540</v>
      </c>
      <c r="H961">
        <v>24791735</v>
      </c>
      <c r="I961">
        <v>13632</v>
      </c>
      <c r="J961" t="s">
        <v>192</v>
      </c>
      <c r="K961" s="17">
        <v>7473735022312</v>
      </c>
      <c r="L961" s="17">
        <v>90739624002323</v>
      </c>
      <c r="M961" s="9">
        <v>250.43</v>
      </c>
      <c r="N961" t="s">
        <v>43</v>
      </c>
      <c r="Q961" s="2"/>
      <c r="R961" s="9"/>
      <c r="S961" t="s">
        <v>44</v>
      </c>
      <c r="T961" t="s">
        <v>45</v>
      </c>
      <c r="U961" s="2" t="s">
        <v>585</v>
      </c>
      <c r="V961" s="9" t="s">
        <v>3541</v>
      </c>
      <c r="W961">
        <v>4.3260807473734999E+43</v>
      </c>
      <c r="X961" t="s">
        <v>46</v>
      </c>
      <c r="Y961" s="2" t="s">
        <v>717</v>
      </c>
      <c r="Z961" s="2" t="s">
        <v>718</v>
      </c>
      <c r="AA961" s="9" t="s">
        <v>715</v>
      </c>
      <c r="AC961" s="2"/>
      <c r="AD961" t="s">
        <v>7</v>
      </c>
      <c r="AE961" t="s">
        <v>3542</v>
      </c>
    </row>
    <row r="962" spans="1:31" x14ac:dyDescent="0.3">
      <c r="A962" s="17">
        <v>90739624000118</v>
      </c>
      <c r="B962" t="s">
        <v>36</v>
      </c>
      <c r="D962" t="s">
        <v>2864</v>
      </c>
      <c r="E962" t="s">
        <v>2</v>
      </c>
      <c r="F962">
        <v>269308</v>
      </c>
      <c r="G962" s="1" t="s">
        <v>3543</v>
      </c>
      <c r="H962">
        <v>24791630</v>
      </c>
      <c r="I962">
        <v>4112</v>
      </c>
      <c r="J962" t="s">
        <v>186</v>
      </c>
      <c r="K962" s="17">
        <v>7822636000168</v>
      </c>
      <c r="L962" s="17">
        <v>90739624004458</v>
      </c>
      <c r="M962" s="9">
        <v>253.24</v>
      </c>
      <c r="N962" t="s">
        <v>43</v>
      </c>
      <c r="Q962" s="2"/>
      <c r="R962" s="9"/>
      <c r="S962" t="s">
        <v>44</v>
      </c>
      <c r="T962" t="s">
        <v>45</v>
      </c>
      <c r="U962" s="2" t="s">
        <v>585</v>
      </c>
      <c r="V962" s="9" t="s">
        <v>3545</v>
      </c>
      <c r="W962">
        <v>5.3260807822636003E+43</v>
      </c>
      <c r="X962" t="s">
        <v>46</v>
      </c>
      <c r="Y962" s="2" t="s">
        <v>717</v>
      </c>
      <c r="Z962" s="2" t="s">
        <v>718</v>
      </c>
      <c r="AA962" s="9" t="s">
        <v>715</v>
      </c>
      <c r="AC962" s="2"/>
      <c r="AD962" t="s">
        <v>7</v>
      </c>
      <c r="AE962" t="s">
        <v>3546</v>
      </c>
    </row>
    <row r="963" spans="1:31" x14ac:dyDescent="0.3">
      <c r="A963" s="17">
        <v>90739624000118</v>
      </c>
      <c r="B963" t="s">
        <v>0</v>
      </c>
      <c r="D963" t="s">
        <v>133</v>
      </c>
      <c r="E963" t="s">
        <v>2</v>
      </c>
      <c r="F963">
        <v>269308</v>
      </c>
      <c r="G963" s="1" t="s">
        <v>3547</v>
      </c>
      <c r="H963">
        <v>24791616</v>
      </c>
      <c r="I963">
        <v>35339</v>
      </c>
      <c r="J963" t="s">
        <v>200</v>
      </c>
      <c r="K963" s="17">
        <v>4308884000520</v>
      </c>
      <c r="L963" s="17">
        <v>90739624001432</v>
      </c>
      <c r="M963" s="9">
        <v>252.58</v>
      </c>
      <c r="N963" t="s">
        <v>43</v>
      </c>
      <c r="Q963" s="2"/>
      <c r="R963" s="9"/>
      <c r="S963" t="s">
        <v>44</v>
      </c>
      <c r="T963" t="s">
        <v>45</v>
      </c>
      <c r="U963" s="2" t="s">
        <v>585</v>
      </c>
      <c r="V963" s="9" t="s">
        <v>3548</v>
      </c>
      <c r="W963">
        <v>4.2260804308884001E+43</v>
      </c>
      <c r="X963" t="s">
        <v>46</v>
      </c>
      <c r="Y963" s="2" t="s">
        <v>717</v>
      </c>
      <c r="Z963" s="2" t="s">
        <v>718</v>
      </c>
      <c r="AA963" s="9" t="s">
        <v>715</v>
      </c>
      <c r="AC963" s="2"/>
      <c r="AD963" t="s">
        <v>7</v>
      </c>
      <c r="AE963" t="s">
        <v>3549</v>
      </c>
    </row>
    <row r="964" spans="1:31" x14ac:dyDescent="0.3">
      <c r="A964" s="17">
        <v>90739624000118</v>
      </c>
      <c r="B964" t="s">
        <v>61</v>
      </c>
      <c r="D964" t="s">
        <v>269</v>
      </c>
      <c r="E964" t="s">
        <v>2</v>
      </c>
      <c r="F964">
        <v>269308</v>
      </c>
      <c r="G964" s="1" t="s">
        <v>3550</v>
      </c>
      <c r="H964">
        <v>24791608</v>
      </c>
      <c r="I964">
        <v>819877</v>
      </c>
      <c r="J964" t="s">
        <v>62</v>
      </c>
      <c r="K964" s="17">
        <v>79964177000591</v>
      </c>
      <c r="L964" s="17">
        <v>9576274000106</v>
      </c>
      <c r="M964" s="9">
        <v>2548.73</v>
      </c>
      <c r="N964" t="s">
        <v>43</v>
      </c>
      <c r="Q964" s="2"/>
      <c r="R964" s="9"/>
      <c r="S964" t="s">
        <v>44</v>
      </c>
      <c r="T964" t="s">
        <v>45</v>
      </c>
      <c r="U964" s="2" t="s">
        <v>585</v>
      </c>
      <c r="V964" s="9" t="s">
        <v>3551</v>
      </c>
      <c r="W964">
        <v>4.1260879964176998E+43</v>
      </c>
      <c r="X964" t="s">
        <v>46</v>
      </c>
      <c r="Y964" s="2" t="s">
        <v>717</v>
      </c>
      <c r="Z964" s="2" t="s">
        <v>718</v>
      </c>
      <c r="AA964" s="9" t="s">
        <v>715</v>
      </c>
      <c r="AC964" s="2"/>
      <c r="AD964" t="s">
        <v>7</v>
      </c>
      <c r="AE964" t="s">
        <v>3552</v>
      </c>
    </row>
    <row r="965" spans="1:31" x14ac:dyDescent="0.3">
      <c r="A965" s="17">
        <v>90739624000118</v>
      </c>
      <c r="B965" t="s">
        <v>28</v>
      </c>
      <c r="D965" t="s">
        <v>680</v>
      </c>
      <c r="E965" t="s">
        <v>2</v>
      </c>
      <c r="F965">
        <v>269308</v>
      </c>
      <c r="G965" s="1" t="s">
        <v>3553</v>
      </c>
      <c r="H965">
        <v>24791596</v>
      </c>
      <c r="I965">
        <v>81154</v>
      </c>
      <c r="J965" t="s">
        <v>48</v>
      </c>
      <c r="K965" s="17">
        <v>1272434001002</v>
      </c>
      <c r="L965" s="17">
        <v>90739624001947</v>
      </c>
      <c r="M965" s="9">
        <v>241.13</v>
      </c>
      <c r="N965" t="s">
        <v>43</v>
      </c>
      <c r="Q965" s="2"/>
      <c r="R965" s="9"/>
      <c r="S965" t="s">
        <v>44</v>
      </c>
      <c r="T965" t="s">
        <v>45</v>
      </c>
      <c r="U965" s="2" t="s">
        <v>585</v>
      </c>
      <c r="V965" s="9" t="s">
        <v>3554</v>
      </c>
      <c r="W965">
        <v>5.2260801272433996E+43</v>
      </c>
      <c r="X965" t="s">
        <v>46</v>
      </c>
      <c r="Y965" s="2" t="s">
        <v>717</v>
      </c>
      <c r="Z965" s="2" t="s">
        <v>718</v>
      </c>
      <c r="AA965" s="9" t="s">
        <v>715</v>
      </c>
      <c r="AC965" s="2"/>
      <c r="AD965" t="s">
        <v>7</v>
      </c>
      <c r="AE965" t="s">
        <v>3555</v>
      </c>
    </row>
    <row r="966" spans="1:31" x14ac:dyDescent="0.3">
      <c r="A966" s="17">
        <v>90739624000118</v>
      </c>
      <c r="B966" t="s">
        <v>58</v>
      </c>
      <c r="D966" t="s">
        <v>153</v>
      </c>
      <c r="E966" t="s">
        <v>2</v>
      </c>
      <c r="F966">
        <v>269308</v>
      </c>
      <c r="G966" s="1" t="s">
        <v>3556</v>
      </c>
      <c r="H966">
        <v>24791472</v>
      </c>
      <c r="I966">
        <v>110698</v>
      </c>
      <c r="J966" t="s">
        <v>106</v>
      </c>
      <c r="K966" s="17">
        <v>7473735015103</v>
      </c>
      <c r="L966" s="17">
        <v>90739624002323</v>
      </c>
      <c r="M966" s="9">
        <v>188.18</v>
      </c>
      <c r="N966" t="s">
        <v>43</v>
      </c>
      <c r="Q966" s="2"/>
      <c r="R966" s="9"/>
      <c r="S966" t="s">
        <v>44</v>
      </c>
      <c r="T966" t="s">
        <v>45</v>
      </c>
      <c r="U966" s="2" t="s">
        <v>585</v>
      </c>
      <c r="V966" s="9" t="s">
        <v>3557</v>
      </c>
      <c r="W966">
        <v>4.3260807473734999E+43</v>
      </c>
      <c r="X966" t="s">
        <v>46</v>
      </c>
      <c r="Y966" s="2" t="s">
        <v>717</v>
      </c>
      <c r="Z966" s="2" t="s">
        <v>718</v>
      </c>
      <c r="AA966" s="9" t="s">
        <v>715</v>
      </c>
      <c r="AC966" s="2"/>
      <c r="AD966" t="s">
        <v>7</v>
      </c>
      <c r="AE966" t="s">
        <v>3558</v>
      </c>
    </row>
    <row r="967" spans="1:31" x14ac:dyDescent="0.3">
      <c r="A967" s="17">
        <v>90739624000118</v>
      </c>
      <c r="B967" t="s">
        <v>61</v>
      </c>
      <c r="D967" t="s">
        <v>301</v>
      </c>
      <c r="E967" t="s">
        <v>2</v>
      </c>
      <c r="F967">
        <v>269308</v>
      </c>
      <c r="G967" s="1" t="s">
        <v>3559</v>
      </c>
      <c r="H967">
        <v>24791471</v>
      </c>
      <c r="I967">
        <v>819875</v>
      </c>
      <c r="J967" t="s">
        <v>62</v>
      </c>
      <c r="K967" s="17">
        <v>79964177000591</v>
      </c>
      <c r="L967" s="17">
        <v>9576274000106</v>
      </c>
      <c r="M967" s="9">
        <v>1961.6</v>
      </c>
      <c r="N967" t="s">
        <v>43</v>
      </c>
      <c r="Q967" s="2"/>
      <c r="R967" s="9"/>
      <c r="S967" t="s">
        <v>44</v>
      </c>
      <c r="T967" t="s">
        <v>45</v>
      </c>
      <c r="U967" s="2" t="s">
        <v>585</v>
      </c>
      <c r="V967" s="9" t="s">
        <v>3560</v>
      </c>
      <c r="W967">
        <v>4.1260879964176998E+43</v>
      </c>
      <c r="X967" t="s">
        <v>46</v>
      </c>
      <c r="Y967" s="2" t="s">
        <v>717</v>
      </c>
      <c r="Z967" s="2" t="s">
        <v>718</v>
      </c>
      <c r="AA967" s="9" t="s">
        <v>715</v>
      </c>
      <c r="AC967" s="2"/>
      <c r="AD967" t="s">
        <v>7</v>
      </c>
      <c r="AE967" t="s">
        <v>3561</v>
      </c>
    </row>
    <row r="968" spans="1:31" x14ac:dyDescent="0.3">
      <c r="A968" s="17">
        <v>90739624000118</v>
      </c>
      <c r="B968" t="s">
        <v>52</v>
      </c>
      <c r="D968" t="s">
        <v>231</v>
      </c>
      <c r="E968" t="s">
        <v>2</v>
      </c>
      <c r="F968">
        <v>269308</v>
      </c>
      <c r="G968" s="1" t="s">
        <v>3562</v>
      </c>
      <c r="H968">
        <v>24791330</v>
      </c>
      <c r="I968">
        <v>40608</v>
      </c>
      <c r="J968" t="s">
        <v>545</v>
      </c>
      <c r="K968" s="17">
        <v>30429333000282</v>
      </c>
      <c r="L968" s="17">
        <v>9576274000106</v>
      </c>
      <c r="M968" s="9">
        <v>273.39999999999998</v>
      </c>
      <c r="N968" t="s">
        <v>43</v>
      </c>
      <c r="Q968" s="2"/>
      <c r="R968" s="9"/>
      <c r="S968" t="s">
        <v>44</v>
      </c>
      <c r="T968" t="s">
        <v>45</v>
      </c>
      <c r="U968" s="2" t="s">
        <v>585</v>
      </c>
      <c r="V968" s="9" t="s">
        <v>3563</v>
      </c>
      <c r="W968">
        <v>4.1260830429333002E+43</v>
      </c>
      <c r="X968" t="s">
        <v>46</v>
      </c>
      <c r="Y968" s="2" t="s">
        <v>717</v>
      </c>
      <c r="Z968" s="2" t="s">
        <v>718</v>
      </c>
      <c r="AA968" s="9" t="s">
        <v>715</v>
      </c>
      <c r="AC968" s="2"/>
      <c r="AD968" t="s">
        <v>7</v>
      </c>
      <c r="AE968" t="s">
        <v>3564</v>
      </c>
    </row>
    <row r="969" spans="1:31" x14ac:dyDescent="0.3">
      <c r="A969" s="17">
        <v>90739624000118</v>
      </c>
      <c r="B969" t="s">
        <v>18</v>
      </c>
      <c r="C969">
        <v>26123</v>
      </c>
      <c r="D969" t="s">
        <v>39</v>
      </c>
      <c r="E969" t="s">
        <v>2</v>
      </c>
      <c r="F969">
        <v>269308</v>
      </c>
      <c r="G969" s="1" t="s">
        <v>3565</v>
      </c>
      <c r="H969">
        <v>24790797</v>
      </c>
      <c r="I969">
        <v>372987</v>
      </c>
      <c r="J969" t="s">
        <v>202</v>
      </c>
      <c r="K969" s="17">
        <v>5065447000162</v>
      </c>
      <c r="L969" s="17">
        <v>90739624000380</v>
      </c>
      <c r="M969" s="9">
        <v>210.01</v>
      </c>
      <c r="N969" t="s">
        <v>43</v>
      </c>
      <c r="Q969" s="2"/>
      <c r="R969" s="9"/>
      <c r="S969" t="s">
        <v>44</v>
      </c>
      <c r="T969" t="s">
        <v>45</v>
      </c>
      <c r="U969" s="2" t="s">
        <v>585</v>
      </c>
      <c r="V969" s="9" t="s">
        <v>3566</v>
      </c>
      <c r="W969">
        <v>3.5260805065447002E+43</v>
      </c>
      <c r="X969" t="s">
        <v>46</v>
      </c>
      <c r="Y969" s="2" t="s">
        <v>717</v>
      </c>
      <c r="Z969" s="2" t="s">
        <v>718</v>
      </c>
      <c r="AA969" s="9" t="s">
        <v>715</v>
      </c>
      <c r="AC969" s="2"/>
      <c r="AD969" t="s">
        <v>7</v>
      </c>
      <c r="AE969" t="s">
        <v>3567</v>
      </c>
    </row>
    <row r="970" spans="1:31" x14ac:dyDescent="0.3">
      <c r="A970" s="17">
        <v>90739624000118</v>
      </c>
      <c r="B970" t="s">
        <v>28</v>
      </c>
      <c r="D970" t="s">
        <v>205</v>
      </c>
      <c r="E970" t="s">
        <v>2</v>
      </c>
      <c r="F970">
        <v>269308</v>
      </c>
      <c r="G970" s="1" t="s">
        <v>3568</v>
      </c>
      <c r="H970">
        <v>24787974</v>
      </c>
      <c r="I970">
        <v>81153</v>
      </c>
      <c r="J970" t="s">
        <v>48</v>
      </c>
      <c r="K970" s="17">
        <v>1272434001002</v>
      </c>
      <c r="L970" s="17">
        <v>90739624001947</v>
      </c>
      <c r="M970" s="9">
        <v>536.57000000000005</v>
      </c>
      <c r="N970" t="s">
        <v>43</v>
      </c>
      <c r="Q970" s="2"/>
      <c r="R970" s="9"/>
      <c r="S970" t="s">
        <v>44</v>
      </c>
      <c r="T970" t="s">
        <v>45</v>
      </c>
      <c r="U970" s="2" t="s">
        <v>585</v>
      </c>
      <c r="V970" s="9" t="s">
        <v>3569</v>
      </c>
      <c r="W970">
        <v>5.2260801272433996E+43</v>
      </c>
      <c r="X970" t="s">
        <v>46</v>
      </c>
      <c r="Y970" s="2" t="s">
        <v>717</v>
      </c>
      <c r="Z970" s="2" t="s">
        <v>718</v>
      </c>
      <c r="AA970" s="9" t="s">
        <v>715</v>
      </c>
      <c r="AC970" s="2"/>
      <c r="AD970" t="s">
        <v>7</v>
      </c>
      <c r="AE970" t="s">
        <v>3570</v>
      </c>
    </row>
    <row r="971" spans="1:31" x14ac:dyDescent="0.3">
      <c r="A971" s="17">
        <v>90739624000118</v>
      </c>
      <c r="B971" t="s">
        <v>100</v>
      </c>
      <c r="D971" t="s">
        <v>135</v>
      </c>
      <c r="E971" t="s">
        <v>2</v>
      </c>
      <c r="F971">
        <v>269308</v>
      </c>
      <c r="G971" s="1" t="s">
        <v>3571</v>
      </c>
      <c r="H971">
        <v>24787514</v>
      </c>
      <c r="I971">
        <v>103396</v>
      </c>
      <c r="J971" t="s">
        <v>190</v>
      </c>
      <c r="K971" s="17">
        <v>5773237000129</v>
      </c>
      <c r="L971" s="17">
        <v>90739624001866</v>
      </c>
      <c r="M971" s="9">
        <v>89.52</v>
      </c>
      <c r="N971" t="s">
        <v>43</v>
      </c>
      <c r="Q971" s="2"/>
      <c r="R971" s="9"/>
      <c r="S971" t="s">
        <v>44</v>
      </c>
      <c r="T971" t="s">
        <v>45</v>
      </c>
      <c r="U971" s="2" t="s">
        <v>585</v>
      </c>
      <c r="V971" s="9" t="s">
        <v>3572</v>
      </c>
      <c r="W971">
        <v>5.1260805773237004E+43</v>
      </c>
      <c r="X971" t="s">
        <v>46</v>
      </c>
      <c r="Y971" s="2" t="s">
        <v>717</v>
      </c>
      <c r="Z971" s="2" t="s">
        <v>718</v>
      </c>
      <c r="AA971" s="9" t="s">
        <v>715</v>
      </c>
      <c r="AC971" s="2"/>
      <c r="AD971" t="s">
        <v>7</v>
      </c>
      <c r="AE971" t="s">
        <v>3573</v>
      </c>
    </row>
    <row r="972" spans="1:31" x14ac:dyDescent="0.3">
      <c r="A972" s="17">
        <v>90739624000118</v>
      </c>
      <c r="B972" t="s">
        <v>11</v>
      </c>
      <c r="D972" t="s">
        <v>138</v>
      </c>
      <c r="E972" t="s">
        <v>2</v>
      </c>
      <c r="F972">
        <v>269308</v>
      </c>
      <c r="G972" s="1" t="s">
        <v>3574</v>
      </c>
      <c r="H972">
        <v>24785890</v>
      </c>
      <c r="I972">
        <v>311075</v>
      </c>
      <c r="J972" t="s">
        <v>204</v>
      </c>
      <c r="K972" s="17">
        <v>24187119000183</v>
      </c>
      <c r="L972" s="17">
        <v>90739624000118</v>
      </c>
      <c r="M972" s="9">
        <v>328.95</v>
      </c>
      <c r="N972" t="s">
        <v>43</v>
      </c>
      <c r="Q972" s="2"/>
      <c r="R972" s="9"/>
      <c r="S972" t="s">
        <v>44</v>
      </c>
      <c r="T972" t="s">
        <v>45</v>
      </c>
      <c r="U972" s="2" t="s">
        <v>585</v>
      </c>
      <c r="V972" s="9" t="s">
        <v>3575</v>
      </c>
      <c r="W972">
        <v>3.1260824187118999E+43</v>
      </c>
      <c r="X972" t="s">
        <v>46</v>
      </c>
      <c r="Y972" s="2" t="s">
        <v>717</v>
      </c>
      <c r="Z972" s="2" t="s">
        <v>718</v>
      </c>
      <c r="AA972" s="9" t="s">
        <v>715</v>
      </c>
      <c r="AC972" s="2"/>
      <c r="AD972" t="s">
        <v>7</v>
      </c>
      <c r="AE972" t="s">
        <v>3576</v>
      </c>
    </row>
    <row r="973" spans="1:31" x14ac:dyDescent="0.3">
      <c r="A973" s="17">
        <v>90739624000118</v>
      </c>
      <c r="B973" t="s">
        <v>13</v>
      </c>
      <c r="D973" t="s">
        <v>207</v>
      </c>
      <c r="E973" t="s">
        <v>2</v>
      </c>
      <c r="F973">
        <v>269308</v>
      </c>
      <c r="G973" s="1" t="s">
        <v>3577</v>
      </c>
      <c r="H973">
        <v>24784870</v>
      </c>
      <c r="I973">
        <v>48813</v>
      </c>
      <c r="J973" t="s">
        <v>348</v>
      </c>
      <c r="K973" s="17">
        <v>26416003000102</v>
      </c>
      <c r="L973" s="17">
        <v>90739624001190</v>
      </c>
      <c r="M973" s="9">
        <v>272.22000000000003</v>
      </c>
      <c r="N973" t="s">
        <v>43</v>
      </c>
      <c r="Q973" s="2"/>
      <c r="R973" s="9"/>
      <c r="S973" t="s">
        <v>44</v>
      </c>
      <c r="T973" t="s">
        <v>45</v>
      </c>
      <c r="U973" s="2" t="s">
        <v>792</v>
      </c>
      <c r="V973" s="9" t="s">
        <v>3578</v>
      </c>
      <c r="W973">
        <v>5.0260826416002996E+43</v>
      </c>
      <c r="X973" t="s">
        <v>46</v>
      </c>
      <c r="Y973" s="2" t="s">
        <v>717</v>
      </c>
      <c r="Z973" s="2" t="s">
        <v>718</v>
      </c>
      <c r="AA973" s="9" t="s">
        <v>715</v>
      </c>
      <c r="AC973" s="2"/>
      <c r="AD973" t="s">
        <v>7</v>
      </c>
      <c r="AE973" t="s">
        <v>3579</v>
      </c>
    </row>
    <row r="974" spans="1:31" x14ac:dyDescent="0.3">
      <c r="A974" s="17">
        <v>90739624000118</v>
      </c>
      <c r="B974" t="s">
        <v>25</v>
      </c>
      <c r="C974">
        <v>24558</v>
      </c>
      <c r="D974" t="s">
        <v>292</v>
      </c>
      <c r="E974" t="s">
        <v>2</v>
      </c>
      <c r="F974">
        <v>269308</v>
      </c>
      <c r="G974" s="1" t="s">
        <v>3580</v>
      </c>
      <c r="H974">
        <v>24784851</v>
      </c>
      <c r="I974">
        <v>144293</v>
      </c>
      <c r="J974" t="s">
        <v>206</v>
      </c>
      <c r="K974" s="17">
        <v>50128357000128</v>
      </c>
      <c r="L974" s="17">
        <v>90739624003486</v>
      </c>
      <c r="M974" s="9">
        <v>376.75</v>
      </c>
      <c r="N974" t="s">
        <v>43</v>
      </c>
      <c r="Q974" s="2"/>
      <c r="R974" s="9"/>
      <c r="S974" t="s">
        <v>44</v>
      </c>
      <c r="T974" t="s">
        <v>45</v>
      </c>
      <c r="U974" s="2" t="s">
        <v>585</v>
      </c>
      <c r="V974" s="9" t="s">
        <v>3581</v>
      </c>
      <c r="W974">
        <v>5.1260850128356998E+43</v>
      </c>
      <c r="X974" t="s">
        <v>46</v>
      </c>
      <c r="Y974" s="2" t="s">
        <v>717</v>
      </c>
      <c r="Z974" s="2" t="s">
        <v>718</v>
      </c>
      <c r="AA974" s="9" t="s">
        <v>715</v>
      </c>
      <c r="AC974" s="2"/>
      <c r="AD974" t="s">
        <v>7</v>
      </c>
      <c r="AE974" t="s">
        <v>3582</v>
      </c>
    </row>
    <row r="975" spans="1:31" x14ac:dyDescent="0.3">
      <c r="A975" s="17">
        <v>90739624000118</v>
      </c>
      <c r="B975" t="s">
        <v>11</v>
      </c>
      <c r="D975" t="s">
        <v>203</v>
      </c>
      <c r="E975" t="s">
        <v>2</v>
      </c>
      <c r="F975">
        <v>269308</v>
      </c>
      <c r="G975" s="1" t="s">
        <v>3583</v>
      </c>
      <c r="H975">
        <v>24777884</v>
      </c>
      <c r="I975">
        <v>105817</v>
      </c>
      <c r="J975" t="s">
        <v>3584</v>
      </c>
      <c r="K975" s="17">
        <v>42874317000105</v>
      </c>
      <c r="L975" s="17">
        <v>90739624001947</v>
      </c>
      <c r="M975" s="9">
        <v>179.71</v>
      </c>
      <c r="N975" t="s">
        <v>43</v>
      </c>
      <c r="Q975" s="2"/>
      <c r="R975" s="9"/>
      <c r="S975" t="s">
        <v>44</v>
      </c>
      <c r="T975" t="s">
        <v>45</v>
      </c>
      <c r="U975" s="2" t="s">
        <v>584</v>
      </c>
      <c r="V975" s="9" t="s">
        <v>3585</v>
      </c>
      <c r="W975">
        <v>5.2260842874317E+43</v>
      </c>
      <c r="X975" t="s">
        <v>46</v>
      </c>
      <c r="Y975" s="2" t="s">
        <v>717</v>
      </c>
      <c r="Z975" s="2" t="s">
        <v>718</v>
      </c>
      <c r="AA975" s="9" t="s">
        <v>715</v>
      </c>
      <c r="AC975" s="2"/>
      <c r="AD975" t="s">
        <v>7</v>
      </c>
      <c r="AE975" t="s">
        <v>3586</v>
      </c>
    </row>
    <row r="976" spans="1:31" x14ac:dyDescent="0.3">
      <c r="A976" s="17">
        <v>90739624000118</v>
      </c>
      <c r="B976" t="s">
        <v>11</v>
      </c>
      <c r="D976" t="s">
        <v>203</v>
      </c>
      <c r="E976" t="s">
        <v>17</v>
      </c>
      <c r="F976">
        <v>269308</v>
      </c>
      <c r="G976" s="1" t="s">
        <v>3587</v>
      </c>
      <c r="H976">
        <v>24777559</v>
      </c>
      <c r="I976">
        <v>105814</v>
      </c>
      <c r="J976" t="s">
        <v>3584</v>
      </c>
      <c r="K976" s="17">
        <v>42874317000105</v>
      </c>
      <c r="L976" s="17">
        <v>90739624001947</v>
      </c>
      <c r="M976" s="9">
        <v>120</v>
      </c>
      <c r="N976" t="s">
        <v>43</v>
      </c>
      <c r="Q976" s="2"/>
      <c r="R976" s="9"/>
      <c r="S976" t="s">
        <v>44</v>
      </c>
      <c r="T976" t="s">
        <v>45</v>
      </c>
      <c r="U976" s="2" t="s">
        <v>584</v>
      </c>
      <c r="V976" s="9" t="s">
        <v>3588</v>
      </c>
      <c r="W976">
        <v>5.2260842874317E+43</v>
      </c>
      <c r="X976" t="s">
        <v>46</v>
      </c>
      <c r="Y976" s="2" t="s">
        <v>717</v>
      </c>
      <c r="Z976" s="2" t="s">
        <v>718</v>
      </c>
      <c r="AA976" s="9" t="s">
        <v>715</v>
      </c>
      <c r="AC976" s="2"/>
      <c r="AD976" t="s">
        <v>7</v>
      </c>
      <c r="AE976" t="s">
        <v>3589</v>
      </c>
    </row>
    <row r="977" spans="1:31" x14ac:dyDescent="0.3">
      <c r="A977" s="17">
        <v>90739624000118</v>
      </c>
      <c r="B977" t="s">
        <v>174</v>
      </c>
      <c r="D977" t="s">
        <v>543</v>
      </c>
      <c r="E977" t="s">
        <v>2</v>
      </c>
      <c r="F977">
        <v>269308</v>
      </c>
      <c r="G977" s="1" t="s">
        <v>3590</v>
      </c>
      <c r="H977">
        <v>24777548</v>
      </c>
      <c r="I977">
        <v>38300</v>
      </c>
      <c r="J977" t="s">
        <v>209</v>
      </c>
      <c r="K977" s="17">
        <v>33360405000190</v>
      </c>
      <c r="L977" s="17">
        <v>90739624001947</v>
      </c>
      <c r="M977" s="9">
        <v>214.08</v>
      </c>
      <c r="N977" t="s">
        <v>43</v>
      </c>
      <c r="Q977" s="2"/>
      <c r="R977" s="9"/>
      <c r="S977" t="s">
        <v>44</v>
      </c>
      <c r="T977" t="s">
        <v>45</v>
      </c>
      <c r="U977" s="2" t="s">
        <v>584</v>
      </c>
      <c r="V977" s="9" t="s">
        <v>3591</v>
      </c>
      <c r="W977">
        <v>5.2260833360404998E+43</v>
      </c>
      <c r="X977" t="s">
        <v>46</v>
      </c>
      <c r="Y977" s="2" t="s">
        <v>717</v>
      </c>
      <c r="Z977" s="2" t="s">
        <v>718</v>
      </c>
      <c r="AA977" s="9" t="s">
        <v>715</v>
      </c>
      <c r="AC977" s="2"/>
      <c r="AD977" t="s">
        <v>7</v>
      </c>
      <c r="AE977" t="s">
        <v>3592</v>
      </c>
    </row>
    <row r="978" spans="1:31" x14ac:dyDescent="0.3">
      <c r="A978" s="17">
        <v>90739624000118</v>
      </c>
      <c r="B978" t="s">
        <v>28</v>
      </c>
      <c r="D978" t="s">
        <v>208</v>
      </c>
      <c r="E978" t="s">
        <v>2</v>
      </c>
      <c r="F978">
        <v>269308</v>
      </c>
      <c r="G978" s="1" t="s">
        <v>3593</v>
      </c>
      <c r="H978">
        <v>24777541</v>
      </c>
      <c r="I978">
        <v>38299</v>
      </c>
      <c r="J978" t="s">
        <v>209</v>
      </c>
      <c r="K978" s="17">
        <v>33360405000190</v>
      </c>
      <c r="L978" s="17">
        <v>90739624001947</v>
      </c>
      <c r="M978" s="9">
        <v>240.84</v>
      </c>
      <c r="N978" t="s">
        <v>43</v>
      </c>
      <c r="Q978" s="2"/>
      <c r="R978" s="9"/>
      <c r="S978" t="s">
        <v>44</v>
      </c>
      <c r="T978" t="s">
        <v>45</v>
      </c>
      <c r="U978" s="2" t="s">
        <v>584</v>
      </c>
      <c r="V978" s="9" t="s">
        <v>3594</v>
      </c>
      <c r="W978">
        <v>5.2260833360404998E+43</v>
      </c>
      <c r="X978" t="s">
        <v>46</v>
      </c>
      <c r="Y978" s="2" t="s">
        <v>717</v>
      </c>
      <c r="Z978" s="2" t="s">
        <v>718</v>
      </c>
      <c r="AA978" s="9" t="s">
        <v>715</v>
      </c>
      <c r="AC978" s="2"/>
      <c r="AD978" t="s">
        <v>7</v>
      </c>
      <c r="AE978" t="s">
        <v>3595</v>
      </c>
    </row>
    <row r="979" spans="1:31" x14ac:dyDescent="0.3">
      <c r="A979" s="17">
        <v>90739624000118</v>
      </c>
      <c r="B979" t="s">
        <v>11</v>
      </c>
      <c r="C979">
        <v>26124</v>
      </c>
      <c r="D979" t="s">
        <v>453</v>
      </c>
      <c r="E979" t="s">
        <v>2</v>
      </c>
      <c r="F979">
        <v>269308</v>
      </c>
      <c r="G979" s="1" t="s">
        <v>3596</v>
      </c>
      <c r="H979">
        <v>24777203</v>
      </c>
      <c r="I979">
        <v>5271</v>
      </c>
      <c r="J979" t="s">
        <v>310</v>
      </c>
      <c r="K979" s="17">
        <v>42733072000198</v>
      </c>
      <c r="L979" s="17">
        <v>90739624000380</v>
      </c>
      <c r="M979" s="9">
        <v>271.62</v>
      </c>
      <c r="N979" t="s">
        <v>43</v>
      </c>
      <c r="Q979" s="2"/>
      <c r="R979" s="9"/>
      <c r="S979" t="s">
        <v>44</v>
      </c>
      <c r="T979" t="s">
        <v>45</v>
      </c>
      <c r="U979" s="2" t="s">
        <v>585</v>
      </c>
      <c r="V979" s="9" t="s">
        <v>3597</v>
      </c>
      <c r="W979">
        <v>3.5260842733072E+43</v>
      </c>
      <c r="X979" t="s">
        <v>46</v>
      </c>
      <c r="Y979" s="2" t="s">
        <v>717</v>
      </c>
      <c r="Z979" s="2" t="s">
        <v>718</v>
      </c>
      <c r="AA979" s="9" t="s">
        <v>715</v>
      </c>
      <c r="AC979" s="2"/>
      <c r="AD979" t="s">
        <v>7</v>
      </c>
      <c r="AE979" t="s">
        <v>3598</v>
      </c>
    </row>
    <row r="980" spans="1:31" x14ac:dyDescent="0.3">
      <c r="A980" s="17">
        <v>90739624000118</v>
      </c>
      <c r="B980" t="s">
        <v>58</v>
      </c>
      <c r="D980" t="s">
        <v>1419</v>
      </c>
      <c r="E980" t="s">
        <v>2</v>
      </c>
      <c r="F980">
        <v>269308</v>
      </c>
      <c r="G980" s="1" t="s">
        <v>3599</v>
      </c>
      <c r="H980">
        <v>24777077</v>
      </c>
      <c r="I980">
        <v>73851</v>
      </c>
      <c r="J980" t="s">
        <v>60</v>
      </c>
      <c r="K980" s="17">
        <v>7473735018200</v>
      </c>
      <c r="L980" s="17">
        <v>90739624002323</v>
      </c>
      <c r="M980" s="9">
        <v>289.8</v>
      </c>
      <c r="N980" t="s">
        <v>43</v>
      </c>
      <c r="Q980" s="2"/>
      <c r="R980" s="9"/>
      <c r="S980" t="s">
        <v>44</v>
      </c>
      <c r="T980" t="s">
        <v>45</v>
      </c>
      <c r="U980" s="2" t="s">
        <v>584</v>
      </c>
      <c r="V980" s="9" t="s">
        <v>3600</v>
      </c>
      <c r="W980">
        <v>4.3260807473734999E+43</v>
      </c>
      <c r="X980" t="s">
        <v>46</v>
      </c>
      <c r="Y980" s="2" t="s">
        <v>717</v>
      </c>
      <c r="Z980" s="2" t="s">
        <v>718</v>
      </c>
      <c r="AA980" s="9" t="s">
        <v>715</v>
      </c>
      <c r="AC980" s="2"/>
      <c r="AD980" t="s">
        <v>7</v>
      </c>
      <c r="AE980" t="s">
        <v>3601</v>
      </c>
    </row>
    <row r="981" spans="1:31" x14ac:dyDescent="0.3">
      <c r="A981" s="17">
        <v>90739624000118</v>
      </c>
      <c r="B981" t="s">
        <v>11</v>
      </c>
      <c r="D981" t="s">
        <v>138</v>
      </c>
      <c r="E981" t="s">
        <v>2</v>
      </c>
      <c r="F981">
        <v>269308</v>
      </c>
      <c r="G981" s="1" t="s">
        <v>3602</v>
      </c>
      <c r="H981">
        <v>24776946</v>
      </c>
      <c r="I981">
        <v>1049492</v>
      </c>
      <c r="J981" t="s">
        <v>210</v>
      </c>
      <c r="K981" s="17">
        <v>55973291000196</v>
      </c>
      <c r="L981" s="17">
        <v>90739624000380</v>
      </c>
      <c r="M981" s="9">
        <v>306.67</v>
      </c>
      <c r="N981" t="s">
        <v>43</v>
      </c>
      <c r="Q981" s="2"/>
      <c r="R981" s="9"/>
      <c r="S981" t="s">
        <v>44</v>
      </c>
      <c r="T981" t="s">
        <v>45</v>
      </c>
      <c r="U981" s="2" t="s">
        <v>584</v>
      </c>
      <c r="V981" s="9" t="s">
        <v>3603</v>
      </c>
      <c r="W981">
        <v>3.5260855973290999E+43</v>
      </c>
      <c r="X981" t="s">
        <v>46</v>
      </c>
      <c r="Y981" s="2" t="s">
        <v>717</v>
      </c>
      <c r="Z981" s="2" t="s">
        <v>718</v>
      </c>
      <c r="AA981" s="9" t="s">
        <v>715</v>
      </c>
      <c r="AC981" s="2"/>
      <c r="AD981" t="s">
        <v>7</v>
      </c>
      <c r="AE981" t="s">
        <v>3604</v>
      </c>
    </row>
    <row r="982" spans="1:31" x14ac:dyDescent="0.3">
      <c r="A982" s="17">
        <v>90739624000118</v>
      </c>
      <c r="B982" t="s">
        <v>58</v>
      </c>
      <c r="D982" t="s">
        <v>59</v>
      </c>
      <c r="E982" t="s">
        <v>2</v>
      </c>
      <c r="F982">
        <v>269308</v>
      </c>
      <c r="G982" s="1" t="s">
        <v>3605</v>
      </c>
      <c r="H982">
        <v>24775785</v>
      </c>
      <c r="I982">
        <v>214902</v>
      </c>
      <c r="J982" t="s">
        <v>681</v>
      </c>
      <c r="K982" s="17">
        <v>7473735006465</v>
      </c>
      <c r="L982" s="17">
        <v>90739624002323</v>
      </c>
      <c r="M982" s="9">
        <v>685.85</v>
      </c>
      <c r="N982" t="s">
        <v>43</v>
      </c>
      <c r="Q982" s="2"/>
      <c r="R982" s="9"/>
      <c r="S982" t="s">
        <v>44</v>
      </c>
      <c r="T982" t="s">
        <v>45</v>
      </c>
      <c r="U982" s="2" t="s">
        <v>584</v>
      </c>
      <c r="V982" s="9" t="s">
        <v>3606</v>
      </c>
      <c r="W982">
        <v>4.3260807473734999E+43</v>
      </c>
      <c r="X982" t="s">
        <v>46</v>
      </c>
      <c r="Y982" s="2" t="s">
        <v>717</v>
      </c>
      <c r="Z982" s="2" t="s">
        <v>718</v>
      </c>
      <c r="AA982" s="9" t="s">
        <v>715</v>
      </c>
      <c r="AC982" s="2"/>
      <c r="AD982" t="s">
        <v>7</v>
      </c>
      <c r="AE982" t="s">
        <v>3607</v>
      </c>
    </row>
    <row r="983" spans="1:31" x14ac:dyDescent="0.3">
      <c r="A983" s="17">
        <v>90739624000118</v>
      </c>
      <c r="B983" t="s">
        <v>174</v>
      </c>
      <c r="D983" t="s">
        <v>175</v>
      </c>
      <c r="E983" t="s">
        <v>2</v>
      </c>
      <c r="F983">
        <v>269308</v>
      </c>
      <c r="G983" s="1" t="s">
        <v>3608</v>
      </c>
      <c r="H983">
        <v>24774544</v>
      </c>
      <c r="I983">
        <v>99000</v>
      </c>
      <c r="J983" t="s">
        <v>176</v>
      </c>
      <c r="K983" s="17">
        <v>4219621000111</v>
      </c>
      <c r="L983" s="17">
        <v>90739624000118</v>
      </c>
      <c r="M983" s="9">
        <v>282.7</v>
      </c>
      <c r="N983" t="s">
        <v>43</v>
      </c>
      <c r="Q983" s="2"/>
      <c r="R983" s="9"/>
      <c r="S983" t="s">
        <v>44</v>
      </c>
      <c r="T983" t="s">
        <v>45</v>
      </c>
      <c r="U983" s="2" t="s">
        <v>585</v>
      </c>
      <c r="V983" s="9" t="s">
        <v>2057</v>
      </c>
      <c r="W983">
        <v>1.7260804219621001E+43</v>
      </c>
      <c r="X983" t="s">
        <v>46</v>
      </c>
      <c r="Y983" s="2" t="s">
        <v>717</v>
      </c>
      <c r="Z983" s="2" t="s">
        <v>718</v>
      </c>
      <c r="AA983" s="9" t="s">
        <v>715</v>
      </c>
      <c r="AC983" s="2"/>
      <c r="AD983" t="s">
        <v>7</v>
      </c>
      <c r="AE983" t="s">
        <v>3609</v>
      </c>
    </row>
    <row r="984" spans="1:31" x14ac:dyDescent="0.3">
      <c r="A984" s="17">
        <v>90739624000118</v>
      </c>
      <c r="B984" t="s">
        <v>58</v>
      </c>
      <c r="D984" t="s">
        <v>481</v>
      </c>
      <c r="E984" t="s">
        <v>2</v>
      </c>
      <c r="F984">
        <v>269308</v>
      </c>
      <c r="G984" s="1" t="s">
        <v>3610</v>
      </c>
      <c r="H984">
        <v>24774492</v>
      </c>
      <c r="I984">
        <v>57530</v>
      </c>
      <c r="J984" t="s">
        <v>480</v>
      </c>
      <c r="K984" s="17">
        <v>7473735019877</v>
      </c>
      <c r="L984" s="17">
        <v>90739624002323</v>
      </c>
      <c r="M984" s="9">
        <v>194.74</v>
      </c>
      <c r="N984" t="s">
        <v>43</v>
      </c>
      <c r="Q984" s="2"/>
      <c r="R984" s="9"/>
      <c r="S984" t="s">
        <v>44</v>
      </c>
      <c r="T984" t="s">
        <v>45</v>
      </c>
      <c r="U984" s="2" t="s">
        <v>584</v>
      </c>
      <c r="V984" s="9" t="s">
        <v>3611</v>
      </c>
      <c r="W984">
        <v>4.3260807473734999E+43</v>
      </c>
      <c r="X984" t="s">
        <v>46</v>
      </c>
      <c r="Y984" s="2" t="s">
        <v>717</v>
      </c>
      <c r="Z984" s="2" t="s">
        <v>718</v>
      </c>
      <c r="AA984" s="9" t="s">
        <v>715</v>
      </c>
      <c r="AC984" s="2"/>
      <c r="AD984" t="s">
        <v>7</v>
      </c>
      <c r="AE984" t="s">
        <v>3612</v>
      </c>
    </row>
    <row r="985" spans="1:31" x14ac:dyDescent="0.3">
      <c r="A985" s="17">
        <v>90739624000118</v>
      </c>
      <c r="B985" t="s">
        <v>58</v>
      </c>
      <c r="D985" t="s">
        <v>387</v>
      </c>
      <c r="E985" t="s">
        <v>2</v>
      </c>
      <c r="F985">
        <v>269308</v>
      </c>
      <c r="G985" s="1" t="s">
        <v>3613</v>
      </c>
      <c r="H985">
        <v>24774002</v>
      </c>
      <c r="I985">
        <v>57529</v>
      </c>
      <c r="J985" t="s">
        <v>480</v>
      </c>
      <c r="K985" s="17">
        <v>7473735019877</v>
      </c>
      <c r="L985" s="17">
        <v>90739624002323</v>
      </c>
      <c r="M985" s="9">
        <v>221.83</v>
      </c>
      <c r="N985" t="s">
        <v>43</v>
      </c>
      <c r="Q985" s="2"/>
      <c r="R985" s="9"/>
      <c r="S985" t="s">
        <v>44</v>
      </c>
      <c r="T985" t="s">
        <v>45</v>
      </c>
      <c r="U985" s="2" t="s">
        <v>584</v>
      </c>
      <c r="V985" s="9" t="s">
        <v>3614</v>
      </c>
      <c r="W985">
        <v>4.3260807473734999E+43</v>
      </c>
      <c r="X985" t="s">
        <v>46</v>
      </c>
      <c r="Y985" s="2" t="s">
        <v>717</v>
      </c>
      <c r="Z985" s="2" t="s">
        <v>718</v>
      </c>
      <c r="AA985" s="9" t="s">
        <v>715</v>
      </c>
      <c r="AC985" s="2"/>
      <c r="AD985" t="s">
        <v>7</v>
      </c>
      <c r="AE985" t="s">
        <v>3615</v>
      </c>
    </row>
    <row r="986" spans="1:31" x14ac:dyDescent="0.3">
      <c r="A986" s="17">
        <v>90739624000118</v>
      </c>
      <c r="B986" t="s">
        <v>18</v>
      </c>
      <c r="D986" t="s">
        <v>19</v>
      </c>
      <c r="E986" t="s">
        <v>2</v>
      </c>
      <c r="F986">
        <v>269308</v>
      </c>
      <c r="G986" s="1" t="s">
        <v>3616</v>
      </c>
      <c r="H986">
        <v>24773602</v>
      </c>
      <c r="I986">
        <v>372915</v>
      </c>
      <c r="J986" t="s">
        <v>202</v>
      </c>
      <c r="K986" s="17">
        <v>5065447000162</v>
      </c>
      <c r="L986" s="17">
        <v>90739624000380</v>
      </c>
      <c r="M986" s="9">
        <v>224.87</v>
      </c>
      <c r="N986" t="s">
        <v>43</v>
      </c>
      <c r="Q986" s="2"/>
      <c r="R986" s="9"/>
      <c r="S986" t="s">
        <v>44</v>
      </c>
      <c r="T986" t="s">
        <v>45</v>
      </c>
      <c r="U986" s="2" t="s">
        <v>584</v>
      </c>
      <c r="V986" s="9" t="s">
        <v>3617</v>
      </c>
      <c r="W986">
        <v>3.5260805065447002E+43</v>
      </c>
      <c r="X986" t="s">
        <v>46</v>
      </c>
      <c r="Y986" s="2" t="s">
        <v>717</v>
      </c>
      <c r="Z986" s="2" t="s">
        <v>718</v>
      </c>
      <c r="AA986" s="9" t="s">
        <v>715</v>
      </c>
      <c r="AC986" s="2"/>
      <c r="AD986" t="s">
        <v>7</v>
      </c>
      <c r="AE986" t="s">
        <v>3618</v>
      </c>
    </row>
    <row r="987" spans="1:31" x14ac:dyDescent="0.3">
      <c r="A987" s="17">
        <v>90739624000118</v>
      </c>
      <c r="B987" t="s">
        <v>100</v>
      </c>
      <c r="D987" t="s">
        <v>135</v>
      </c>
      <c r="E987" t="s">
        <v>2</v>
      </c>
      <c r="F987">
        <v>269308</v>
      </c>
      <c r="G987" s="1" t="s">
        <v>3619</v>
      </c>
      <c r="H987">
        <v>24772078</v>
      </c>
      <c r="I987">
        <v>154721</v>
      </c>
      <c r="J987" t="s">
        <v>241</v>
      </c>
      <c r="K987" s="17">
        <v>14948822000103</v>
      </c>
      <c r="L987" s="17">
        <v>90739624001866</v>
      </c>
      <c r="M987" s="9">
        <v>290.29000000000002</v>
      </c>
      <c r="N987" t="s">
        <v>43</v>
      </c>
      <c r="Q987" s="2"/>
      <c r="R987" s="9"/>
      <c r="S987" t="s">
        <v>44</v>
      </c>
      <c r="T987" t="s">
        <v>45</v>
      </c>
      <c r="U987" s="2" t="s">
        <v>584</v>
      </c>
      <c r="V987" s="9" t="s">
        <v>3620</v>
      </c>
      <c r="W987">
        <v>5.1260814948822004E+43</v>
      </c>
      <c r="X987" t="s">
        <v>46</v>
      </c>
      <c r="Y987" s="2" t="s">
        <v>717</v>
      </c>
      <c r="Z987" s="2" t="s">
        <v>718</v>
      </c>
      <c r="AA987" s="9" t="s">
        <v>715</v>
      </c>
      <c r="AC987" s="2"/>
      <c r="AD987" t="s">
        <v>7</v>
      </c>
      <c r="AE987" t="s">
        <v>3621</v>
      </c>
    </row>
    <row r="988" spans="1:31" x14ac:dyDescent="0.3">
      <c r="A988" s="17">
        <v>90739624000118</v>
      </c>
      <c r="B988" t="s">
        <v>28</v>
      </c>
      <c r="D988" t="s">
        <v>214</v>
      </c>
      <c r="E988" t="s">
        <v>2</v>
      </c>
      <c r="F988">
        <v>269308</v>
      </c>
      <c r="G988" s="1" t="s">
        <v>3622</v>
      </c>
      <c r="H988">
        <v>24770957</v>
      </c>
      <c r="I988">
        <v>81151</v>
      </c>
      <c r="J988" t="s">
        <v>48</v>
      </c>
      <c r="K988" s="17">
        <v>1272434001002</v>
      </c>
      <c r="L988" s="17">
        <v>90739624001947</v>
      </c>
      <c r="M988" s="9">
        <v>276.10000000000002</v>
      </c>
      <c r="N988" t="s">
        <v>43</v>
      </c>
      <c r="Q988" s="2"/>
      <c r="R988" s="9"/>
      <c r="S988" t="s">
        <v>44</v>
      </c>
      <c r="T988" t="s">
        <v>45</v>
      </c>
      <c r="U988" s="2" t="s">
        <v>584</v>
      </c>
      <c r="V988" s="9" t="s">
        <v>3623</v>
      </c>
      <c r="W988">
        <v>5.2260801272433996E+43</v>
      </c>
      <c r="X988" t="s">
        <v>46</v>
      </c>
      <c r="Y988" s="2" t="s">
        <v>717</v>
      </c>
      <c r="Z988" s="2" t="s">
        <v>718</v>
      </c>
      <c r="AA988" s="9" t="s">
        <v>715</v>
      </c>
      <c r="AC988" s="2"/>
      <c r="AD988" t="s">
        <v>7</v>
      </c>
      <c r="AE988" t="s">
        <v>3624</v>
      </c>
    </row>
    <row r="989" spans="1:31" x14ac:dyDescent="0.3">
      <c r="A989" s="17">
        <v>90739624000118</v>
      </c>
      <c r="B989" t="s">
        <v>61</v>
      </c>
      <c r="D989" t="s">
        <v>611</v>
      </c>
      <c r="E989" t="s">
        <v>2</v>
      </c>
      <c r="F989">
        <v>269308</v>
      </c>
      <c r="G989" s="1" t="s">
        <v>3625</v>
      </c>
      <c r="H989">
        <v>24770907</v>
      </c>
      <c r="I989">
        <v>2493</v>
      </c>
      <c r="J989" t="s">
        <v>85</v>
      </c>
      <c r="K989" s="17">
        <v>1975878000105</v>
      </c>
      <c r="L989" s="17">
        <v>9576274000106</v>
      </c>
      <c r="M989" s="9">
        <v>542.59</v>
      </c>
      <c r="N989" t="s">
        <v>43</v>
      </c>
      <c r="Q989" s="2"/>
      <c r="R989" s="9"/>
      <c r="S989" t="s">
        <v>44</v>
      </c>
      <c r="T989" t="s">
        <v>45</v>
      </c>
      <c r="U989" s="2" t="s">
        <v>584</v>
      </c>
      <c r="V989" s="9" t="s">
        <v>3626</v>
      </c>
      <c r="W989">
        <v>4.1260801975878E+43</v>
      </c>
      <c r="X989" t="s">
        <v>46</v>
      </c>
      <c r="Y989" s="2" t="s">
        <v>717</v>
      </c>
      <c r="Z989" s="2" t="s">
        <v>718</v>
      </c>
      <c r="AA989" s="9" t="s">
        <v>715</v>
      </c>
      <c r="AC989" s="2"/>
      <c r="AD989" t="s">
        <v>7</v>
      </c>
      <c r="AE989" t="s">
        <v>3627</v>
      </c>
    </row>
    <row r="990" spans="1:31" x14ac:dyDescent="0.3">
      <c r="A990" s="17">
        <v>90739624000118</v>
      </c>
      <c r="B990" t="s">
        <v>65</v>
      </c>
      <c r="C990">
        <v>26248</v>
      </c>
      <c r="D990" t="s">
        <v>226</v>
      </c>
      <c r="E990" t="s">
        <v>17</v>
      </c>
      <c r="F990">
        <v>269308</v>
      </c>
      <c r="G990" s="1" t="s">
        <v>3628</v>
      </c>
      <c r="H990">
        <v>24770904</v>
      </c>
      <c r="J990" t="s">
        <v>656</v>
      </c>
      <c r="K990" s="17">
        <v>7473735019443</v>
      </c>
      <c r="L990" s="17"/>
      <c r="M990" s="9">
        <v>35.229999999999997</v>
      </c>
      <c r="N990" t="s">
        <v>43</v>
      </c>
      <c r="Q990" s="2"/>
      <c r="R990" s="9"/>
      <c r="S990" t="s">
        <v>87</v>
      </c>
      <c r="U990" s="2"/>
      <c r="V990" s="9"/>
      <c r="X990" t="s">
        <v>88</v>
      </c>
      <c r="Y990" s="2" t="s">
        <v>717</v>
      </c>
      <c r="Z990" s="2" t="s">
        <v>718</v>
      </c>
      <c r="AA990" s="9" t="s">
        <v>715</v>
      </c>
      <c r="AC990" s="2"/>
      <c r="AD990" t="s">
        <v>7</v>
      </c>
    </row>
    <row r="991" spans="1:31" x14ac:dyDescent="0.3">
      <c r="A991" s="17">
        <v>90739624000118</v>
      </c>
      <c r="B991" t="s">
        <v>65</v>
      </c>
      <c r="C991">
        <v>26248</v>
      </c>
      <c r="D991" t="s">
        <v>226</v>
      </c>
      <c r="E991" t="s">
        <v>2</v>
      </c>
      <c r="F991">
        <v>269308</v>
      </c>
      <c r="G991" s="1" t="s">
        <v>3630</v>
      </c>
      <c r="H991">
        <v>24770832</v>
      </c>
      <c r="J991" t="s">
        <v>656</v>
      </c>
      <c r="K991" s="17">
        <v>7473735019443</v>
      </c>
      <c r="L991" s="17"/>
      <c r="M991" s="9">
        <v>388.57</v>
      </c>
      <c r="N991" t="s">
        <v>43</v>
      </c>
      <c r="Q991" s="2"/>
      <c r="R991" s="9"/>
      <c r="S991" t="s">
        <v>87</v>
      </c>
      <c r="U991" s="2"/>
      <c r="V991" s="9"/>
      <c r="X991" t="s">
        <v>88</v>
      </c>
      <c r="Y991" s="2" t="s">
        <v>717</v>
      </c>
      <c r="Z991" s="2" t="s">
        <v>718</v>
      </c>
      <c r="AA991" s="9" t="s">
        <v>715</v>
      </c>
      <c r="AC991" s="2"/>
      <c r="AD991" t="s">
        <v>7</v>
      </c>
    </row>
    <row r="992" spans="1:31" x14ac:dyDescent="0.3">
      <c r="A992" s="17">
        <v>90739624000118</v>
      </c>
      <c r="B992" t="s">
        <v>58</v>
      </c>
      <c r="C992">
        <v>22224</v>
      </c>
      <c r="D992" t="s">
        <v>372</v>
      </c>
      <c r="E992" t="s">
        <v>2</v>
      </c>
      <c r="F992">
        <v>269308</v>
      </c>
      <c r="G992" s="1" t="s">
        <v>3632</v>
      </c>
      <c r="H992">
        <v>24770712</v>
      </c>
      <c r="J992" t="s">
        <v>167</v>
      </c>
      <c r="K992" s="17">
        <v>7473735016266</v>
      </c>
      <c r="L992" s="17"/>
      <c r="M992" s="9">
        <v>269.02999999999997</v>
      </c>
      <c r="N992" t="s">
        <v>43</v>
      </c>
      <c r="Q992" s="2"/>
      <c r="R992" s="9"/>
      <c r="S992" t="s">
        <v>87</v>
      </c>
      <c r="U992" s="2"/>
      <c r="V992" s="9"/>
      <c r="X992" t="s">
        <v>88</v>
      </c>
      <c r="Y992" s="2" t="s">
        <v>717</v>
      </c>
      <c r="Z992" s="2" t="s">
        <v>718</v>
      </c>
      <c r="AA992" s="9" t="s">
        <v>715</v>
      </c>
      <c r="AC992" s="2"/>
      <c r="AD992" t="s">
        <v>7</v>
      </c>
    </row>
    <row r="993" spans="1:31" x14ac:dyDescent="0.3">
      <c r="A993" s="17">
        <v>90739624000118</v>
      </c>
      <c r="B993" t="s">
        <v>61</v>
      </c>
      <c r="D993" t="s">
        <v>479</v>
      </c>
      <c r="E993" t="s">
        <v>2</v>
      </c>
      <c r="F993">
        <v>269308</v>
      </c>
      <c r="G993" s="1" t="s">
        <v>3634</v>
      </c>
      <c r="H993">
        <v>24770270</v>
      </c>
      <c r="I993">
        <v>28505</v>
      </c>
      <c r="J993" t="s">
        <v>127</v>
      </c>
      <c r="K993" s="17">
        <v>76493295000147</v>
      </c>
      <c r="L993" s="17">
        <v>9576274000106</v>
      </c>
      <c r="M993" s="9">
        <v>697.22</v>
      </c>
      <c r="N993" t="s">
        <v>43</v>
      </c>
      <c r="Q993" s="2"/>
      <c r="R993" s="9"/>
      <c r="S993" t="s">
        <v>44</v>
      </c>
      <c r="T993" t="s">
        <v>45</v>
      </c>
      <c r="U993" s="2" t="s">
        <v>584</v>
      </c>
      <c r="V993" s="9" t="s">
        <v>3635</v>
      </c>
      <c r="W993">
        <v>4.1260876493295002E+43</v>
      </c>
      <c r="X993" t="s">
        <v>46</v>
      </c>
      <c r="Y993" s="2" t="s">
        <v>717</v>
      </c>
      <c r="Z993" s="2" t="s">
        <v>718</v>
      </c>
      <c r="AA993" s="9" t="s">
        <v>715</v>
      </c>
      <c r="AC993" s="2"/>
      <c r="AD993" t="s">
        <v>7</v>
      </c>
      <c r="AE993" t="s">
        <v>3636</v>
      </c>
    </row>
    <row r="994" spans="1:31" x14ac:dyDescent="0.3">
      <c r="A994" s="17">
        <v>90739624000118</v>
      </c>
      <c r="B994" t="s">
        <v>49</v>
      </c>
      <c r="D994" t="s">
        <v>50</v>
      </c>
      <c r="E994" t="s">
        <v>2</v>
      </c>
      <c r="F994">
        <v>269308</v>
      </c>
      <c r="G994" s="1" t="s">
        <v>3637</v>
      </c>
      <c r="H994">
        <v>24770211</v>
      </c>
      <c r="I994">
        <v>162803</v>
      </c>
      <c r="J994" t="s">
        <v>51</v>
      </c>
      <c r="K994" s="17">
        <v>2763612000161</v>
      </c>
      <c r="L994" s="17">
        <v>90739624003133</v>
      </c>
      <c r="M994" s="9">
        <v>285.39999999999998</v>
      </c>
      <c r="N994" t="s">
        <v>43</v>
      </c>
      <c r="Q994" s="2"/>
      <c r="R994" s="9"/>
      <c r="S994" t="s">
        <v>44</v>
      </c>
      <c r="T994" t="s">
        <v>45</v>
      </c>
      <c r="U994" s="2" t="s">
        <v>584</v>
      </c>
      <c r="V994" s="9" t="s">
        <v>3638</v>
      </c>
      <c r="W994">
        <v>4.1260802763612002E+43</v>
      </c>
      <c r="X994" t="s">
        <v>46</v>
      </c>
      <c r="Y994" s="2" t="s">
        <v>717</v>
      </c>
      <c r="Z994" s="2" t="s">
        <v>718</v>
      </c>
      <c r="AA994" s="9" t="s">
        <v>715</v>
      </c>
      <c r="AC994" s="2"/>
      <c r="AD994" t="s">
        <v>7</v>
      </c>
      <c r="AE994" t="s">
        <v>3639</v>
      </c>
    </row>
    <row r="995" spans="1:31" x14ac:dyDescent="0.3">
      <c r="A995" s="17">
        <v>90739624000118</v>
      </c>
      <c r="B995" t="s">
        <v>120</v>
      </c>
      <c r="C995">
        <v>26017</v>
      </c>
      <c r="D995" t="s">
        <v>215</v>
      </c>
      <c r="E995" t="s">
        <v>17</v>
      </c>
      <c r="F995">
        <v>269308</v>
      </c>
      <c r="G995" s="1" t="s">
        <v>3640</v>
      </c>
      <c r="H995">
        <v>24770206</v>
      </c>
      <c r="I995">
        <v>60878</v>
      </c>
      <c r="J995" t="s">
        <v>150</v>
      </c>
      <c r="K995" s="17">
        <v>27643038000139</v>
      </c>
      <c r="L995" s="17">
        <v>90739624001432</v>
      </c>
      <c r="M995" s="9">
        <v>97.63</v>
      </c>
      <c r="N995" t="s">
        <v>43</v>
      </c>
      <c r="Q995" s="2"/>
      <c r="R995" s="9"/>
      <c r="S995" t="s">
        <v>44</v>
      </c>
      <c r="T995" t="s">
        <v>45</v>
      </c>
      <c r="U995" s="2" t="s">
        <v>584</v>
      </c>
      <c r="V995" s="9" t="s">
        <v>3641</v>
      </c>
      <c r="W995">
        <v>4.2260827643038002E+43</v>
      </c>
      <c r="X995" t="s">
        <v>46</v>
      </c>
      <c r="Y995" s="2" t="s">
        <v>717</v>
      </c>
      <c r="Z995" s="2" t="s">
        <v>718</v>
      </c>
      <c r="AA995" s="9" t="s">
        <v>715</v>
      </c>
      <c r="AC995" s="2"/>
      <c r="AD995" t="s">
        <v>7</v>
      </c>
      <c r="AE995" t="s">
        <v>3642</v>
      </c>
    </row>
    <row r="996" spans="1:31" x14ac:dyDescent="0.3">
      <c r="A996" s="17">
        <v>90739624000118</v>
      </c>
      <c r="B996" t="s">
        <v>13</v>
      </c>
      <c r="D996" t="s">
        <v>207</v>
      </c>
      <c r="E996" t="s">
        <v>2</v>
      </c>
      <c r="F996">
        <v>269308</v>
      </c>
      <c r="G996" s="1" t="s">
        <v>3643</v>
      </c>
      <c r="H996">
        <v>24770180</v>
      </c>
      <c r="I996">
        <v>35100</v>
      </c>
      <c r="J996" t="s">
        <v>16</v>
      </c>
      <c r="K996" s="17">
        <v>73648610000170</v>
      </c>
      <c r="L996" s="17">
        <v>90739624001190</v>
      </c>
      <c r="M996" s="9">
        <v>480.22</v>
      </c>
      <c r="N996" t="s">
        <v>43</v>
      </c>
      <c r="Q996" s="2"/>
      <c r="R996" s="9"/>
      <c r="S996" t="s">
        <v>44</v>
      </c>
      <c r="T996" t="s">
        <v>45</v>
      </c>
      <c r="U996" s="2" t="s">
        <v>602</v>
      </c>
      <c r="V996" s="9" t="s">
        <v>3644</v>
      </c>
      <c r="W996">
        <v>5.026087364861E+43</v>
      </c>
      <c r="X996" t="s">
        <v>46</v>
      </c>
      <c r="Y996" s="2" t="s">
        <v>717</v>
      </c>
      <c r="Z996" s="2" t="s">
        <v>718</v>
      </c>
      <c r="AA996" s="9" t="s">
        <v>715</v>
      </c>
      <c r="AC996" s="2"/>
      <c r="AD996" t="s">
        <v>7</v>
      </c>
      <c r="AE996" t="s">
        <v>3645</v>
      </c>
    </row>
    <row r="997" spans="1:31" x14ac:dyDescent="0.3">
      <c r="A997" s="17">
        <v>90739624000118</v>
      </c>
      <c r="B997" t="s">
        <v>120</v>
      </c>
      <c r="C997">
        <v>26017</v>
      </c>
      <c r="D997" t="s">
        <v>215</v>
      </c>
      <c r="E997" t="s">
        <v>2</v>
      </c>
      <c r="F997">
        <v>269308</v>
      </c>
      <c r="G997" s="1" t="s">
        <v>3646</v>
      </c>
      <c r="H997">
        <v>24770177</v>
      </c>
      <c r="I997">
        <v>60877</v>
      </c>
      <c r="J997" t="s">
        <v>150</v>
      </c>
      <c r="K997" s="17">
        <v>27643038000139</v>
      </c>
      <c r="L997" s="17">
        <v>90739624001432</v>
      </c>
      <c r="M997" s="9">
        <v>764.94</v>
      </c>
      <c r="N997" t="s">
        <v>43</v>
      </c>
      <c r="Q997" s="2"/>
      <c r="R997" s="9"/>
      <c r="S997" t="s">
        <v>44</v>
      </c>
      <c r="T997" t="s">
        <v>45</v>
      </c>
      <c r="U997" s="2" t="s">
        <v>584</v>
      </c>
      <c r="V997" s="9" t="s">
        <v>3647</v>
      </c>
      <c r="W997">
        <v>4.2260827643038002E+43</v>
      </c>
      <c r="X997" t="s">
        <v>46</v>
      </c>
      <c r="Y997" s="2" t="s">
        <v>717</v>
      </c>
      <c r="Z997" s="2" t="s">
        <v>718</v>
      </c>
      <c r="AA997" s="9" t="s">
        <v>715</v>
      </c>
      <c r="AC997" s="2"/>
      <c r="AD997" t="s">
        <v>7</v>
      </c>
      <c r="AE997" t="s">
        <v>3648</v>
      </c>
    </row>
    <row r="998" spans="1:31" x14ac:dyDescent="0.3">
      <c r="A998" s="17">
        <v>90739624000118</v>
      </c>
      <c r="B998" t="s">
        <v>11</v>
      </c>
      <c r="D998" t="s">
        <v>26</v>
      </c>
      <c r="E998" t="s">
        <v>2</v>
      </c>
      <c r="F998">
        <v>269308</v>
      </c>
      <c r="G998" s="1" t="s">
        <v>3649</v>
      </c>
      <c r="H998">
        <v>24770176</v>
      </c>
      <c r="I998">
        <v>131369</v>
      </c>
      <c r="J998" t="s">
        <v>152</v>
      </c>
      <c r="K998" s="17">
        <v>23891404000118</v>
      </c>
      <c r="L998" s="17">
        <v>90739624001866</v>
      </c>
      <c r="M998" s="9">
        <v>236.95</v>
      </c>
      <c r="N998" t="s">
        <v>43</v>
      </c>
      <c r="Q998" s="2"/>
      <c r="R998" s="9"/>
      <c r="S998" t="s">
        <v>44</v>
      </c>
      <c r="T998" t="s">
        <v>45</v>
      </c>
      <c r="U998" s="2" t="s">
        <v>584</v>
      </c>
      <c r="V998" s="9" t="s">
        <v>3122</v>
      </c>
      <c r="W998">
        <v>5.1260823891404E+43</v>
      </c>
      <c r="X998" t="s">
        <v>46</v>
      </c>
      <c r="Y998" s="2" t="s">
        <v>717</v>
      </c>
      <c r="Z998" s="2" t="s">
        <v>718</v>
      </c>
      <c r="AA998" s="9" t="s">
        <v>715</v>
      </c>
      <c r="AC998" s="2"/>
      <c r="AD998" t="s">
        <v>7</v>
      </c>
      <c r="AE998" t="s">
        <v>3650</v>
      </c>
    </row>
    <row r="999" spans="1:31" x14ac:dyDescent="0.3">
      <c r="A999" s="17">
        <v>90739624000118</v>
      </c>
      <c r="B999" t="s">
        <v>99</v>
      </c>
      <c r="C999">
        <v>22634</v>
      </c>
      <c r="D999" t="s">
        <v>641</v>
      </c>
      <c r="E999" t="s">
        <v>2</v>
      </c>
      <c r="F999">
        <v>269308</v>
      </c>
      <c r="G999" s="1" t="s">
        <v>3651</v>
      </c>
      <c r="H999">
        <v>24770037</v>
      </c>
      <c r="I999">
        <v>50476</v>
      </c>
      <c r="J999" t="s">
        <v>507</v>
      </c>
      <c r="K999" s="17">
        <v>3626094001330</v>
      </c>
      <c r="L999" s="17">
        <v>9576274000106</v>
      </c>
      <c r="M999" s="9">
        <v>280</v>
      </c>
      <c r="N999" t="s">
        <v>43</v>
      </c>
      <c r="Q999" s="2"/>
      <c r="R999" s="9"/>
      <c r="S999" t="s">
        <v>44</v>
      </c>
      <c r="T999" t="s">
        <v>45</v>
      </c>
      <c r="U999" s="2" t="s">
        <v>585</v>
      </c>
      <c r="V999" s="9" t="s">
        <v>1020</v>
      </c>
      <c r="W999">
        <v>4.1260803626093998E+43</v>
      </c>
      <c r="X999" t="s">
        <v>46</v>
      </c>
      <c r="Y999" s="2" t="s">
        <v>717</v>
      </c>
      <c r="Z999" s="2" t="s">
        <v>718</v>
      </c>
      <c r="AA999" s="9" t="s">
        <v>715</v>
      </c>
      <c r="AC999" s="2"/>
      <c r="AD999" t="s">
        <v>7</v>
      </c>
      <c r="AE999" t="s">
        <v>3652</v>
      </c>
    </row>
    <row r="1000" spans="1:31" x14ac:dyDescent="0.3">
      <c r="A1000" s="17">
        <v>90739624000118</v>
      </c>
      <c r="B1000" t="s">
        <v>61</v>
      </c>
      <c r="D1000" t="s">
        <v>198</v>
      </c>
      <c r="E1000" t="s">
        <v>2</v>
      </c>
      <c r="F1000">
        <v>269308</v>
      </c>
      <c r="G1000" s="1" t="s">
        <v>3653</v>
      </c>
      <c r="H1000">
        <v>24770001</v>
      </c>
      <c r="I1000">
        <v>28503</v>
      </c>
      <c r="J1000" t="s">
        <v>127</v>
      </c>
      <c r="K1000" s="17">
        <v>76493295000147</v>
      </c>
      <c r="L1000" s="17">
        <v>9576274000106</v>
      </c>
      <c r="M1000" s="9">
        <v>436.92</v>
      </c>
      <c r="N1000" t="s">
        <v>43</v>
      </c>
      <c r="Q1000" s="2"/>
      <c r="R1000" s="9"/>
      <c r="S1000" t="s">
        <v>44</v>
      </c>
      <c r="T1000" t="s">
        <v>45</v>
      </c>
      <c r="U1000" s="2" t="s">
        <v>584</v>
      </c>
      <c r="V1000" s="9" t="s">
        <v>3654</v>
      </c>
      <c r="W1000">
        <v>4.1260876493295002E+43</v>
      </c>
      <c r="X1000" t="s">
        <v>46</v>
      </c>
      <c r="Y1000" s="2" t="s">
        <v>717</v>
      </c>
      <c r="Z1000" s="2" t="s">
        <v>718</v>
      </c>
      <c r="AA1000" s="9" t="s">
        <v>715</v>
      </c>
      <c r="AC1000" s="2"/>
      <c r="AD1000" t="s">
        <v>7</v>
      </c>
      <c r="AE1000" t="s">
        <v>3655</v>
      </c>
    </row>
    <row r="1001" spans="1:31" x14ac:dyDescent="0.3">
      <c r="A1001" s="17">
        <v>90739624000118</v>
      </c>
      <c r="B1001" t="s">
        <v>25</v>
      </c>
      <c r="D1001" t="s">
        <v>563</v>
      </c>
      <c r="E1001" t="s">
        <v>2</v>
      </c>
      <c r="F1001">
        <v>269308</v>
      </c>
      <c r="G1001" s="1" t="s">
        <v>3656</v>
      </c>
      <c r="H1001">
        <v>24769996</v>
      </c>
      <c r="I1001">
        <v>342056</v>
      </c>
      <c r="J1001" t="s">
        <v>236</v>
      </c>
      <c r="K1001" s="17">
        <v>17084739000121</v>
      </c>
      <c r="L1001" s="17">
        <v>90739624001866</v>
      </c>
      <c r="M1001" s="9">
        <v>81.180000000000007</v>
      </c>
      <c r="N1001" t="s">
        <v>43</v>
      </c>
      <c r="Q1001" s="2"/>
      <c r="R1001" s="9"/>
      <c r="S1001" t="s">
        <v>44</v>
      </c>
      <c r="T1001" t="s">
        <v>45</v>
      </c>
      <c r="U1001" s="2" t="s">
        <v>584</v>
      </c>
      <c r="V1001" s="9" t="s">
        <v>3657</v>
      </c>
      <c r="W1001">
        <v>5.1260817084738999E+43</v>
      </c>
      <c r="X1001" t="s">
        <v>46</v>
      </c>
      <c r="Y1001" s="2" t="s">
        <v>717</v>
      </c>
      <c r="Z1001" s="2" t="s">
        <v>718</v>
      </c>
      <c r="AA1001" s="9" t="s">
        <v>715</v>
      </c>
      <c r="AC1001" s="2"/>
      <c r="AD1001" t="s">
        <v>7</v>
      </c>
      <c r="AE1001" t="s">
        <v>3658</v>
      </c>
    </row>
    <row r="1002" spans="1:31" x14ac:dyDescent="0.3">
      <c r="A1002" s="17">
        <v>90739624000118</v>
      </c>
      <c r="B1002" t="s">
        <v>100</v>
      </c>
      <c r="D1002" t="s">
        <v>598</v>
      </c>
      <c r="E1002" t="s">
        <v>2</v>
      </c>
      <c r="F1002">
        <v>269308</v>
      </c>
      <c r="G1002" s="1" t="s">
        <v>3659</v>
      </c>
      <c r="H1002">
        <v>24769656</v>
      </c>
      <c r="I1002">
        <v>154069</v>
      </c>
      <c r="J1002" t="s">
        <v>230</v>
      </c>
      <c r="K1002" s="17">
        <v>19770285000178</v>
      </c>
      <c r="L1002" s="17">
        <v>90739624001866</v>
      </c>
      <c r="M1002" s="9">
        <v>473.45</v>
      </c>
      <c r="N1002" t="s">
        <v>43</v>
      </c>
      <c r="Q1002" s="2"/>
      <c r="R1002" s="9"/>
      <c r="S1002" t="s">
        <v>44</v>
      </c>
      <c r="T1002" t="s">
        <v>45</v>
      </c>
      <c r="U1002" s="2" t="s">
        <v>584</v>
      </c>
      <c r="V1002" s="9" t="s">
        <v>3661</v>
      </c>
      <c r="W1002">
        <v>5.1260819770285001E+43</v>
      </c>
      <c r="X1002" t="s">
        <v>46</v>
      </c>
      <c r="Y1002" s="2" t="s">
        <v>717</v>
      </c>
      <c r="Z1002" s="2" t="s">
        <v>718</v>
      </c>
      <c r="AA1002" s="9" t="s">
        <v>715</v>
      </c>
      <c r="AC1002" s="2"/>
      <c r="AD1002" t="s">
        <v>7</v>
      </c>
      <c r="AE1002" t="s">
        <v>3662</v>
      </c>
    </row>
    <row r="1003" spans="1:31" x14ac:dyDescent="0.3">
      <c r="A1003" s="17">
        <v>90739624000118</v>
      </c>
      <c r="B1003" t="s">
        <v>49</v>
      </c>
      <c r="D1003" t="s">
        <v>317</v>
      </c>
      <c r="E1003" t="s">
        <v>2</v>
      </c>
      <c r="F1003">
        <v>269308</v>
      </c>
      <c r="G1003" s="1" t="s">
        <v>3663</v>
      </c>
      <c r="H1003">
        <v>24769602</v>
      </c>
      <c r="I1003">
        <v>162799</v>
      </c>
      <c r="J1003" t="s">
        <v>51</v>
      </c>
      <c r="K1003" s="17">
        <v>2763612000161</v>
      </c>
      <c r="L1003" s="17">
        <v>90739624003133</v>
      </c>
      <c r="M1003" s="9">
        <v>445.23</v>
      </c>
      <c r="N1003" t="s">
        <v>43</v>
      </c>
      <c r="Q1003" s="2"/>
      <c r="R1003" s="9"/>
      <c r="S1003" t="s">
        <v>44</v>
      </c>
      <c r="T1003" t="s">
        <v>45</v>
      </c>
      <c r="U1003" s="2" t="s">
        <v>584</v>
      </c>
      <c r="V1003" s="9" t="s">
        <v>3664</v>
      </c>
      <c r="W1003">
        <v>4.1260802763612002E+43</v>
      </c>
      <c r="X1003" t="s">
        <v>46</v>
      </c>
      <c r="Y1003" s="2" t="s">
        <v>717</v>
      </c>
      <c r="Z1003" s="2" t="s">
        <v>718</v>
      </c>
      <c r="AA1003" s="9" t="s">
        <v>715</v>
      </c>
      <c r="AC1003" s="2"/>
      <c r="AD1003" t="s">
        <v>7</v>
      </c>
      <c r="AE1003" t="s">
        <v>3665</v>
      </c>
    </row>
    <row r="1004" spans="1:31" x14ac:dyDescent="0.3">
      <c r="A1004" s="17">
        <v>90739624000118</v>
      </c>
      <c r="B1004" t="s">
        <v>174</v>
      </c>
      <c r="D1004" t="s">
        <v>286</v>
      </c>
      <c r="E1004" t="s">
        <v>2</v>
      </c>
      <c r="F1004">
        <v>269308</v>
      </c>
      <c r="G1004" s="1" t="s">
        <v>3666</v>
      </c>
      <c r="H1004">
        <v>24769545</v>
      </c>
      <c r="I1004">
        <v>5564</v>
      </c>
      <c r="J1004" t="s">
        <v>268</v>
      </c>
      <c r="K1004" s="17">
        <v>4985282000184</v>
      </c>
      <c r="L1004" s="17">
        <v>90739624000118</v>
      </c>
      <c r="M1004" s="9">
        <v>160.77000000000001</v>
      </c>
      <c r="N1004" t="s">
        <v>43</v>
      </c>
      <c r="Q1004" s="2"/>
      <c r="R1004" s="9"/>
      <c r="S1004" t="s">
        <v>44</v>
      </c>
      <c r="T1004" t="s">
        <v>45</v>
      </c>
      <c r="U1004" s="2" t="s">
        <v>584</v>
      </c>
      <c r="V1004" s="9" t="s">
        <v>690</v>
      </c>
      <c r="W1004">
        <v>1.7260804985282E+43</v>
      </c>
      <c r="X1004" t="s">
        <v>46</v>
      </c>
      <c r="Y1004" s="2" t="s">
        <v>717</v>
      </c>
      <c r="Z1004" s="2" t="s">
        <v>718</v>
      </c>
      <c r="AA1004" s="9" t="s">
        <v>715</v>
      </c>
      <c r="AC1004" s="2"/>
      <c r="AD1004" t="s">
        <v>7</v>
      </c>
      <c r="AE1004" t="s">
        <v>3667</v>
      </c>
    </row>
    <row r="1005" spans="1:31" x14ac:dyDescent="0.3">
      <c r="A1005" s="17">
        <v>90739624000118</v>
      </c>
      <c r="B1005" t="s">
        <v>8</v>
      </c>
      <c r="D1005" t="s">
        <v>220</v>
      </c>
      <c r="E1005" t="s">
        <v>2</v>
      </c>
      <c r="F1005">
        <v>269308</v>
      </c>
      <c r="G1005" s="1" t="s">
        <v>3668</v>
      </c>
      <c r="H1005">
        <v>24769493</v>
      </c>
      <c r="I1005">
        <v>6313</v>
      </c>
      <c r="J1005" t="s">
        <v>221</v>
      </c>
      <c r="K1005" s="17">
        <v>8810726000100</v>
      </c>
      <c r="L1005" s="17">
        <v>9576274000106</v>
      </c>
      <c r="M1005" s="9">
        <v>683.63</v>
      </c>
      <c r="N1005" t="s">
        <v>43</v>
      </c>
      <c r="Q1005" s="2"/>
      <c r="R1005" s="9"/>
      <c r="S1005" t="s">
        <v>44</v>
      </c>
      <c r="T1005" t="s">
        <v>45</v>
      </c>
      <c r="U1005" s="2" t="s">
        <v>584</v>
      </c>
      <c r="V1005" s="9" t="s">
        <v>3669</v>
      </c>
      <c r="W1005">
        <v>4.1260808810725998E+43</v>
      </c>
      <c r="X1005" t="s">
        <v>46</v>
      </c>
      <c r="Y1005" s="2" t="s">
        <v>717</v>
      </c>
      <c r="Z1005" s="2" t="s">
        <v>718</v>
      </c>
      <c r="AA1005" s="9" t="s">
        <v>715</v>
      </c>
      <c r="AC1005" s="2"/>
      <c r="AD1005" t="s">
        <v>7</v>
      </c>
      <c r="AE1005" t="s">
        <v>3670</v>
      </c>
    </row>
    <row r="1006" spans="1:31" x14ac:dyDescent="0.3">
      <c r="A1006" s="17">
        <v>90739624000118</v>
      </c>
      <c r="B1006" t="s">
        <v>8</v>
      </c>
      <c r="D1006" t="s">
        <v>297</v>
      </c>
      <c r="E1006" t="s">
        <v>2</v>
      </c>
      <c r="F1006">
        <v>269308</v>
      </c>
      <c r="G1006" s="1" t="s">
        <v>3671</v>
      </c>
      <c r="H1006">
        <v>24769408</v>
      </c>
      <c r="I1006">
        <v>10345</v>
      </c>
      <c r="J1006" t="s">
        <v>10</v>
      </c>
      <c r="K1006" s="17">
        <v>33286065000102</v>
      </c>
      <c r="L1006" s="17">
        <v>9576274000106</v>
      </c>
      <c r="M1006" s="9">
        <v>908.75</v>
      </c>
      <c r="N1006" t="s">
        <v>43</v>
      </c>
      <c r="Q1006" s="2"/>
      <c r="R1006" s="9"/>
      <c r="S1006" t="s">
        <v>44</v>
      </c>
      <c r="T1006" t="s">
        <v>45</v>
      </c>
      <c r="U1006" s="2" t="s">
        <v>584</v>
      </c>
      <c r="V1006" s="9" t="s">
        <v>3672</v>
      </c>
      <c r="W1006">
        <v>4.1260833286065001E+43</v>
      </c>
      <c r="X1006" t="s">
        <v>46</v>
      </c>
      <c r="Y1006" s="2" t="s">
        <v>717</v>
      </c>
      <c r="Z1006" s="2" t="s">
        <v>718</v>
      </c>
      <c r="AA1006" s="9" t="s">
        <v>715</v>
      </c>
      <c r="AC1006" s="2"/>
      <c r="AD1006" t="s">
        <v>7</v>
      </c>
      <c r="AE1006" t="s">
        <v>3673</v>
      </c>
    </row>
    <row r="1007" spans="1:31" x14ac:dyDescent="0.3">
      <c r="A1007" s="17">
        <v>90739624000118</v>
      </c>
      <c r="B1007" t="s">
        <v>8</v>
      </c>
      <c r="D1007" t="s">
        <v>297</v>
      </c>
      <c r="E1007" t="s">
        <v>17</v>
      </c>
      <c r="F1007">
        <v>269308</v>
      </c>
      <c r="G1007" s="1" t="s">
        <v>3674</v>
      </c>
      <c r="H1007">
        <v>24769374</v>
      </c>
      <c r="I1007">
        <v>10346</v>
      </c>
      <c r="J1007" t="s">
        <v>10</v>
      </c>
      <c r="K1007" s="17">
        <v>33286065000102</v>
      </c>
      <c r="L1007" s="17">
        <v>9576274000106</v>
      </c>
      <c r="M1007" s="9">
        <v>59.56</v>
      </c>
      <c r="N1007" t="s">
        <v>43</v>
      </c>
      <c r="Q1007" s="2"/>
      <c r="R1007" s="9"/>
      <c r="S1007" t="s">
        <v>44</v>
      </c>
      <c r="T1007" t="s">
        <v>45</v>
      </c>
      <c r="U1007" s="2" t="s">
        <v>584</v>
      </c>
      <c r="V1007" s="9" t="s">
        <v>3675</v>
      </c>
      <c r="W1007">
        <v>4.1260833286065001E+43</v>
      </c>
      <c r="X1007" t="s">
        <v>46</v>
      </c>
      <c r="Y1007" s="2" t="s">
        <v>717</v>
      </c>
      <c r="Z1007" s="2" t="s">
        <v>718</v>
      </c>
      <c r="AA1007" s="9" t="s">
        <v>715</v>
      </c>
      <c r="AC1007" s="2"/>
      <c r="AD1007" t="s">
        <v>7</v>
      </c>
      <c r="AE1007" t="s">
        <v>3676</v>
      </c>
    </row>
    <row r="1008" spans="1:31" x14ac:dyDescent="0.3">
      <c r="A1008" s="17">
        <v>90739624000118</v>
      </c>
      <c r="B1008" t="s">
        <v>28</v>
      </c>
      <c r="D1008" t="s">
        <v>224</v>
      </c>
      <c r="E1008" t="s">
        <v>2</v>
      </c>
      <c r="F1008">
        <v>269308</v>
      </c>
      <c r="G1008" s="1" t="s">
        <v>3677</v>
      </c>
      <c r="H1008">
        <v>24769365</v>
      </c>
      <c r="I1008">
        <v>81149</v>
      </c>
      <c r="J1008" t="s">
        <v>48</v>
      </c>
      <c r="K1008" s="17">
        <v>1272434001002</v>
      </c>
      <c r="L1008" s="17">
        <v>90739624001947</v>
      </c>
      <c r="M1008" s="9">
        <v>390.98</v>
      </c>
      <c r="N1008" t="s">
        <v>43</v>
      </c>
      <c r="Q1008" s="2"/>
      <c r="R1008" s="9"/>
      <c r="S1008" t="s">
        <v>44</v>
      </c>
      <c r="T1008" t="s">
        <v>45</v>
      </c>
      <c r="U1008" s="2" t="s">
        <v>584</v>
      </c>
      <c r="V1008" s="9" t="s">
        <v>3678</v>
      </c>
      <c r="W1008">
        <v>5.2260801272433996E+43</v>
      </c>
      <c r="X1008" t="s">
        <v>46</v>
      </c>
      <c r="Y1008" s="2" t="s">
        <v>717</v>
      </c>
      <c r="Z1008" s="2" t="s">
        <v>718</v>
      </c>
      <c r="AA1008" s="9" t="s">
        <v>715</v>
      </c>
      <c r="AC1008" s="2"/>
      <c r="AD1008" t="s">
        <v>7</v>
      </c>
      <c r="AE1008" t="s">
        <v>3679</v>
      </c>
    </row>
    <row r="1009" spans="1:31" x14ac:dyDescent="0.3">
      <c r="A1009" s="17">
        <v>90739624000118</v>
      </c>
      <c r="B1009" t="s">
        <v>49</v>
      </c>
      <c r="D1009" t="s">
        <v>216</v>
      </c>
      <c r="E1009" t="s">
        <v>2</v>
      </c>
      <c r="F1009">
        <v>269308</v>
      </c>
      <c r="G1009" s="1" t="s">
        <v>3680</v>
      </c>
      <c r="H1009">
        <v>24769236</v>
      </c>
      <c r="I1009">
        <v>162796</v>
      </c>
      <c r="J1009" t="s">
        <v>51</v>
      </c>
      <c r="K1009" s="17">
        <v>2763612000161</v>
      </c>
      <c r="L1009" s="17">
        <v>90739624003133</v>
      </c>
      <c r="M1009" s="9">
        <v>277.26</v>
      </c>
      <c r="N1009" t="s">
        <v>43</v>
      </c>
      <c r="Q1009" s="2"/>
      <c r="R1009" s="9"/>
      <c r="S1009" t="s">
        <v>44</v>
      </c>
      <c r="T1009" t="s">
        <v>45</v>
      </c>
      <c r="U1009" s="2" t="s">
        <v>584</v>
      </c>
      <c r="V1009" s="9" t="s">
        <v>3681</v>
      </c>
      <c r="W1009">
        <v>4.1260802763612002E+43</v>
      </c>
      <c r="X1009" t="s">
        <v>46</v>
      </c>
      <c r="Y1009" s="2" t="s">
        <v>717</v>
      </c>
      <c r="Z1009" s="2" t="s">
        <v>718</v>
      </c>
      <c r="AA1009" s="9" t="s">
        <v>715</v>
      </c>
      <c r="AC1009" s="2"/>
      <c r="AD1009" t="s">
        <v>7</v>
      </c>
      <c r="AE1009" t="s">
        <v>3682</v>
      </c>
    </row>
    <row r="1010" spans="1:31" x14ac:dyDescent="0.3">
      <c r="A1010" s="17">
        <v>90739624000118</v>
      </c>
      <c r="B1010" t="s">
        <v>28</v>
      </c>
      <c r="D1010" t="s">
        <v>97</v>
      </c>
      <c r="E1010" t="s">
        <v>2</v>
      </c>
      <c r="F1010">
        <v>269308</v>
      </c>
      <c r="G1010" s="1" t="s">
        <v>3683</v>
      </c>
      <c r="H1010">
        <v>24769174</v>
      </c>
      <c r="I1010">
        <v>81147</v>
      </c>
      <c r="J1010" t="s">
        <v>48</v>
      </c>
      <c r="K1010" s="17">
        <v>1272434001002</v>
      </c>
      <c r="L1010" s="17">
        <v>90739624001947</v>
      </c>
      <c r="M1010" s="9">
        <v>247.76</v>
      </c>
      <c r="N1010" t="s">
        <v>43</v>
      </c>
      <c r="Q1010" s="2"/>
      <c r="R1010" s="9"/>
      <c r="S1010" t="s">
        <v>44</v>
      </c>
      <c r="T1010" t="s">
        <v>45</v>
      </c>
      <c r="U1010" s="2" t="s">
        <v>584</v>
      </c>
      <c r="V1010" s="9" t="s">
        <v>3684</v>
      </c>
      <c r="W1010">
        <v>5.2260801272433996E+43</v>
      </c>
      <c r="X1010" t="s">
        <v>46</v>
      </c>
      <c r="Y1010" s="2" t="s">
        <v>717</v>
      </c>
      <c r="Z1010" s="2" t="s">
        <v>718</v>
      </c>
      <c r="AA1010" s="9" t="s">
        <v>715</v>
      </c>
      <c r="AC1010" s="2"/>
      <c r="AD1010" t="s">
        <v>7</v>
      </c>
      <c r="AE1010" t="s">
        <v>3685</v>
      </c>
    </row>
    <row r="1011" spans="1:31" x14ac:dyDescent="0.3">
      <c r="A1011" s="17">
        <v>90739624000118</v>
      </c>
      <c r="B1011" t="s">
        <v>100</v>
      </c>
      <c r="C1011">
        <v>23395</v>
      </c>
      <c r="D1011" t="s">
        <v>188</v>
      </c>
      <c r="E1011" t="s">
        <v>2</v>
      </c>
      <c r="F1011">
        <v>269308</v>
      </c>
      <c r="G1011" s="1" t="s">
        <v>3686</v>
      </c>
      <c r="H1011">
        <v>24769173</v>
      </c>
      <c r="I1011">
        <v>10170</v>
      </c>
      <c r="J1011" t="s">
        <v>189</v>
      </c>
      <c r="K1011" s="17">
        <v>50128357000551</v>
      </c>
      <c r="L1011" s="17">
        <v>90739624001866</v>
      </c>
      <c r="M1011" s="9">
        <v>188</v>
      </c>
      <c r="N1011" t="s">
        <v>43</v>
      </c>
      <c r="Q1011" s="2"/>
      <c r="R1011" s="9"/>
      <c r="S1011" t="s">
        <v>44</v>
      </c>
      <c r="T1011" t="s">
        <v>45</v>
      </c>
      <c r="U1011" s="2" t="s">
        <v>584</v>
      </c>
      <c r="V1011" s="9" t="s">
        <v>3687</v>
      </c>
      <c r="W1011">
        <v>5.1260850128356998E+43</v>
      </c>
      <c r="X1011" t="s">
        <v>46</v>
      </c>
      <c r="Y1011" s="2" t="s">
        <v>717</v>
      </c>
      <c r="Z1011" s="2" t="s">
        <v>718</v>
      </c>
      <c r="AA1011" s="9" t="s">
        <v>715</v>
      </c>
      <c r="AC1011" s="2"/>
      <c r="AD1011" t="s">
        <v>7</v>
      </c>
      <c r="AE1011" t="s">
        <v>3688</v>
      </c>
    </row>
    <row r="1012" spans="1:31" x14ac:dyDescent="0.3">
      <c r="A1012" s="17">
        <v>90739624000118</v>
      </c>
      <c r="B1012" t="s">
        <v>49</v>
      </c>
      <c r="C1012">
        <v>25076</v>
      </c>
      <c r="D1012" t="s">
        <v>316</v>
      </c>
      <c r="E1012" t="s">
        <v>2</v>
      </c>
      <c r="F1012">
        <v>269308</v>
      </c>
      <c r="G1012" s="1" t="s">
        <v>3689</v>
      </c>
      <c r="H1012">
        <v>24768984</v>
      </c>
      <c r="I1012">
        <v>162791</v>
      </c>
      <c r="J1012" t="s">
        <v>51</v>
      </c>
      <c r="K1012" s="17">
        <v>2763612000161</v>
      </c>
      <c r="L1012" s="17">
        <v>90739624003133</v>
      </c>
      <c r="M1012" s="9">
        <v>239.34</v>
      </c>
      <c r="N1012" t="s">
        <v>43</v>
      </c>
      <c r="Q1012" s="2"/>
      <c r="R1012" s="9"/>
      <c r="S1012" t="s">
        <v>44</v>
      </c>
      <c r="T1012" t="s">
        <v>45</v>
      </c>
      <c r="U1012" s="2" t="s">
        <v>584</v>
      </c>
      <c r="V1012" s="9" t="s">
        <v>3690</v>
      </c>
      <c r="W1012">
        <v>4.1260802763612002E+43</v>
      </c>
      <c r="X1012" t="s">
        <v>46</v>
      </c>
      <c r="Y1012" s="2" t="s">
        <v>717</v>
      </c>
      <c r="Z1012" s="2" t="s">
        <v>718</v>
      </c>
      <c r="AA1012" s="9" t="s">
        <v>715</v>
      </c>
      <c r="AC1012" s="2"/>
      <c r="AD1012" t="s">
        <v>7</v>
      </c>
      <c r="AE1012" t="s">
        <v>3691</v>
      </c>
    </row>
    <row r="1013" spans="1:31" x14ac:dyDescent="0.3">
      <c r="A1013" s="17">
        <v>90739624000118</v>
      </c>
      <c r="B1013" t="s">
        <v>28</v>
      </c>
      <c r="D1013" t="s">
        <v>91</v>
      </c>
      <c r="E1013" t="s">
        <v>2</v>
      </c>
      <c r="F1013">
        <v>269308</v>
      </c>
      <c r="G1013" s="1" t="s">
        <v>3692</v>
      </c>
      <c r="H1013">
        <v>24768734</v>
      </c>
      <c r="I1013">
        <v>22193</v>
      </c>
      <c r="J1013" t="s">
        <v>254</v>
      </c>
      <c r="K1013" s="17">
        <v>13759928000104</v>
      </c>
      <c r="L1013" s="17">
        <v>90739624001947</v>
      </c>
      <c r="M1013" s="9">
        <v>244.82</v>
      </c>
      <c r="N1013" t="s">
        <v>43</v>
      </c>
      <c r="Q1013" s="2"/>
      <c r="R1013" s="9"/>
      <c r="S1013" t="s">
        <v>44</v>
      </c>
      <c r="T1013" t="s">
        <v>45</v>
      </c>
      <c r="U1013" s="2" t="s">
        <v>792</v>
      </c>
      <c r="V1013" s="9" t="s">
        <v>3693</v>
      </c>
      <c r="W1013">
        <v>5.2260813759927995E+43</v>
      </c>
      <c r="X1013" t="s">
        <v>46</v>
      </c>
      <c r="Y1013" s="2" t="s">
        <v>717</v>
      </c>
      <c r="Z1013" s="2" t="s">
        <v>718</v>
      </c>
      <c r="AA1013" s="9" t="s">
        <v>715</v>
      </c>
      <c r="AC1013" s="2"/>
      <c r="AD1013" t="s">
        <v>7</v>
      </c>
      <c r="AE1013" t="s">
        <v>3694</v>
      </c>
    </row>
    <row r="1014" spans="1:31" x14ac:dyDescent="0.3">
      <c r="A1014" s="17">
        <v>90739624000118</v>
      </c>
      <c r="B1014" t="s">
        <v>8</v>
      </c>
      <c r="C1014">
        <v>22460</v>
      </c>
      <c r="D1014" t="s">
        <v>154</v>
      </c>
      <c r="E1014" t="s">
        <v>2</v>
      </c>
      <c r="F1014">
        <v>269308</v>
      </c>
      <c r="G1014" s="1" t="s">
        <v>3695</v>
      </c>
      <c r="H1014">
        <v>24768729</v>
      </c>
      <c r="I1014">
        <v>10505</v>
      </c>
      <c r="J1014" t="s">
        <v>144</v>
      </c>
      <c r="K1014" s="17">
        <v>37607755000169</v>
      </c>
      <c r="L1014" s="17">
        <v>9576274000106</v>
      </c>
      <c r="M1014" s="9">
        <v>269.10000000000002</v>
      </c>
      <c r="N1014" t="s">
        <v>43</v>
      </c>
      <c r="Q1014" s="2"/>
      <c r="R1014" s="9"/>
      <c r="S1014" t="s">
        <v>44</v>
      </c>
      <c r="T1014" t="s">
        <v>45</v>
      </c>
      <c r="U1014" s="2" t="s">
        <v>584</v>
      </c>
      <c r="V1014" s="9" t="s">
        <v>3696</v>
      </c>
      <c r="W1014">
        <v>4.1260837607755001E+43</v>
      </c>
      <c r="X1014" t="s">
        <v>46</v>
      </c>
      <c r="Y1014" s="2" t="s">
        <v>717</v>
      </c>
      <c r="Z1014" s="2" t="s">
        <v>718</v>
      </c>
      <c r="AA1014" s="9" t="s">
        <v>715</v>
      </c>
      <c r="AC1014" s="2"/>
      <c r="AD1014" t="s">
        <v>7</v>
      </c>
      <c r="AE1014" t="s">
        <v>3697</v>
      </c>
    </row>
    <row r="1015" spans="1:31" x14ac:dyDescent="0.3">
      <c r="A1015" s="17">
        <v>90739624000118</v>
      </c>
      <c r="B1015" t="s">
        <v>28</v>
      </c>
      <c r="D1015" t="s">
        <v>483</v>
      </c>
      <c r="E1015" t="s">
        <v>2</v>
      </c>
      <c r="F1015">
        <v>269308</v>
      </c>
      <c r="G1015" s="1" t="s">
        <v>3698</v>
      </c>
      <c r="H1015">
        <v>24768718</v>
      </c>
      <c r="I1015">
        <v>81145</v>
      </c>
      <c r="J1015" t="s">
        <v>48</v>
      </c>
      <c r="K1015" s="17">
        <v>1272434001002</v>
      </c>
      <c r="L1015" s="17">
        <v>90739624001947</v>
      </c>
      <c r="M1015" s="9">
        <v>245.42</v>
      </c>
      <c r="N1015" t="s">
        <v>43</v>
      </c>
      <c r="Q1015" s="2"/>
      <c r="R1015" s="9"/>
      <c r="S1015" t="s">
        <v>44</v>
      </c>
      <c r="T1015" t="s">
        <v>45</v>
      </c>
      <c r="U1015" s="2" t="s">
        <v>584</v>
      </c>
      <c r="V1015" s="9" t="s">
        <v>3699</v>
      </c>
      <c r="W1015">
        <v>5.2260801272433996E+43</v>
      </c>
      <c r="X1015" t="s">
        <v>46</v>
      </c>
      <c r="Y1015" s="2" t="s">
        <v>717</v>
      </c>
      <c r="Z1015" s="2" t="s">
        <v>718</v>
      </c>
      <c r="AA1015" s="9" t="s">
        <v>715</v>
      </c>
      <c r="AC1015" s="2"/>
      <c r="AD1015" t="s">
        <v>7</v>
      </c>
      <c r="AE1015" t="s">
        <v>3700</v>
      </c>
    </row>
    <row r="1016" spans="1:31" x14ac:dyDescent="0.3">
      <c r="A1016" s="17">
        <v>90739624000118</v>
      </c>
      <c r="B1016" t="s">
        <v>100</v>
      </c>
      <c r="C1016">
        <v>23340</v>
      </c>
      <c r="D1016" t="s">
        <v>229</v>
      </c>
      <c r="E1016" t="s">
        <v>2</v>
      </c>
      <c r="F1016">
        <v>269308</v>
      </c>
      <c r="G1016" s="1" t="s">
        <v>3701</v>
      </c>
      <c r="H1016">
        <v>24768716</v>
      </c>
      <c r="I1016">
        <v>131360</v>
      </c>
      <c r="J1016" t="s">
        <v>152</v>
      </c>
      <c r="K1016" s="17">
        <v>23891404000118</v>
      </c>
      <c r="L1016" s="17">
        <v>90739624001866</v>
      </c>
      <c r="M1016" s="9">
        <v>546.26</v>
      </c>
      <c r="N1016" t="s">
        <v>43</v>
      </c>
      <c r="Q1016" s="2"/>
      <c r="R1016" s="9"/>
      <c r="S1016" t="s">
        <v>44</v>
      </c>
      <c r="T1016" t="s">
        <v>45</v>
      </c>
      <c r="U1016" s="2" t="s">
        <v>584</v>
      </c>
      <c r="V1016" s="9" t="s">
        <v>3702</v>
      </c>
      <c r="W1016">
        <v>5.1260823891404E+43</v>
      </c>
      <c r="X1016" t="s">
        <v>46</v>
      </c>
      <c r="Y1016" s="2" t="s">
        <v>717</v>
      </c>
      <c r="Z1016" s="2" t="s">
        <v>718</v>
      </c>
      <c r="AA1016" s="9" t="s">
        <v>715</v>
      </c>
      <c r="AC1016" s="2"/>
      <c r="AD1016" t="s">
        <v>7</v>
      </c>
      <c r="AE1016" t="s">
        <v>3703</v>
      </c>
    </row>
    <row r="1017" spans="1:31" x14ac:dyDescent="0.3">
      <c r="A1017" s="17">
        <v>90739624000118</v>
      </c>
      <c r="B1017" t="s">
        <v>25</v>
      </c>
      <c r="D1017" t="s">
        <v>129</v>
      </c>
      <c r="E1017" t="s">
        <v>2</v>
      </c>
      <c r="F1017">
        <v>269308</v>
      </c>
      <c r="G1017" s="1" t="s">
        <v>3704</v>
      </c>
      <c r="H1017">
        <v>24768674</v>
      </c>
      <c r="I1017">
        <v>136046</v>
      </c>
      <c r="J1017" t="s">
        <v>258</v>
      </c>
      <c r="K1017" s="17">
        <v>26602128000119</v>
      </c>
      <c r="L1017" s="17">
        <v>90739624001866</v>
      </c>
      <c r="M1017" s="9">
        <v>155.86000000000001</v>
      </c>
      <c r="N1017" t="s">
        <v>43</v>
      </c>
      <c r="Q1017" s="2"/>
      <c r="R1017" s="9"/>
      <c r="S1017" t="s">
        <v>44</v>
      </c>
      <c r="T1017" t="s">
        <v>45</v>
      </c>
      <c r="U1017" s="2" t="s">
        <v>584</v>
      </c>
      <c r="V1017" s="9" t="s">
        <v>3705</v>
      </c>
      <c r="W1017">
        <v>5.1260826602127998E+43</v>
      </c>
      <c r="X1017" t="s">
        <v>46</v>
      </c>
      <c r="Y1017" s="2" t="s">
        <v>717</v>
      </c>
      <c r="Z1017" s="2" t="s">
        <v>718</v>
      </c>
      <c r="AA1017" s="9" t="s">
        <v>715</v>
      </c>
      <c r="AC1017" s="2"/>
      <c r="AD1017" t="s">
        <v>7</v>
      </c>
      <c r="AE1017" t="s">
        <v>3706</v>
      </c>
    </row>
    <row r="1018" spans="1:31" x14ac:dyDescent="0.3">
      <c r="A1018" s="17">
        <v>90739624000118</v>
      </c>
      <c r="B1018" t="s">
        <v>61</v>
      </c>
      <c r="D1018" t="s">
        <v>158</v>
      </c>
      <c r="E1018" t="s">
        <v>2</v>
      </c>
      <c r="F1018">
        <v>269308</v>
      </c>
      <c r="G1018" s="1" t="s">
        <v>3707</v>
      </c>
      <c r="H1018">
        <v>24768522</v>
      </c>
      <c r="I1018">
        <v>819803</v>
      </c>
      <c r="J1018" t="s">
        <v>62</v>
      </c>
      <c r="K1018" s="17">
        <v>79964177000591</v>
      </c>
      <c r="L1018" s="17">
        <v>9576274000106</v>
      </c>
      <c r="M1018" s="9">
        <v>465.88</v>
      </c>
      <c r="N1018" t="s">
        <v>43</v>
      </c>
      <c r="Q1018" s="2"/>
      <c r="R1018" s="9"/>
      <c r="S1018" t="s">
        <v>44</v>
      </c>
      <c r="T1018" t="s">
        <v>45</v>
      </c>
      <c r="U1018" s="2" t="s">
        <v>584</v>
      </c>
      <c r="V1018" s="9" t="s">
        <v>3708</v>
      </c>
      <c r="W1018">
        <v>4.1260879964176998E+43</v>
      </c>
      <c r="X1018" t="s">
        <v>46</v>
      </c>
      <c r="Y1018" s="2" t="s">
        <v>717</v>
      </c>
      <c r="Z1018" s="2" t="s">
        <v>718</v>
      </c>
      <c r="AA1018" s="9" t="s">
        <v>715</v>
      </c>
      <c r="AC1018" s="2"/>
      <c r="AD1018" t="s">
        <v>7</v>
      </c>
      <c r="AE1018" t="s">
        <v>3709</v>
      </c>
    </row>
    <row r="1019" spans="1:31" x14ac:dyDescent="0.3">
      <c r="A1019" s="17">
        <v>90739624000118</v>
      </c>
      <c r="B1019" t="s">
        <v>49</v>
      </c>
      <c r="D1019" t="s">
        <v>225</v>
      </c>
      <c r="E1019" t="s">
        <v>2</v>
      </c>
      <c r="F1019">
        <v>269308</v>
      </c>
      <c r="G1019" s="1" t="s">
        <v>3710</v>
      </c>
      <c r="H1019">
        <v>24768516</v>
      </c>
      <c r="I1019">
        <v>162788</v>
      </c>
      <c r="J1019" t="s">
        <v>51</v>
      </c>
      <c r="K1019" s="17">
        <v>2763612000161</v>
      </c>
      <c r="L1019" s="17">
        <v>90739624003133</v>
      </c>
      <c r="M1019" s="9">
        <v>218.26</v>
      </c>
      <c r="N1019" t="s">
        <v>43</v>
      </c>
      <c r="Q1019" s="2"/>
      <c r="R1019" s="9"/>
      <c r="S1019" t="s">
        <v>44</v>
      </c>
      <c r="T1019" t="s">
        <v>45</v>
      </c>
      <c r="U1019" s="2" t="s">
        <v>584</v>
      </c>
      <c r="V1019" s="9" t="s">
        <v>3711</v>
      </c>
      <c r="W1019">
        <v>4.1260802763612002E+43</v>
      </c>
      <c r="X1019" t="s">
        <v>46</v>
      </c>
      <c r="Y1019" s="2" t="s">
        <v>717</v>
      </c>
      <c r="Z1019" s="2" t="s">
        <v>718</v>
      </c>
      <c r="AA1019" s="9" t="s">
        <v>715</v>
      </c>
      <c r="AC1019" s="2"/>
      <c r="AD1019" t="s">
        <v>7</v>
      </c>
      <c r="AE1019" t="s">
        <v>3712</v>
      </c>
    </row>
    <row r="1020" spans="1:31" x14ac:dyDescent="0.3">
      <c r="A1020" s="17">
        <v>90739624000118</v>
      </c>
      <c r="B1020" t="s">
        <v>61</v>
      </c>
      <c r="D1020" t="s">
        <v>141</v>
      </c>
      <c r="E1020" t="s">
        <v>17</v>
      </c>
      <c r="F1020">
        <v>269308</v>
      </c>
      <c r="G1020" s="1" t="s">
        <v>3713</v>
      </c>
      <c r="H1020">
        <v>24768291</v>
      </c>
      <c r="I1020">
        <v>50475</v>
      </c>
      <c r="J1020" t="s">
        <v>507</v>
      </c>
      <c r="K1020" s="17">
        <v>3626094001330</v>
      </c>
      <c r="L1020" s="17">
        <v>9576274000106</v>
      </c>
      <c r="M1020" s="9">
        <v>36.47</v>
      </c>
      <c r="N1020" t="s">
        <v>43</v>
      </c>
      <c r="Q1020" s="2"/>
      <c r="R1020" s="9"/>
      <c r="S1020" t="s">
        <v>44</v>
      </c>
      <c r="T1020" t="s">
        <v>45</v>
      </c>
      <c r="U1020" s="2" t="s">
        <v>585</v>
      </c>
      <c r="V1020" s="9" t="s">
        <v>3714</v>
      </c>
      <c r="W1020">
        <v>4.1260803626093998E+43</v>
      </c>
      <c r="X1020" t="s">
        <v>46</v>
      </c>
      <c r="Y1020" s="2" t="s">
        <v>717</v>
      </c>
      <c r="Z1020" s="2" t="s">
        <v>718</v>
      </c>
      <c r="AA1020" s="9" t="s">
        <v>715</v>
      </c>
      <c r="AC1020" s="2"/>
      <c r="AD1020" t="s">
        <v>7</v>
      </c>
      <c r="AE1020" t="s">
        <v>3715</v>
      </c>
    </row>
    <row r="1021" spans="1:31" x14ac:dyDescent="0.3">
      <c r="A1021" s="17">
        <v>90739624000118</v>
      </c>
      <c r="B1021" t="s">
        <v>61</v>
      </c>
      <c r="D1021" t="s">
        <v>141</v>
      </c>
      <c r="E1021" t="s">
        <v>2</v>
      </c>
      <c r="F1021">
        <v>269308</v>
      </c>
      <c r="G1021" s="1" t="s">
        <v>3716</v>
      </c>
      <c r="H1021">
        <v>24768280</v>
      </c>
      <c r="I1021">
        <v>50474</v>
      </c>
      <c r="J1021" t="s">
        <v>507</v>
      </c>
      <c r="K1021" s="17">
        <v>3626094001330</v>
      </c>
      <c r="L1021" s="17">
        <v>9576274000106</v>
      </c>
      <c r="M1021" s="9">
        <v>1308.45</v>
      </c>
      <c r="N1021" t="s">
        <v>43</v>
      </c>
      <c r="Q1021" s="2"/>
      <c r="R1021" s="9"/>
      <c r="S1021" t="s">
        <v>44</v>
      </c>
      <c r="T1021" t="s">
        <v>45</v>
      </c>
      <c r="U1021" s="2" t="s">
        <v>585</v>
      </c>
      <c r="V1021" s="9" t="s">
        <v>3717</v>
      </c>
      <c r="W1021">
        <v>4.1260803626093998E+43</v>
      </c>
      <c r="X1021" t="s">
        <v>46</v>
      </c>
      <c r="Y1021" s="2" t="s">
        <v>717</v>
      </c>
      <c r="Z1021" s="2" t="s">
        <v>718</v>
      </c>
      <c r="AA1021" s="9" t="s">
        <v>715</v>
      </c>
      <c r="AC1021" s="2"/>
      <c r="AD1021" t="s">
        <v>7</v>
      </c>
      <c r="AE1021" t="s">
        <v>3718</v>
      </c>
    </row>
    <row r="1022" spans="1:31" x14ac:dyDescent="0.3">
      <c r="A1022" s="17">
        <v>90739624000118</v>
      </c>
      <c r="B1022" t="s">
        <v>58</v>
      </c>
      <c r="D1022" t="s">
        <v>687</v>
      </c>
      <c r="E1022" t="s">
        <v>2</v>
      </c>
      <c r="F1022">
        <v>269308</v>
      </c>
      <c r="G1022" s="1" t="s">
        <v>3719</v>
      </c>
      <c r="H1022">
        <v>24768241</v>
      </c>
      <c r="I1022">
        <v>3894</v>
      </c>
      <c r="J1022" t="s">
        <v>3720</v>
      </c>
      <c r="K1022" s="17">
        <v>7473735022070</v>
      </c>
      <c r="L1022" s="17">
        <v>90739624002323</v>
      </c>
      <c r="M1022" s="9">
        <v>545.08000000000004</v>
      </c>
      <c r="N1022" t="s">
        <v>43</v>
      </c>
      <c r="Q1022" s="2"/>
      <c r="R1022" s="9"/>
      <c r="S1022" t="s">
        <v>44</v>
      </c>
      <c r="T1022" t="s">
        <v>45</v>
      </c>
      <c r="U1022" s="2" t="s">
        <v>584</v>
      </c>
      <c r="V1022" s="9" t="s">
        <v>3721</v>
      </c>
      <c r="W1022">
        <v>4.3260807473734999E+43</v>
      </c>
      <c r="X1022" t="s">
        <v>46</v>
      </c>
      <c r="Y1022" s="2" t="s">
        <v>717</v>
      </c>
      <c r="Z1022" s="2" t="s">
        <v>718</v>
      </c>
      <c r="AA1022" s="9" t="s">
        <v>715</v>
      </c>
      <c r="AC1022" s="2"/>
      <c r="AD1022" t="s">
        <v>7</v>
      </c>
      <c r="AE1022" t="s">
        <v>3722</v>
      </c>
    </row>
    <row r="1023" spans="1:31" x14ac:dyDescent="0.3">
      <c r="A1023" s="17">
        <v>90739624000118</v>
      </c>
      <c r="B1023" t="s">
        <v>49</v>
      </c>
      <c r="C1023">
        <v>23846</v>
      </c>
      <c r="D1023" t="s">
        <v>597</v>
      </c>
      <c r="E1023" t="s">
        <v>2</v>
      </c>
      <c r="F1023">
        <v>269308</v>
      </c>
      <c r="G1023" s="1" t="s">
        <v>3723</v>
      </c>
      <c r="H1023">
        <v>24768162</v>
      </c>
      <c r="I1023">
        <v>162782</v>
      </c>
      <c r="J1023" t="s">
        <v>51</v>
      </c>
      <c r="K1023" s="17">
        <v>2763612000161</v>
      </c>
      <c r="L1023" s="17">
        <v>90739624003133</v>
      </c>
      <c r="M1023" s="9">
        <v>215.72</v>
      </c>
      <c r="N1023" t="s">
        <v>43</v>
      </c>
      <c r="Q1023" s="2"/>
      <c r="R1023" s="9"/>
      <c r="S1023" t="s">
        <v>44</v>
      </c>
      <c r="T1023" t="s">
        <v>45</v>
      </c>
      <c r="U1023" s="2" t="s">
        <v>584</v>
      </c>
      <c r="V1023" s="9" t="s">
        <v>3724</v>
      </c>
      <c r="W1023">
        <v>4.1260802763612002E+43</v>
      </c>
      <c r="X1023" t="s">
        <v>46</v>
      </c>
      <c r="Y1023" s="2" t="s">
        <v>717</v>
      </c>
      <c r="Z1023" s="2" t="s">
        <v>718</v>
      </c>
      <c r="AA1023" s="9" t="s">
        <v>715</v>
      </c>
      <c r="AC1023" s="2"/>
      <c r="AD1023" t="s">
        <v>7</v>
      </c>
      <c r="AE1023" t="s">
        <v>3725</v>
      </c>
    </row>
    <row r="1024" spans="1:31" x14ac:dyDescent="0.3">
      <c r="A1024" s="17">
        <v>90739624000118</v>
      </c>
      <c r="B1024" t="s">
        <v>25</v>
      </c>
      <c r="D1024" t="s">
        <v>460</v>
      </c>
      <c r="E1024" t="s">
        <v>2</v>
      </c>
      <c r="F1024">
        <v>269308</v>
      </c>
      <c r="G1024" s="1" t="s">
        <v>3726</v>
      </c>
      <c r="H1024">
        <v>24768161</v>
      </c>
      <c r="I1024">
        <v>1807</v>
      </c>
      <c r="J1024" t="s">
        <v>80</v>
      </c>
      <c r="K1024" s="17">
        <v>8603562001103</v>
      </c>
      <c r="L1024" s="17">
        <v>90739624001866</v>
      </c>
      <c r="M1024" s="9">
        <v>181.05</v>
      </c>
      <c r="N1024" t="s">
        <v>43</v>
      </c>
      <c r="Q1024" s="2"/>
      <c r="R1024" s="9"/>
      <c r="S1024" t="s">
        <v>44</v>
      </c>
      <c r="T1024" t="s">
        <v>45</v>
      </c>
      <c r="U1024" s="2" t="s">
        <v>585</v>
      </c>
      <c r="V1024" s="9" t="s">
        <v>3727</v>
      </c>
      <c r="W1024">
        <v>5.1260808603562005E+43</v>
      </c>
      <c r="X1024" t="s">
        <v>46</v>
      </c>
      <c r="Y1024" s="2" t="s">
        <v>717</v>
      </c>
      <c r="Z1024" s="2" t="s">
        <v>718</v>
      </c>
      <c r="AA1024" s="9" t="s">
        <v>715</v>
      </c>
      <c r="AC1024" s="2"/>
      <c r="AD1024" t="s">
        <v>7</v>
      </c>
      <c r="AE1024" t="s">
        <v>3728</v>
      </c>
    </row>
    <row r="1025" spans="1:31" x14ac:dyDescent="0.3">
      <c r="A1025" s="17">
        <v>90739624000118</v>
      </c>
      <c r="B1025" t="s">
        <v>40</v>
      </c>
      <c r="D1025" t="s">
        <v>321</v>
      </c>
      <c r="E1025" t="s">
        <v>2</v>
      </c>
      <c r="F1025">
        <v>269308</v>
      </c>
      <c r="G1025" s="1" t="s">
        <v>3729</v>
      </c>
      <c r="H1025">
        <v>24768147</v>
      </c>
      <c r="I1025">
        <v>168160</v>
      </c>
      <c r="J1025" t="s">
        <v>42</v>
      </c>
      <c r="K1025" s="17">
        <v>82156977000248</v>
      </c>
      <c r="L1025" s="17">
        <v>90739624001432</v>
      </c>
      <c r="M1025" s="9">
        <v>271.52</v>
      </c>
      <c r="N1025" t="s">
        <v>43</v>
      </c>
      <c r="Q1025" s="2"/>
      <c r="R1025" s="9"/>
      <c r="S1025" t="s">
        <v>44</v>
      </c>
      <c r="T1025" t="s">
        <v>45</v>
      </c>
      <c r="U1025" s="2" t="s">
        <v>584</v>
      </c>
      <c r="V1025" s="9" t="s">
        <v>3730</v>
      </c>
      <c r="W1025">
        <v>4.2260882156977001E+43</v>
      </c>
      <c r="X1025" t="s">
        <v>46</v>
      </c>
      <c r="Y1025" s="2" t="s">
        <v>717</v>
      </c>
      <c r="Z1025" s="2" t="s">
        <v>718</v>
      </c>
      <c r="AA1025" s="9" t="s">
        <v>715</v>
      </c>
      <c r="AC1025" s="2"/>
      <c r="AD1025" t="s">
        <v>7</v>
      </c>
      <c r="AE1025" t="s">
        <v>3731</v>
      </c>
    </row>
    <row r="1026" spans="1:31" x14ac:dyDescent="0.3">
      <c r="A1026" s="17">
        <v>90739624000118</v>
      </c>
      <c r="B1026" t="s">
        <v>8</v>
      </c>
      <c r="C1026">
        <v>26249</v>
      </c>
      <c r="D1026" t="s">
        <v>76</v>
      </c>
      <c r="E1026" t="s">
        <v>17</v>
      </c>
      <c r="F1026">
        <v>269308</v>
      </c>
      <c r="G1026" s="1" t="s">
        <v>3732</v>
      </c>
      <c r="H1026">
        <v>24768125</v>
      </c>
      <c r="I1026">
        <v>296722</v>
      </c>
      <c r="J1026" t="s">
        <v>467</v>
      </c>
      <c r="K1026" s="17">
        <v>84923127000172</v>
      </c>
      <c r="L1026" s="17">
        <v>90739624003133</v>
      </c>
      <c r="M1026" s="9">
        <v>32.65</v>
      </c>
      <c r="N1026" t="s">
        <v>43</v>
      </c>
      <c r="Q1026" s="2"/>
      <c r="R1026" s="9"/>
      <c r="S1026" t="s">
        <v>44</v>
      </c>
      <c r="T1026" t="s">
        <v>45</v>
      </c>
      <c r="U1026" s="2" t="s">
        <v>584</v>
      </c>
      <c r="V1026" s="9" t="s">
        <v>3733</v>
      </c>
      <c r="W1026">
        <v>4.1260884923127002E+43</v>
      </c>
      <c r="X1026" t="s">
        <v>46</v>
      </c>
      <c r="Y1026" s="2" t="s">
        <v>717</v>
      </c>
      <c r="Z1026" s="2" t="s">
        <v>718</v>
      </c>
      <c r="AA1026" s="9" t="s">
        <v>715</v>
      </c>
      <c r="AC1026" s="2"/>
      <c r="AD1026" t="s">
        <v>7</v>
      </c>
      <c r="AE1026" t="s">
        <v>3734</v>
      </c>
    </row>
    <row r="1027" spans="1:31" x14ac:dyDescent="0.3">
      <c r="A1027" s="17">
        <v>90739624000118</v>
      </c>
      <c r="B1027" t="s">
        <v>8</v>
      </c>
      <c r="C1027">
        <v>26249</v>
      </c>
      <c r="D1027" t="s">
        <v>76</v>
      </c>
      <c r="E1027" t="s">
        <v>2</v>
      </c>
      <c r="F1027">
        <v>269308</v>
      </c>
      <c r="G1027" s="1" t="s">
        <v>3735</v>
      </c>
      <c r="H1027">
        <v>24768030</v>
      </c>
      <c r="I1027">
        <v>296721</v>
      </c>
      <c r="J1027" t="s">
        <v>467</v>
      </c>
      <c r="K1027" s="17">
        <v>84923127000172</v>
      </c>
      <c r="L1027" s="17">
        <v>90739624003133</v>
      </c>
      <c r="M1027" s="9">
        <v>1083.24</v>
      </c>
      <c r="N1027" t="s">
        <v>43</v>
      </c>
      <c r="Q1027" s="2"/>
      <c r="R1027" s="9"/>
      <c r="S1027" t="s">
        <v>44</v>
      </c>
      <c r="T1027" t="s">
        <v>45</v>
      </c>
      <c r="U1027" s="2" t="s">
        <v>584</v>
      </c>
      <c r="V1027" s="9" t="s">
        <v>3736</v>
      </c>
      <c r="W1027">
        <v>4.1260884923127002E+43</v>
      </c>
      <c r="X1027" t="s">
        <v>46</v>
      </c>
      <c r="Y1027" s="2" t="s">
        <v>717</v>
      </c>
      <c r="Z1027" s="2" t="s">
        <v>718</v>
      </c>
      <c r="AA1027" s="9" t="s">
        <v>715</v>
      </c>
      <c r="AC1027" s="2"/>
      <c r="AD1027" t="s">
        <v>7</v>
      </c>
      <c r="AE1027" t="s">
        <v>3737</v>
      </c>
    </row>
    <row r="1028" spans="1:31" x14ac:dyDescent="0.3">
      <c r="A1028" s="17">
        <v>90739624000118</v>
      </c>
      <c r="B1028" t="s">
        <v>52</v>
      </c>
      <c r="C1028">
        <v>22463</v>
      </c>
      <c r="D1028" t="s">
        <v>187</v>
      </c>
      <c r="E1028" t="s">
        <v>2</v>
      </c>
      <c r="F1028">
        <v>269308</v>
      </c>
      <c r="G1028" s="1" t="s">
        <v>3738</v>
      </c>
      <c r="H1028">
        <v>24768009</v>
      </c>
      <c r="I1028">
        <v>40606</v>
      </c>
      <c r="J1028" t="s">
        <v>545</v>
      </c>
      <c r="K1028" s="17">
        <v>30429333000282</v>
      </c>
      <c r="L1028" s="17">
        <v>9576274000106</v>
      </c>
      <c r="M1028" s="9">
        <v>307.79000000000002</v>
      </c>
      <c r="N1028" t="s">
        <v>43</v>
      </c>
      <c r="Q1028" s="2"/>
      <c r="R1028" s="9"/>
      <c r="S1028" t="s">
        <v>44</v>
      </c>
      <c r="T1028" t="s">
        <v>45</v>
      </c>
      <c r="U1028" s="2" t="s">
        <v>584</v>
      </c>
      <c r="V1028" s="9" t="s">
        <v>3739</v>
      </c>
      <c r="W1028">
        <v>4.1260830429333002E+43</v>
      </c>
      <c r="X1028" t="s">
        <v>46</v>
      </c>
      <c r="Y1028" s="2" t="s">
        <v>717</v>
      </c>
      <c r="Z1028" s="2" t="s">
        <v>718</v>
      </c>
      <c r="AA1028" s="9" t="s">
        <v>715</v>
      </c>
      <c r="AC1028" s="2"/>
      <c r="AD1028" t="s">
        <v>7</v>
      </c>
      <c r="AE1028" t="s">
        <v>3740</v>
      </c>
    </row>
    <row r="1029" spans="1:31" x14ac:dyDescent="0.3">
      <c r="A1029" s="17">
        <v>90739624000118</v>
      </c>
      <c r="B1029" t="s">
        <v>28</v>
      </c>
      <c r="C1029">
        <v>20087</v>
      </c>
      <c r="D1029" t="s">
        <v>219</v>
      </c>
      <c r="E1029" t="s">
        <v>2</v>
      </c>
      <c r="F1029">
        <v>269308</v>
      </c>
      <c r="G1029" s="1" t="s">
        <v>3741</v>
      </c>
      <c r="H1029">
        <v>24767809</v>
      </c>
      <c r="I1029">
        <v>38298</v>
      </c>
      <c r="J1029" t="s">
        <v>209</v>
      </c>
      <c r="K1029" s="17">
        <v>33360405000190</v>
      </c>
      <c r="L1029" s="17">
        <v>90739624001947</v>
      </c>
      <c r="M1029" s="9">
        <v>237.76</v>
      </c>
      <c r="N1029" t="s">
        <v>43</v>
      </c>
      <c r="Q1029" s="2"/>
      <c r="R1029" s="9"/>
      <c r="S1029" t="s">
        <v>44</v>
      </c>
      <c r="T1029" t="s">
        <v>45</v>
      </c>
      <c r="U1029" s="2" t="s">
        <v>584</v>
      </c>
      <c r="V1029" s="9" t="s">
        <v>3742</v>
      </c>
      <c r="W1029">
        <v>5.2260833360404998E+43</v>
      </c>
      <c r="X1029" t="s">
        <v>46</v>
      </c>
      <c r="Y1029" s="2" t="s">
        <v>717</v>
      </c>
      <c r="Z1029" s="2" t="s">
        <v>718</v>
      </c>
      <c r="AA1029" s="9" t="s">
        <v>715</v>
      </c>
      <c r="AC1029" s="2"/>
      <c r="AD1029" t="s">
        <v>7</v>
      </c>
      <c r="AE1029" t="s">
        <v>3743</v>
      </c>
    </row>
    <row r="1030" spans="1:31" x14ac:dyDescent="0.3">
      <c r="A1030" s="17">
        <v>90739624000118</v>
      </c>
      <c r="B1030" t="s">
        <v>40</v>
      </c>
      <c r="D1030" t="s">
        <v>217</v>
      </c>
      <c r="E1030" t="s">
        <v>2</v>
      </c>
      <c r="F1030">
        <v>269308</v>
      </c>
      <c r="G1030" s="1" t="s">
        <v>3744</v>
      </c>
      <c r="H1030">
        <v>24767760</v>
      </c>
      <c r="I1030">
        <v>168159</v>
      </c>
      <c r="J1030" t="s">
        <v>42</v>
      </c>
      <c r="K1030" s="17">
        <v>82156977000248</v>
      </c>
      <c r="L1030" s="17">
        <v>90739624001432</v>
      </c>
      <c r="M1030" s="9">
        <v>545.09</v>
      </c>
      <c r="N1030" t="s">
        <v>43</v>
      </c>
      <c r="Q1030" s="2"/>
      <c r="R1030" s="9"/>
      <c r="S1030" t="s">
        <v>44</v>
      </c>
      <c r="T1030" t="s">
        <v>45</v>
      </c>
      <c r="U1030" s="2" t="s">
        <v>584</v>
      </c>
      <c r="V1030" s="9" t="s">
        <v>3745</v>
      </c>
      <c r="W1030">
        <v>4.2260882156977001E+43</v>
      </c>
      <c r="X1030" t="s">
        <v>46</v>
      </c>
      <c r="Y1030" s="2" t="s">
        <v>717</v>
      </c>
      <c r="Z1030" s="2" t="s">
        <v>718</v>
      </c>
      <c r="AA1030" s="9" t="s">
        <v>715</v>
      </c>
      <c r="AC1030" s="2"/>
      <c r="AD1030" t="s">
        <v>7</v>
      </c>
      <c r="AE1030" t="s">
        <v>3746</v>
      </c>
    </row>
    <row r="1031" spans="1:31" x14ac:dyDescent="0.3">
      <c r="A1031" s="17">
        <v>90739624000118</v>
      </c>
      <c r="B1031" t="s">
        <v>49</v>
      </c>
      <c r="C1031">
        <v>22473</v>
      </c>
      <c r="D1031" t="s">
        <v>523</v>
      </c>
      <c r="E1031" t="s">
        <v>2</v>
      </c>
      <c r="F1031">
        <v>269308</v>
      </c>
      <c r="G1031" s="1" t="s">
        <v>3747</v>
      </c>
      <c r="H1031">
        <v>24767528</v>
      </c>
      <c r="I1031">
        <v>162778</v>
      </c>
      <c r="J1031" t="s">
        <v>51</v>
      </c>
      <c r="K1031" s="17">
        <v>2763612000161</v>
      </c>
      <c r="L1031" s="17">
        <v>90739624003133</v>
      </c>
      <c r="M1031" s="9">
        <v>192.64</v>
      </c>
      <c r="N1031" t="s">
        <v>43</v>
      </c>
      <c r="Q1031" s="2"/>
      <c r="R1031" s="9"/>
      <c r="S1031" t="s">
        <v>44</v>
      </c>
      <c r="T1031" t="s">
        <v>45</v>
      </c>
      <c r="U1031" s="2" t="s">
        <v>584</v>
      </c>
      <c r="V1031" s="9" t="s">
        <v>3748</v>
      </c>
      <c r="W1031">
        <v>4.1260802763612002E+43</v>
      </c>
      <c r="X1031" t="s">
        <v>46</v>
      </c>
      <c r="Y1031" s="2" t="s">
        <v>717</v>
      </c>
      <c r="Z1031" s="2" t="s">
        <v>718</v>
      </c>
      <c r="AA1031" s="9" t="s">
        <v>715</v>
      </c>
      <c r="AC1031" s="2"/>
      <c r="AD1031" t="s">
        <v>7</v>
      </c>
      <c r="AE1031" t="s">
        <v>3749</v>
      </c>
    </row>
    <row r="1032" spans="1:31" x14ac:dyDescent="0.3">
      <c r="A1032" s="17">
        <v>90739624000118</v>
      </c>
      <c r="B1032" t="s">
        <v>58</v>
      </c>
      <c r="C1032">
        <v>25067</v>
      </c>
      <c r="D1032" t="s">
        <v>361</v>
      </c>
      <c r="E1032" t="s">
        <v>2</v>
      </c>
      <c r="F1032">
        <v>269308</v>
      </c>
      <c r="G1032" s="1" t="s">
        <v>3750</v>
      </c>
      <c r="H1032">
        <v>24767354</v>
      </c>
      <c r="I1032">
        <v>150548</v>
      </c>
      <c r="J1032" t="s">
        <v>640</v>
      </c>
      <c r="K1032" s="17">
        <v>7473735015294</v>
      </c>
      <c r="L1032" s="17">
        <v>90739624002323</v>
      </c>
      <c r="M1032" s="9">
        <v>220.65</v>
      </c>
      <c r="N1032" t="s">
        <v>43</v>
      </c>
      <c r="Q1032" s="2"/>
      <c r="R1032" s="9"/>
      <c r="S1032" t="s">
        <v>44</v>
      </c>
      <c r="T1032" t="s">
        <v>45</v>
      </c>
      <c r="U1032" s="2" t="s">
        <v>584</v>
      </c>
      <c r="V1032" s="9" t="s">
        <v>642</v>
      </c>
      <c r="W1032">
        <v>4.3260807473734999E+43</v>
      </c>
      <c r="X1032" t="s">
        <v>46</v>
      </c>
      <c r="Y1032" s="2" t="s">
        <v>717</v>
      </c>
      <c r="Z1032" s="2" t="s">
        <v>718</v>
      </c>
      <c r="AA1032" s="9" t="s">
        <v>715</v>
      </c>
      <c r="AC1032" s="2"/>
      <c r="AD1032" t="s">
        <v>7</v>
      </c>
      <c r="AE1032" t="s">
        <v>3751</v>
      </c>
    </row>
    <row r="1033" spans="1:31" x14ac:dyDescent="0.3">
      <c r="A1033" s="17">
        <v>90739624000118</v>
      </c>
      <c r="B1033" t="s">
        <v>8</v>
      </c>
      <c r="C1033">
        <v>21139</v>
      </c>
      <c r="D1033" t="s">
        <v>251</v>
      </c>
      <c r="E1033" t="s">
        <v>2</v>
      </c>
      <c r="F1033">
        <v>269308</v>
      </c>
      <c r="G1033" s="1" t="s">
        <v>3752</v>
      </c>
      <c r="H1033">
        <v>24767350</v>
      </c>
      <c r="I1033">
        <v>20814</v>
      </c>
      <c r="J1033" t="s">
        <v>239</v>
      </c>
      <c r="K1033" s="17">
        <v>5291412000141</v>
      </c>
      <c r="L1033" s="17">
        <v>9576274000106</v>
      </c>
      <c r="M1033" s="9">
        <v>325.82</v>
      </c>
      <c r="N1033" t="s">
        <v>43</v>
      </c>
      <c r="Q1033" s="2"/>
      <c r="R1033" s="9"/>
      <c r="S1033" t="s">
        <v>44</v>
      </c>
      <c r="T1033" t="s">
        <v>45</v>
      </c>
      <c r="U1033" s="2" t="s">
        <v>584</v>
      </c>
      <c r="V1033" s="9" t="s">
        <v>3753</v>
      </c>
      <c r="W1033">
        <v>4.1260805291411999E+43</v>
      </c>
      <c r="X1033" t="s">
        <v>46</v>
      </c>
      <c r="Y1033" s="2" t="s">
        <v>717</v>
      </c>
      <c r="Z1033" s="2" t="s">
        <v>718</v>
      </c>
      <c r="AA1033" s="9" t="s">
        <v>715</v>
      </c>
      <c r="AC1033" s="2"/>
      <c r="AD1033" t="s">
        <v>7</v>
      </c>
      <c r="AE1033" t="s">
        <v>3754</v>
      </c>
    </row>
    <row r="1034" spans="1:31" x14ac:dyDescent="0.3">
      <c r="A1034" s="17">
        <v>90739624000118</v>
      </c>
      <c r="B1034" t="s">
        <v>100</v>
      </c>
      <c r="D1034" t="s">
        <v>101</v>
      </c>
      <c r="E1034" t="s">
        <v>2</v>
      </c>
      <c r="F1034">
        <v>269308</v>
      </c>
      <c r="G1034" s="1" t="s">
        <v>3755</v>
      </c>
      <c r="H1034">
        <v>24767279</v>
      </c>
      <c r="I1034">
        <v>52707</v>
      </c>
      <c r="J1034" t="s">
        <v>486</v>
      </c>
      <c r="K1034" s="17">
        <v>58446194000133</v>
      </c>
      <c r="L1034" s="17">
        <v>90739624001947</v>
      </c>
      <c r="M1034" s="9">
        <v>441.59</v>
      </c>
      <c r="N1034" t="s">
        <v>43</v>
      </c>
      <c r="Q1034" s="2"/>
      <c r="R1034" s="9"/>
      <c r="S1034" t="s">
        <v>44</v>
      </c>
      <c r="T1034" t="s">
        <v>45</v>
      </c>
      <c r="U1034" s="2" t="s">
        <v>584</v>
      </c>
      <c r="V1034" s="9" t="s">
        <v>3756</v>
      </c>
      <c r="W1034">
        <v>5.2260858446193998E+43</v>
      </c>
      <c r="X1034" t="s">
        <v>46</v>
      </c>
      <c r="Y1034" s="2" t="s">
        <v>717</v>
      </c>
      <c r="Z1034" s="2" t="s">
        <v>718</v>
      </c>
      <c r="AA1034" s="9" t="s">
        <v>715</v>
      </c>
      <c r="AC1034" s="2"/>
      <c r="AD1034" t="s">
        <v>7</v>
      </c>
      <c r="AE1034" t="s">
        <v>3757</v>
      </c>
    </row>
    <row r="1035" spans="1:31" x14ac:dyDescent="0.3">
      <c r="A1035" s="17">
        <v>90739624000118</v>
      </c>
      <c r="B1035" t="s">
        <v>40</v>
      </c>
      <c r="C1035">
        <v>26121</v>
      </c>
      <c r="D1035" t="s">
        <v>41</v>
      </c>
      <c r="E1035" t="s">
        <v>2</v>
      </c>
      <c r="F1035">
        <v>269308</v>
      </c>
      <c r="G1035" s="1" t="s">
        <v>3758</v>
      </c>
      <c r="H1035">
        <v>24766252</v>
      </c>
      <c r="I1035">
        <v>168154</v>
      </c>
      <c r="J1035" t="s">
        <v>42</v>
      </c>
      <c r="K1035" s="17">
        <v>82156977000248</v>
      </c>
      <c r="L1035" s="17">
        <v>90739624001432</v>
      </c>
      <c r="M1035" s="9">
        <v>291.60000000000002</v>
      </c>
      <c r="N1035" t="s">
        <v>43</v>
      </c>
      <c r="Q1035" s="2"/>
      <c r="R1035" s="9"/>
      <c r="S1035" t="s">
        <v>44</v>
      </c>
      <c r="T1035" t="s">
        <v>45</v>
      </c>
      <c r="U1035" s="2" t="s">
        <v>584</v>
      </c>
      <c r="V1035" s="9" t="s">
        <v>3759</v>
      </c>
      <c r="W1035">
        <v>4.2260882156977001E+43</v>
      </c>
      <c r="X1035" t="s">
        <v>46</v>
      </c>
      <c r="Y1035" s="2" t="s">
        <v>717</v>
      </c>
      <c r="Z1035" s="2" t="s">
        <v>718</v>
      </c>
      <c r="AA1035" s="9" t="s">
        <v>715</v>
      </c>
      <c r="AC1035" s="2"/>
      <c r="AD1035" t="s">
        <v>7</v>
      </c>
      <c r="AE1035" t="s">
        <v>3760</v>
      </c>
    </row>
    <row r="1036" spans="1:31" x14ac:dyDescent="0.3">
      <c r="A1036" s="17">
        <v>90739624000118</v>
      </c>
      <c r="B1036" t="s">
        <v>61</v>
      </c>
      <c r="C1036">
        <v>17706</v>
      </c>
      <c r="D1036" t="s">
        <v>484</v>
      </c>
      <c r="E1036" t="s">
        <v>2</v>
      </c>
      <c r="F1036">
        <v>269308</v>
      </c>
      <c r="G1036" s="1" t="s">
        <v>3761</v>
      </c>
      <c r="H1036">
        <v>24764936</v>
      </c>
      <c r="I1036">
        <v>2491</v>
      </c>
      <c r="J1036" t="s">
        <v>85</v>
      </c>
      <c r="K1036" s="17">
        <v>1975878000105</v>
      </c>
      <c r="L1036" s="17">
        <v>9576274000106</v>
      </c>
      <c r="M1036" s="9">
        <v>267.88</v>
      </c>
      <c r="N1036" t="s">
        <v>43</v>
      </c>
      <c r="Q1036" s="2"/>
      <c r="R1036" s="9"/>
      <c r="S1036" t="s">
        <v>44</v>
      </c>
      <c r="T1036" t="s">
        <v>45</v>
      </c>
      <c r="U1036" s="2" t="s">
        <v>584</v>
      </c>
      <c r="V1036" s="9" t="s">
        <v>3762</v>
      </c>
      <c r="W1036">
        <v>4.1260801975878E+43</v>
      </c>
      <c r="X1036" t="s">
        <v>46</v>
      </c>
      <c r="Y1036" s="2" t="s">
        <v>717</v>
      </c>
      <c r="Z1036" s="2" t="s">
        <v>718</v>
      </c>
      <c r="AA1036" s="9" t="s">
        <v>715</v>
      </c>
      <c r="AC1036" s="2"/>
      <c r="AD1036" t="s">
        <v>7</v>
      </c>
      <c r="AE1036" t="s">
        <v>3763</v>
      </c>
    </row>
    <row r="1037" spans="1:31" x14ac:dyDescent="0.3">
      <c r="A1037" s="17">
        <v>90739624000118</v>
      </c>
      <c r="B1037" t="s">
        <v>73</v>
      </c>
      <c r="C1037">
        <v>26117</v>
      </c>
      <c r="D1037" t="s">
        <v>347</v>
      </c>
      <c r="E1037" t="s">
        <v>2</v>
      </c>
      <c r="F1037">
        <v>269308</v>
      </c>
      <c r="G1037" s="1" t="s">
        <v>3764</v>
      </c>
      <c r="H1037">
        <v>24764197</v>
      </c>
      <c r="I1037">
        <v>8804</v>
      </c>
      <c r="J1037" t="s">
        <v>262</v>
      </c>
      <c r="K1037" s="17">
        <v>7473735001587</v>
      </c>
      <c r="L1037" s="17">
        <v>90739624002323</v>
      </c>
      <c r="M1037" s="9">
        <v>343.21</v>
      </c>
      <c r="N1037" t="s">
        <v>43</v>
      </c>
      <c r="Q1037" s="2"/>
      <c r="R1037" s="9"/>
      <c r="S1037" t="s">
        <v>44</v>
      </c>
      <c r="T1037" t="s">
        <v>45</v>
      </c>
      <c r="U1037" s="2" t="s">
        <v>584</v>
      </c>
      <c r="V1037" s="9" t="s">
        <v>3765</v>
      </c>
      <c r="W1037">
        <v>4.3260807473734999E+43</v>
      </c>
      <c r="X1037" t="s">
        <v>46</v>
      </c>
      <c r="Y1037" s="2" t="s">
        <v>717</v>
      </c>
      <c r="Z1037" s="2" t="s">
        <v>718</v>
      </c>
      <c r="AA1037" s="9" t="s">
        <v>715</v>
      </c>
      <c r="AC1037" s="2"/>
      <c r="AD1037" t="s">
        <v>7</v>
      </c>
      <c r="AE1037" t="s">
        <v>3766</v>
      </c>
    </row>
    <row r="1038" spans="1:31" x14ac:dyDescent="0.3">
      <c r="A1038" s="17">
        <v>90739624000118</v>
      </c>
      <c r="B1038" t="s">
        <v>52</v>
      </c>
      <c r="C1038">
        <v>21148</v>
      </c>
      <c r="D1038" t="s">
        <v>53</v>
      </c>
      <c r="E1038" t="s">
        <v>2</v>
      </c>
      <c r="F1038">
        <v>269308</v>
      </c>
      <c r="G1038" s="1" t="s">
        <v>3767</v>
      </c>
      <c r="H1038">
        <v>24764023</v>
      </c>
      <c r="I1038">
        <v>20201</v>
      </c>
      <c r="J1038" t="s">
        <v>54</v>
      </c>
      <c r="K1038" s="17">
        <v>79130647000198</v>
      </c>
      <c r="L1038" s="17">
        <v>9576274000106</v>
      </c>
      <c r="M1038" s="9">
        <v>389.01</v>
      </c>
      <c r="N1038" t="s">
        <v>43</v>
      </c>
      <c r="Q1038" s="2"/>
      <c r="R1038" s="9"/>
      <c r="S1038" t="s">
        <v>44</v>
      </c>
      <c r="T1038" t="s">
        <v>45</v>
      </c>
      <c r="U1038" s="2" t="s">
        <v>584</v>
      </c>
      <c r="V1038" s="9" t="s">
        <v>3769</v>
      </c>
      <c r="W1038">
        <v>4.1260879130646998E+43</v>
      </c>
      <c r="X1038" t="s">
        <v>46</v>
      </c>
      <c r="Y1038" s="2" t="s">
        <v>717</v>
      </c>
      <c r="Z1038" s="2" t="s">
        <v>718</v>
      </c>
      <c r="AA1038" s="9" t="s">
        <v>715</v>
      </c>
      <c r="AC1038" s="2"/>
      <c r="AD1038" t="s">
        <v>7</v>
      </c>
      <c r="AE1038" t="s">
        <v>3770</v>
      </c>
    </row>
    <row r="1039" spans="1:31" x14ac:dyDescent="0.3">
      <c r="A1039" s="17">
        <v>90739624000118</v>
      </c>
      <c r="B1039" t="s">
        <v>28</v>
      </c>
      <c r="D1039" t="s">
        <v>511</v>
      </c>
      <c r="E1039" t="s">
        <v>2</v>
      </c>
      <c r="F1039">
        <v>269308</v>
      </c>
      <c r="G1039" s="1" t="s">
        <v>3771</v>
      </c>
      <c r="H1039">
        <v>24763279</v>
      </c>
      <c r="I1039">
        <v>112816</v>
      </c>
      <c r="J1039" t="s">
        <v>29</v>
      </c>
      <c r="K1039" s="17">
        <v>47377960000139</v>
      </c>
      <c r="L1039" s="17">
        <v>90739624001947</v>
      </c>
      <c r="M1039" s="9">
        <v>181.61</v>
      </c>
      <c r="N1039" t="s">
        <v>43</v>
      </c>
      <c r="Q1039" s="2"/>
      <c r="R1039" s="9"/>
      <c r="S1039" t="s">
        <v>44</v>
      </c>
      <c r="T1039" t="s">
        <v>45</v>
      </c>
      <c r="U1039" s="2" t="s">
        <v>584</v>
      </c>
      <c r="V1039" s="9" t="s">
        <v>3772</v>
      </c>
      <c r="W1039">
        <v>5.2260847377959996E+43</v>
      </c>
      <c r="X1039" t="s">
        <v>46</v>
      </c>
      <c r="Y1039" s="2" t="s">
        <v>717</v>
      </c>
      <c r="Z1039" s="2" t="s">
        <v>718</v>
      </c>
      <c r="AA1039" s="9" t="s">
        <v>715</v>
      </c>
      <c r="AC1039" s="2"/>
      <c r="AD1039" t="s">
        <v>7</v>
      </c>
      <c r="AE1039" t="s">
        <v>3773</v>
      </c>
    </row>
    <row r="1040" spans="1:31" x14ac:dyDescent="0.3">
      <c r="A1040" s="17">
        <v>90739624000118</v>
      </c>
      <c r="B1040" t="s">
        <v>181</v>
      </c>
      <c r="D1040" t="s">
        <v>182</v>
      </c>
      <c r="E1040" t="s">
        <v>2</v>
      </c>
      <c r="F1040">
        <v>269308</v>
      </c>
      <c r="G1040" s="1" t="s">
        <v>3774</v>
      </c>
      <c r="H1040">
        <v>24763140</v>
      </c>
      <c r="I1040">
        <v>118422</v>
      </c>
      <c r="J1040" t="s">
        <v>183</v>
      </c>
      <c r="K1040" s="17">
        <v>84711084000161</v>
      </c>
      <c r="L1040" s="17">
        <v>90739624001432</v>
      </c>
      <c r="M1040" s="9">
        <v>266.76</v>
      </c>
      <c r="N1040" t="s">
        <v>43</v>
      </c>
      <c r="Q1040" s="2"/>
      <c r="R1040" s="9"/>
      <c r="S1040" t="s">
        <v>44</v>
      </c>
      <c r="T1040" t="s">
        <v>45</v>
      </c>
      <c r="U1040" s="2" t="s">
        <v>584</v>
      </c>
      <c r="V1040" s="9" t="s">
        <v>3775</v>
      </c>
      <c r="W1040">
        <v>4.2260884711084001E+43</v>
      </c>
      <c r="X1040" t="s">
        <v>46</v>
      </c>
      <c r="Y1040" s="2" t="s">
        <v>717</v>
      </c>
      <c r="Z1040" s="2" t="s">
        <v>718</v>
      </c>
      <c r="AA1040" s="9" t="s">
        <v>715</v>
      </c>
      <c r="AC1040" s="2"/>
      <c r="AD1040" t="s">
        <v>7</v>
      </c>
      <c r="AE1040" t="s">
        <v>3776</v>
      </c>
    </row>
    <row r="1041" spans="1:31" x14ac:dyDescent="0.3">
      <c r="A1041" s="17">
        <v>90739624000118</v>
      </c>
      <c r="B1041" t="s">
        <v>33</v>
      </c>
      <c r="C1041">
        <v>25070</v>
      </c>
      <c r="D1041" t="s">
        <v>34</v>
      </c>
      <c r="E1041" t="s">
        <v>2</v>
      </c>
      <c r="F1041">
        <v>269308</v>
      </c>
      <c r="G1041" s="1" t="s">
        <v>3777</v>
      </c>
      <c r="H1041">
        <v>24763131</v>
      </c>
      <c r="I1041">
        <v>1124</v>
      </c>
      <c r="J1041" t="s">
        <v>35</v>
      </c>
      <c r="K1041" s="17">
        <v>27933025000102</v>
      </c>
      <c r="L1041" s="17">
        <v>9576274000106</v>
      </c>
      <c r="M1041" s="9">
        <v>297.22000000000003</v>
      </c>
      <c r="N1041" t="s">
        <v>43</v>
      </c>
      <c r="Q1041" s="2"/>
      <c r="R1041" s="9"/>
      <c r="S1041" t="s">
        <v>44</v>
      </c>
      <c r="T1041" t="s">
        <v>45</v>
      </c>
      <c r="U1041" s="2" t="s">
        <v>583</v>
      </c>
      <c r="V1041" s="9" t="s">
        <v>3778</v>
      </c>
      <c r="W1041">
        <v>4.1260827933025001E+43</v>
      </c>
      <c r="X1041" t="s">
        <v>46</v>
      </c>
      <c r="Y1041" s="2" t="s">
        <v>717</v>
      </c>
      <c r="Z1041" s="2" t="s">
        <v>718</v>
      </c>
      <c r="AA1041" s="9" t="s">
        <v>715</v>
      </c>
      <c r="AC1041" s="2"/>
      <c r="AD1041" t="s">
        <v>7</v>
      </c>
      <c r="AE1041" t="s">
        <v>3779</v>
      </c>
    </row>
    <row r="1042" spans="1:31" x14ac:dyDescent="0.3">
      <c r="A1042" s="17">
        <v>90739624000118</v>
      </c>
      <c r="B1042" t="s">
        <v>63</v>
      </c>
      <c r="C1042">
        <v>22489</v>
      </c>
      <c r="D1042" t="s">
        <v>228</v>
      </c>
      <c r="E1042" t="s">
        <v>2</v>
      </c>
      <c r="F1042">
        <v>269308</v>
      </c>
      <c r="G1042" s="1" t="s">
        <v>3780</v>
      </c>
      <c r="H1042">
        <v>24762905</v>
      </c>
      <c r="I1042">
        <v>178661</v>
      </c>
      <c r="J1042" t="s">
        <v>64</v>
      </c>
      <c r="K1042" s="17">
        <v>23448964001921</v>
      </c>
      <c r="L1042" s="17">
        <v>90739624001432</v>
      </c>
      <c r="M1042" s="9">
        <v>181.04</v>
      </c>
      <c r="N1042" t="s">
        <v>43</v>
      </c>
      <c r="Q1042" s="2"/>
      <c r="R1042" s="9"/>
      <c r="S1042" t="s">
        <v>44</v>
      </c>
      <c r="T1042" t="s">
        <v>45</v>
      </c>
      <c r="U1042" s="2" t="s">
        <v>584</v>
      </c>
      <c r="V1042" s="9" t="s">
        <v>3781</v>
      </c>
      <c r="W1042">
        <v>4.2260823448963998E+43</v>
      </c>
      <c r="X1042" t="s">
        <v>46</v>
      </c>
      <c r="Y1042" s="2" t="s">
        <v>717</v>
      </c>
      <c r="Z1042" s="2" t="s">
        <v>718</v>
      </c>
      <c r="AA1042" s="9" t="s">
        <v>715</v>
      </c>
      <c r="AC1042" s="2"/>
      <c r="AD1042" t="s">
        <v>7</v>
      </c>
      <c r="AE1042" t="s">
        <v>3782</v>
      </c>
    </row>
    <row r="1043" spans="1:31" x14ac:dyDescent="0.3">
      <c r="A1043" s="17">
        <v>90739624000118</v>
      </c>
      <c r="B1043" t="s">
        <v>99</v>
      </c>
      <c r="D1043" t="s">
        <v>474</v>
      </c>
      <c r="E1043" t="s">
        <v>2</v>
      </c>
      <c r="F1043">
        <v>269308</v>
      </c>
      <c r="G1043" s="1" t="s">
        <v>3783</v>
      </c>
      <c r="H1043">
        <v>24762431</v>
      </c>
      <c r="I1043">
        <v>50473</v>
      </c>
      <c r="J1043" t="s">
        <v>507</v>
      </c>
      <c r="K1043" s="17">
        <v>3626094001330</v>
      </c>
      <c r="L1043" s="17">
        <v>9576274000106</v>
      </c>
      <c r="M1043" s="9">
        <v>314.02</v>
      </c>
      <c r="N1043" t="s">
        <v>43</v>
      </c>
      <c r="Q1043" s="2"/>
      <c r="R1043" s="9"/>
      <c r="S1043" t="s">
        <v>44</v>
      </c>
      <c r="T1043" t="s">
        <v>45</v>
      </c>
      <c r="U1043" s="2" t="s">
        <v>585</v>
      </c>
      <c r="V1043" s="9" t="s">
        <v>3784</v>
      </c>
      <c r="W1043">
        <v>4.1260803626093998E+43</v>
      </c>
      <c r="X1043" t="s">
        <v>46</v>
      </c>
      <c r="Y1043" s="2" t="s">
        <v>717</v>
      </c>
      <c r="Z1043" s="2" t="s">
        <v>718</v>
      </c>
      <c r="AA1043" s="9" t="s">
        <v>715</v>
      </c>
      <c r="AC1043" s="2"/>
      <c r="AD1043" t="s">
        <v>7</v>
      </c>
      <c r="AE1043" t="s">
        <v>3785</v>
      </c>
    </row>
    <row r="1044" spans="1:31" x14ac:dyDescent="0.3">
      <c r="A1044" s="17">
        <v>90739624000118</v>
      </c>
      <c r="B1044" t="s">
        <v>31</v>
      </c>
      <c r="D1044" t="s">
        <v>118</v>
      </c>
      <c r="E1044" t="s">
        <v>2</v>
      </c>
      <c r="F1044">
        <v>269308</v>
      </c>
      <c r="G1044" s="1" t="s">
        <v>3786</v>
      </c>
      <c r="H1044">
        <v>24762377</v>
      </c>
      <c r="I1044">
        <v>171487</v>
      </c>
      <c r="J1044" t="s">
        <v>233</v>
      </c>
      <c r="K1044" s="17">
        <v>22611652000103</v>
      </c>
      <c r="L1044" s="17">
        <v>90739624001866</v>
      </c>
      <c r="M1044" s="9">
        <v>135.03</v>
      </c>
      <c r="N1044" t="s">
        <v>43</v>
      </c>
      <c r="Q1044" s="2"/>
      <c r="R1044" s="9"/>
      <c r="S1044" t="s">
        <v>44</v>
      </c>
      <c r="T1044" t="s">
        <v>45</v>
      </c>
      <c r="U1044" s="2" t="s">
        <v>584</v>
      </c>
      <c r="V1044" s="9" t="s">
        <v>3787</v>
      </c>
      <c r="W1044">
        <v>5.1260822611652001E+43</v>
      </c>
      <c r="X1044" t="s">
        <v>46</v>
      </c>
      <c r="Y1044" s="2" t="s">
        <v>717</v>
      </c>
      <c r="Z1044" s="2" t="s">
        <v>718</v>
      </c>
      <c r="AA1044" s="9" t="s">
        <v>715</v>
      </c>
      <c r="AC1044" s="2"/>
      <c r="AD1044" t="s">
        <v>7</v>
      </c>
      <c r="AE1044" t="s">
        <v>3788</v>
      </c>
    </row>
    <row r="1045" spans="1:31" x14ac:dyDescent="0.3">
      <c r="A1045" s="17">
        <v>90739624000118</v>
      </c>
      <c r="B1045" t="s">
        <v>40</v>
      </c>
      <c r="D1045" t="s">
        <v>124</v>
      </c>
      <c r="E1045" t="s">
        <v>2</v>
      </c>
      <c r="F1045">
        <v>269308</v>
      </c>
      <c r="G1045" s="1" t="s">
        <v>3789</v>
      </c>
      <c r="H1045">
        <v>24762372</v>
      </c>
      <c r="I1045">
        <v>168150</v>
      </c>
      <c r="J1045" t="s">
        <v>42</v>
      </c>
      <c r="K1045" s="17">
        <v>82156977000248</v>
      </c>
      <c r="L1045" s="17">
        <v>90739624001432</v>
      </c>
      <c r="M1045" s="9">
        <v>214.5</v>
      </c>
      <c r="N1045" t="s">
        <v>43</v>
      </c>
      <c r="Q1045" s="2"/>
      <c r="R1045" s="9"/>
      <c r="S1045" t="s">
        <v>44</v>
      </c>
      <c r="T1045" t="s">
        <v>45</v>
      </c>
      <c r="U1045" s="2" t="s">
        <v>584</v>
      </c>
      <c r="V1045" s="9" t="s">
        <v>3790</v>
      </c>
      <c r="W1045">
        <v>4.2260882156977001E+43</v>
      </c>
      <c r="X1045" t="s">
        <v>46</v>
      </c>
      <c r="Y1045" s="2" t="s">
        <v>717</v>
      </c>
      <c r="Z1045" s="2" t="s">
        <v>718</v>
      </c>
      <c r="AA1045" s="9" t="s">
        <v>715</v>
      </c>
      <c r="AC1045" s="2"/>
      <c r="AD1045" t="s">
        <v>7</v>
      </c>
      <c r="AE1045" t="s">
        <v>3791</v>
      </c>
    </row>
    <row r="1046" spans="1:31" x14ac:dyDescent="0.3">
      <c r="A1046" s="17">
        <v>90739624000118</v>
      </c>
      <c r="B1046" t="s">
        <v>40</v>
      </c>
      <c r="C1046">
        <v>22016</v>
      </c>
      <c r="D1046" t="s">
        <v>491</v>
      </c>
      <c r="E1046" t="s">
        <v>2</v>
      </c>
      <c r="F1046">
        <v>269308</v>
      </c>
      <c r="G1046" s="1" t="s">
        <v>3792</v>
      </c>
      <c r="H1046">
        <v>24762186</v>
      </c>
      <c r="I1046">
        <v>168149</v>
      </c>
      <c r="J1046" t="s">
        <v>42</v>
      </c>
      <c r="K1046" s="17">
        <v>82156977000248</v>
      </c>
      <c r="L1046" s="17">
        <v>90739624001432</v>
      </c>
      <c r="M1046" s="9">
        <v>217.57</v>
      </c>
      <c r="N1046" t="s">
        <v>43</v>
      </c>
      <c r="Q1046" s="2"/>
      <c r="R1046" s="9"/>
      <c r="S1046" t="s">
        <v>44</v>
      </c>
      <c r="T1046" t="s">
        <v>45</v>
      </c>
      <c r="U1046" s="2" t="s">
        <v>584</v>
      </c>
      <c r="V1046" s="9" t="s">
        <v>3793</v>
      </c>
      <c r="W1046">
        <v>4.2260882156977001E+43</v>
      </c>
      <c r="X1046" t="s">
        <v>46</v>
      </c>
      <c r="Y1046" s="2" t="s">
        <v>717</v>
      </c>
      <c r="Z1046" s="2" t="s">
        <v>718</v>
      </c>
      <c r="AA1046" s="9" t="s">
        <v>715</v>
      </c>
      <c r="AC1046" s="2"/>
      <c r="AD1046" t="s">
        <v>7</v>
      </c>
      <c r="AE1046" t="s">
        <v>3794</v>
      </c>
    </row>
    <row r="1047" spans="1:31" x14ac:dyDescent="0.3">
      <c r="A1047" s="17">
        <v>90739624000118</v>
      </c>
      <c r="B1047" t="s">
        <v>174</v>
      </c>
      <c r="D1047" t="s">
        <v>267</v>
      </c>
      <c r="E1047" t="s">
        <v>2</v>
      </c>
      <c r="F1047">
        <v>269308</v>
      </c>
      <c r="G1047" s="1" t="s">
        <v>3795</v>
      </c>
      <c r="H1047">
        <v>24762141</v>
      </c>
      <c r="I1047">
        <v>5563</v>
      </c>
      <c r="J1047" t="s">
        <v>268</v>
      </c>
      <c r="K1047" s="17">
        <v>4985282000184</v>
      </c>
      <c r="L1047" s="17">
        <v>90739624000118</v>
      </c>
      <c r="M1047" s="9">
        <v>286.58999999999997</v>
      </c>
      <c r="N1047" t="s">
        <v>43</v>
      </c>
      <c r="Q1047" s="2"/>
      <c r="R1047" s="9"/>
      <c r="S1047" t="s">
        <v>44</v>
      </c>
      <c r="T1047" t="s">
        <v>45</v>
      </c>
      <c r="U1047" s="2" t="s">
        <v>584</v>
      </c>
      <c r="V1047" s="9" t="s">
        <v>3796</v>
      </c>
      <c r="W1047">
        <v>1.7260804985282E+43</v>
      </c>
      <c r="X1047" t="s">
        <v>46</v>
      </c>
      <c r="Y1047" s="2" t="s">
        <v>717</v>
      </c>
      <c r="Z1047" s="2" t="s">
        <v>718</v>
      </c>
      <c r="AA1047" s="9" t="s">
        <v>715</v>
      </c>
      <c r="AC1047" s="2"/>
      <c r="AD1047" t="s">
        <v>7</v>
      </c>
      <c r="AE1047" t="s">
        <v>3797</v>
      </c>
    </row>
    <row r="1048" spans="1:31" x14ac:dyDescent="0.3">
      <c r="A1048" s="17">
        <v>90739624000118</v>
      </c>
      <c r="B1048" t="s">
        <v>65</v>
      </c>
      <c r="D1048" t="s">
        <v>107</v>
      </c>
      <c r="E1048" t="s">
        <v>2</v>
      </c>
      <c r="F1048">
        <v>269308</v>
      </c>
      <c r="G1048" s="1" t="s">
        <v>3798</v>
      </c>
      <c r="H1048">
        <v>24762047</v>
      </c>
      <c r="I1048">
        <v>75074</v>
      </c>
      <c r="J1048" t="s">
        <v>67</v>
      </c>
      <c r="K1048" s="17">
        <v>7473735006031</v>
      </c>
      <c r="L1048" s="17">
        <v>90739624002323</v>
      </c>
      <c r="M1048" s="9">
        <v>233.09</v>
      </c>
      <c r="N1048" t="s">
        <v>43</v>
      </c>
      <c r="Q1048" s="2"/>
      <c r="R1048" s="9"/>
      <c r="S1048" t="s">
        <v>44</v>
      </c>
      <c r="T1048" t="s">
        <v>45</v>
      </c>
      <c r="U1048" s="2" t="s">
        <v>584</v>
      </c>
      <c r="V1048" s="9" t="s">
        <v>3799</v>
      </c>
      <c r="W1048">
        <v>4.3260807473734999E+43</v>
      </c>
      <c r="X1048" t="s">
        <v>46</v>
      </c>
      <c r="Y1048" s="2" t="s">
        <v>717</v>
      </c>
      <c r="Z1048" s="2" t="s">
        <v>718</v>
      </c>
      <c r="AA1048" s="9" t="s">
        <v>715</v>
      </c>
      <c r="AC1048" s="2"/>
      <c r="AD1048" t="s">
        <v>7</v>
      </c>
      <c r="AE1048" t="s">
        <v>3800</v>
      </c>
    </row>
    <row r="1049" spans="1:31" x14ac:dyDescent="0.3">
      <c r="A1049" s="17">
        <v>90739624000118</v>
      </c>
      <c r="B1049" t="s">
        <v>174</v>
      </c>
      <c r="D1049" t="s">
        <v>543</v>
      </c>
      <c r="E1049" t="s">
        <v>2</v>
      </c>
      <c r="F1049">
        <v>269308</v>
      </c>
      <c r="G1049" s="1" t="s">
        <v>3801</v>
      </c>
      <c r="H1049">
        <v>24761981</v>
      </c>
      <c r="I1049">
        <v>98999</v>
      </c>
      <c r="J1049" t="s">
        <v>176</v>
      </c>
      <c r="K1049" s="17">
        <v>4219621000111</v>
      </c>
      <c r="L1049" s="17">
        <v>90739624000118</v>
      </c>
      <c r="M1049" s="9">
        <v>264.31</v>
      </c>
      <c r="N1049" t="s">
        <v>43</v>
      </c>
      <c r="Q1049" s="2"/>
      <c r="R1049" s="9"/>
      <c r="S1049" t="s">
        <v>44</v>
      </c>
      <c r="T1049" t="s">
        <v>45</v>
      </c>
      <c r="U1049" s="2" t="s">
        <v>585</v>
      </c>
      <c r="V1049" s="9" t="s">
        <v>3802</v>
      </c>
      <c r="W1049">
        <v>1.7260804219621001E+43</v>
      </c>
      <c r="X1049" t="s">
        <v>46</v>
      </c>
      <c r="Y1049" s="2" t="s">
        <v>717</v>
      </c>
      <c r="Z1049" s="2" t="s">
        <v>718</v>
      </c>
      <c r="AA1049" s="9" t="s">
        <v>715</v>
      </c>
      <c r="AC1049" s="2"/>
      <c r="AD1049" t="s">
        <v>7</v>
      </c>
      <c r="AE1049" t="s">
        <v>3803</v>
      </c>
    </row>
    <row r="1050" spans="1:31" x14ac:dyDescent="0.3">
      <c r="A1050" s="17">
        <v>90739624000118</v>
      </c>
      <c r="B1050" t="s">
        <v>33</v>
      </c>
      <c r="C1050">
        <v>23456</v>
      </c>
      <c r="D1050" t="s">
        <v>320</v>
      </c>
      <c r="E1050" t="s">
        <v>2</v>
      </c>
      <c r="F1050">
        <v>269308</v>
      </c>
      <c r="G1050" s="1" t="s">
        <v>3804</v>
      </c>
      <c r="H1050">
        <v>24761940</v>
      </c>
      <c r="I1050">
        <v>1123</v>
      </c>
      <c r="J1050" t="s">
        <v>35</v>
      </c>
      <c r="K1050" s="17">
        <v>27933025000102</v>
      </c>
      <c r="L1050" s="17">
        <v>9576274000106</v>
      </c>
      <c r="M1050" s="9">
        <v>231.43</v>
      </c>
      <c r="N1050" t="s">
        <v>43</v>
      </c>
      <c r="Q1050" s="2"/>
      <c r="R1050" s="9"/>
      <c r="S1050" t="s">
        <v>44</v>
      </c>
      <c r="T1050" t="s">
        <v>45</v>
      </c>
      <c r="U1050" s="2" t="s">
        <v>583</v>
      </c>
      <c r="V1050" s="9" t="s">
        <v>3805</v>
      </c>
      <c r="W1050">
        <v>4.1260827933025001E+43</v>
      </c>
      <c r="X1050" t="s">
        <v>46</v>
      </c>
      <c r="Y1050" s="2" t="s">
        <v>717</v>
      </c>
      <c r="Z1050" s="2" t="s">
        <v>718</v>
      </c>
      <c r="AA1050" s="9" t="s">
        <v>715</v>
      </c>
      <c r="AC1050" s="2"/>
      <c r="AD1050" t="s">
        <v>7</v>
      </c>
      <c r="AE1050" t="s">
        <v>3806</v>
      </c>
    </row>
    <row r="1051" spans="1:31" x14ac:dyDescent="0.3">
      <c r="A1051" s="17">
        <v>90739624000118</v>
      </c>
      <c r="B1051" t="s">
        <v>33</v>
      </c>
      <c r="C1051">
        <v>23399</v>
      </c>
      <c r="D1051" t="s">
        <v>146</v>
      </c>
      <c r="E1051" t="s">
        <v>2</v>
      </c>
      <c r="F1051">
        <v>269308</v>
      </c>
      <c r="G1051" s="1" t="s">
        <v>3807</v>
      </c>
      <c r="H1051">
        <v>24761724</v>
      </c>
      <c r="I1051">
        <v>1122</v>
      </c>
      <c r="J1051" t="s">
        <v>35</v>
      </c>
      <c r="K1051" s="17">
        <v>27933025000102</v>
      </c>
      <c r="L1051" s="17">
        <v>9576274000106</v>
      </c>
      <c r="M1051" s="9">
        <v>417.54</v>
      </c>
      <c r="N1051" t="s">
        <v>43</v>
      </c>
      <c r="Q1051" s="2"/>
      <c r="R1051" s="9"/>
      <c r="S1051" t="s">
        <v>44</v>
      </c>
      <c r="T1051" t="s">
        <v>45</v>
      </c>
      <c r="U1051" s="2" t="s">
        <v>583</v>
      </c>
      <c r="V1051" s="9" t="s">
        <v>3808</v>
      </c>
      <c r="W1051">
        <v>4.1260827933025001E+43</v>
      </c>
      <c r="X1051" t="s">
        <v>46</v>
      </c>
      <c r="Y1051" s="2" t="s">
        <v>717</v>
      </c>
      <c r="Z1051" s="2" t="s">
        <v>718</v>
      </c>
      <c r="AA1051" s="9" t="s">
        <v>715</v>
      </c>
      <c r="AC1051" s="2"/>
      <c r="AD1051" t="s">
        <v>7</v>
      </c>
      <c r="AE1051" t="s">
        <v>3809</v>
      </c>
    </row>
    <row r="1052" spans="1:31" x14ac:dyDescent="0.3">
      <c r="A1052" s="17">
        <v>90739624000118</v>
      </c>
      <c r="B1052" t="s">
        <v>63</v>
      </c>
      <c r="D1052" t="s">
        <v>270</v>
      </c>
      <c r="E1052" t="s">
        <v>2</v>
      </c>
      <c r="F1052">
        <v>269308</v>
      </c>
      <c r="G1052" s="1" t="s">
        <v>3810</v>
      </c>
      <c r="H1052">
        <v>24761589</v>
      </c>
      <c r="I1052">
        <v>178656</v>
      </c>
      <c r="J1052" t="s">
        <v>64</v>
      </c>
      <c r="K1052" s="17">
        <v>23448964001921</v>
      </c>
      <c r="L1052" s="17">
        <v>90739624001432</v>
      </c>
      <c r="M1052" s="9">
        <v>258.83</v>
      </c>
      <c r="N1052" t="s">
        <v>43</v>
      </c>
      <c r="Q1052" s="2"/>
      <c r="R1052" s="9"/>
      <c r="S1052" t="s">
        <v>44</v>
      </c>
      <c r="T1052" t="s">
        <v>45</v>
      </c>
      <c r="U1052" s="2" t="s">
        <v>584</v>
      </c>
      <c r="V1052" s="9" t="s">
        <v>3811</v>
      </c>
      <c r="W1052">
        <v>4.2260823448963998E+43</v>
      </c>
      <c r="X1052" t="s">
        <v>46</v>
      </c>
      <c r="Y1052" s="2" t="s">
        <v>717</v>
      </c>
      <c r="Z1052" s="2" t="s">
        <v>718</v>
      </c>
      <c r="AA1052" s="9" t="s">
        <v>715</v>
      </c>
      <c r="AC1052" s="2"/>
      <c r="AD1052" t="s">
        <v>7</v>
      </c>
      <c r="AE1052" t="s">
        <v>3812</v>
      </c>
    </row>
    <row r="1053" spans="1:31" x14ac:dyDescent="0.3">
      <c r="A1053" s="17">
        <v>90739624000118</v>
      </c>
      <c r="B1053" t="s">
        <v>52</v>
      </c>
      <c r="C1053">
        <v>23848</v>
      </c>
      <c r="D1053" t="s">
        <v>245</v>
      </c>
      <c r="E1053" t="s">
        <v>2</v>
      </c>
      <c r="F1053">
        <v>269308</v>
      </c>
      <c r="G1053" s="1" t="s">
        <v>3813</v>
      </c>
      <c r="H1053">
        <v>24761546</v>
      </c>
      <c r="I1053">
        <v>40604</v>
      </c>
      <c r="J1053" t="s">
        <v>545</v>
      </c>
      <c r="K1053" s="17">
        <v>30429333000282</v>
      </c>
      <c r="L1053" s="17">
        <v>9576274000106</v>
      </c>
      <c r="M1053" s="9">
        <v>167.29</v>
      </c>
      <c r="N1053" t="s">
        <v>43</v>
      </c>
      <c r="Q1053" s="2"/>
      <c r="R1053" s="9"/>
      <c r="S1053" t="s">
        <v>44</v>
      </c>
      <c r="T1053" t="s">
        <v>45</v>
      </c>
      <c r="U1053" s="2" t="s">
        <v>584</v>
      </c>
      <c r="V1053" s="9" t="s">
        <v>3814</v>
      </c>
      <c r="W1053">
        <v>4.1260830429333002E+43</v>
      </c>
      <c r="X1053" t="s">
        <v>46</v>
      </c>
      <c r="Y1053" s="2" t="s">
        <v>717</v>
      </c>
      <c r="Z1053" s="2" t="s">
        <v>718</v>
      </c>
      <c r="AA1053" s="9" t="s">
        <v>715</v>
      </c>
      <c r="AC1053" s="2"/>
      <c r="AD1053" t="s">
        <v>7</v>
      </c>
      <c r="AE1053" t="s">
        <v>3815</v>
      </c>
    </row>
    <row r="1054" spans="1:31" x14ac:dyDescent="0.3">
      <c r="A1054" s="17">
        <v>90739624000118</v>
      </c>
      <c r="B1054" t="s">
        <v>70</v>
      </c>
      <c r="C1054">
        <v>22342</v>
      </c>
      <c r="D1054" t="s">
        <v>260</v>
      </c>
      <c r="E1054" t="s">
        <v>2</v>
      </c>
      <c r="F1054">
        <v>269308</v>
      </c>
      <c r="G1054" s="1" t="s">
        <v>3816</v>
      </c>
      <c r="H1054">
        <v>24761512</v>
      </c>
      <c r="I1054">
        <v>256958</v>
      </c>
      <c r="J1054" t="s">
        <v>72</v>
      </c>
      <c r="K1054" s="17">
        <v>79964177000168</v>
      </c>
      <c r="L1054" s="17">
        <v>9576274000106</v>
      </c>
      <c r="M1054" s="9">
        <v>192.01</v>
      </c>
      <c r="N1054" t="s">
        <v>43</v>
      </c>
      <c r="Q1054" s="2"/>
      <c r="R1054" s="9"/>
      <c r="S1054" t="s">
        <v>44</v>
      </c>
      <c r="T1054" t="s">
        <v>45</v>
      </c>
      <c r="U1054" s="2" t="s">
        <v>584</v>
      </c>
      <c r="V1054" s="9" t="s">
        <v>3817</v>
      </c>
      <c r="W1054">
        <v>4.1260879964176998E+43</v>
      </c>
      <c r="X1054" t="s">
        <v>46</v>
      </c>
      <c r="Y1054" s="2" t="s">
        <v>717</v>
      </c>
      <c r="Z1054" s="2" t="s">
        <v>718</v>
      </c>
      <c r="AA1054" s="9" t="s">
        <v>715</v>
      </c>
      <c r="AC1054" s="2"/>
      <c r="AD1054" t="s">
        <v>7</v>
      </c>
      <c r="AE1054" t="s">
        <v>3818</v>
      </c>
    </row>
    <row r="1055" spans="1:31" x14ac:dyDescent="0.3">
      <c r="A1055" s="17">
        <v>90739624000118</v>
      </c>
      <c r="B1055" t="s">
        <v>28</v>
      </c>
      <c r="C1055">
        <v>24445</v>
      </c>
      <c r="D1055" t="s">
        <v>263</v>
      </c>
      <c r="E1055" t="s">
        <v>2</v>
      </c>
      <c r="F1055">
        <v>269308</v>
      </c>
      <c r="G1055" s="1" t="s">
        <v>3819</v>
      </c>
      <c r="H1055">
        <v>24761335</v>
      </c>
      <c r="I1055">
        <v>38296</v>
      </c>
      <c r="J1055" t="s">
        <v>209</v>
      </c>
      <c r="K1055" s="17">
        <v>33360405000190</v>
      </c>
      <c r="L1055" s="17">
        <v>90739624001947</v>
      </c>
      <c r="M1055" s="9">
        <v>361.13</v>
      </c>
      <c r="N1055" t="s">
        <v>43</v>
      </c>
      <c r="Q1055" s="2"/>
      <c r="R1055" s="9"/>
      <c r="S1055" t="s">
        <v>44</v>
      </c>
      <c r="T1055" t="s">
        <v>45</v>
      </c>
      <c r="U1055" s="2" t="s">
        <v>584</v>
      </c>
      <c r="V1055" s="9" t="s">
        <v>3820</v>
      </c>
      <c r="W1055">
        <v>5.2260833360404998E+43</v>
      </c>
      <c r="X1055" t="s">
        <v>46</v>
      </c>
      <c r="Y1055" s="2" t="s">
        <v>717</v>
      </c>
      <c r="Z1055" s="2" t="s">
        <v>718</v>
      </c>
      <c r="AA1055" s="9" t="s">
        <v>715</v>
      </c>
      <c r="AC1055" s="2"/>
      <c r="AD1055" t="s">
        <v>7</v>
      </c>
      <c r="AE1055" t="s">
        <v>3821</v>
      </c>
    </row>
    <row r="1056" spans="1:31" x14ac:dyDescent="0.3">
      <c r="A1056" s="17">
        <v>90739624000118</v>
      </c>
      <c r="B1056" t="s">
        <v>70</v>
      </c>
      <c r="C1056">
        <v>24139</v>
      </c>
      <c r="D1056" t="s">
        <v>456</v>
      </c>
      <c r="E1056" t="s">
        <v>2</v>
      </c>
      <c r="F1056">
        <v>269308</v>
      </c>
      <c r="G1056" s="1" t="s">
        <v>3822</v>
      </c>
      <c r="H1056">
        <v>24761329</v>
      </c>
      <c r="I1056">
        <v>256957</v>
      </c>
      <c r="J1056" t="s">
        <v>72</v>
      </c>
      <c r="K1056" s="17">
        <v>79964177000168</v>
      </c>
      <c r="L1056" s="17">
        <v>9576274000106</v>
      </c>
      <c r="M1056" s="9">
        <v>247</v>
      </c>
      <c r="N1056" t="s">
        <v>43</v>
      </c>
      <c r="Q1056" s="2"/>
      <c r="R1056" s="9"/>
      <c r="S1056" t="s">
        <v>44</v>
      </c>
      <c r="T1056" t="s">
        <v>45</v>
      </c>
      <c r="U1056" s="2" t="s">
        <v>584</v>
      </c>
      <c r="V1056" s="9" t="s">
        <v>3823</v>
      </c>
      <c r="W1056">
        <v>4.1260879964176998E+43</v>
      </c>
      <c r="X1056" t="s">
        <v>46</v>
      </c>
      <c r="Y1056" s="2" t="s">
        <v>717</v>
      </c>
      <c r="Z1056" s="2" t="s">
        <v>718</v>
      </c>
      <c r="AA1056" s="9" t="s">
        <v>715</v>
      </c>
      <c r="AC1056" s="2"/>
      <c r="AD1056" t="s">
        <v>7</v>
      </c>
      <c r="AE1056" t="s">
        <v>3824</v>
      </c>
    </row>
    <row r="1057" spans="1:31" x14ac:dyDescent="0.3">
      <c r="A1057" s="17">
        <v>90739624000118</v>
      </c>
      <c r="B1057" t="s">
        <v>70</v>
      </c>
      <c r="D1057" t="s">
        <v>96</v>
      </c>
      <c r="E1057" t="s">
        <v>2</v>
      </c>
      <c r="F1057">
        <v>269308</v>
      </c>
      <c r="G1057" s="1" t="s">
        <v>3825</v>
      </c>
      <c r="H1057">
        <v>24761036</v>
      </c>
      <c r="I1057">
        <v>256956</v>
      </c>
      <c r="J1057" t="s">
        <v>72</v>
      </c>
      <c r="K1057" s="17">
        <v>79964177000168</v>
      </c>
      <c r="L1057" s="17">
        <v>9576274000106</v>
      </c>
      <c r="M1057" s="9">
        <v>184.54</v>
      </c>
      <c r="N1057" t="s">
        <v>43</v>
      </c>
      <c r="Q1057" s="2"/>
      <c r="R1057" s="9"/>
      <c r="S1057" t="s">
        <v>44</v>
      </c>
      <c r="T1057" t="s">
        <v>45</v>
      </c>
      <c r="U1057" s="2" t="s">
        <v>584</v>
      </c>
      <c r="V1057" s="9" t="s">
        <v>3826</v>
      </c>
      <c r="W1057">
        <v>4.1260879964176998E+43</v>
      </c>
      <c r="X1057" t="s">
        <v>46</v>
      </c>
      <c r="Y1057" s="2" t="s">
        <v>717</v>
      </c>
      <c r="Z1057" s="2" t="s">
        <v>718</v>
      </c>
      <c r="AA1057" s="9" t="s">
        <v>715</v>
      </c>
      <c r="AC1057" s="2"/>
      <c r="AD1057" t="s">
        <v>7</v>
      </c>
      <c r="AE1057" t="s">
        <v>3827</v>
      </c>
    </row>
    <row r="1058" spans="1:31" x14ac:dyDescent="0.3">
      <c r="A1058" s="17">
        <v>90739624000118</v>
      </c>
      <c r="B1058" t="s">
        <v>52</v>
      </c>
      <c r="C1058">
        <v>25978</v>
      </c>
      <c r="D1058" t="s">
        <v>137</v>
      </c>
      <c r="E1058" t="s">
        <v>2</v>
      </c>
      <c r="F1058">
        <v>269308</v>
      </c>
      <c r="G1058" s="1" t="s">
        <v>3828</v>
      </c>
      <c r="H1058">
        <v>24761034</v>
      </c>
      <c r="I1058">
        <v>16774</v>
      </c>
      <c r="J1058" t="s">
        <v>54</v>
      </c>
      <c r="K1058" s="17">
        <v>79130647000198</v>
      </c>
      <c r="L1058" s="17">
        <v>9576274000106</v>
      </c>
      <c r="M1058" s="9">
        <v>352.54</v>
      </c>
      <c r="N1058" t="s">
        <v>43</v>
      </c>
      <c r="Q1058" s="2"/>
      <c r="R1058" s="9"/>
      <c r="S1058" t="s">
        <v>44</v>
      </c>
      <c r="T1058" t="s">
        <v>45</v>
      </c>
      <c r="U1058" s="2" t="s">
        <v>584</v>
      </c>
      <c r="V1058" s="9" t="s">
        <v>3829</v>
      </c>
      <c r="W1058">
        <v>4.1260879130646998E+43</v>
      </c>
      <c r="X1058" t="s">
        <v>46</v>
      </c>
      <c r="Y1058" s="2" t="s">
        <v>717</v>
      </c>
      <c r="Z1058" s="2" t="s">
        <v>718</v>
      </c>
      <c r="AA1058" s="9" t="s">
        <v>715</v>
      </c>
      <c r="AC1058" s="2"/>
      <c r="AD1058" t="s">
        <v>7</v>
      </c>
      <c r="AE1058" t="s">
        <v>3830</v>
      </c>
    </row>
    <row r="1059" spans="1:31" x14ac:dyDescent="0.3">
      <c r="A1059" s="17">
        <v>90739624000118</v>
      </c>
      <c r="B1059" t="s">
        <v>100</v>
      </c>
      <c r="D1059" t="s">
        <v>112</v>
      </c>
      <c r="E1059" t="s">
        <v>2</v>
      </c>
      <c r="F1059">
        <v>269308</v>
      </c>
      <c r="G1059" s="1" t="s">
        <v>3831</v>
      </c>
      <c r="H1059">
        <v>24760939</v>
      </c>
      <c r="I1059">
        <v>3382601</v>
      </c>
      <c r="J1059" t="s">
        <v>248</v>
      </c>
      <c r="K1059" s="17">
        <v>3623054000282</v>
      </c>
      <c r="L1059" s="17">
        <v>90739624001866</v>
      </c>
      <c r="M1059" s="9">
        <v>205.48</v>
      </c>
      <c r="N1059" t="s">
        <v>43</v>
      </c>
      <c r="Q1059" s="2"/>
      <c r="R1059" s="9"/>
      <c r="S1059" t="s">
        <v>44</v>
      </c>
      <c r="T1059" t="s">
        <v>45</v>
      </c>
      <c r="U1059" s="2" t="s">
        <v>584</v>
      </c>
      <c r="V1059" s="9" t="s">
        <v>3832</v>
      </c>
      <c r="W1059">
        <v>5.1260803623053998E+43</v>
      </c>
      <c r="X1059" t="s">
        <v>46</v>
      </c>
      <c r="Y1059" s="2" t="s">
        <v>717</v>
      </c>
      <c r="Z1059" s="2" t="s">
        <v>718</v>
      </c>
      <c r="AA1059" s="9" t="s">
        <v>715</v>
      </c>
      <c r="AC1059" s="2"/>
      <c r="AD1059" t="s">
        <v>7</v>
      </c>
      <c r="AE1059" t="s">
        <v>3833</v>
      </c>
    </row>
    <row r="1060" spans="1:31" x14ac:dyDescent="0.3">
      <c r="A1060" s="17">
        <v>90739624000118</v>
      </c>
      <c r="B1060" t="s">
        <v>31</v>
      </c>
      <c r="D1060" t="s">
        <v>55</v>
      </c>
      <c r="E1060" t="s">
        <v>2</v>
      </c>
      <c r="F1060">
        <v>269308</v>
      </c>
      <c r="G1060" s="1" t="s">
        <v>3834</v>
      </c>
      <c r="H1060">
        <v>24760929</v>
      </c>
      <c r="I1060">
        <v>54571</v>
      </c>
      <c r="J1060" t="s">
        <v>56</v>
      </c>
      <c r="K1060" s="17">
        <v>8603562000212</v>
      </c>
      <c r="L1060" s="17">
        <v>90739624001866</v>
      </c>
      <c r="M1060" s="9">
        <v>127.39</v>
      </c>
      <c r="N1060" t="s">
        <v>43</v>
      </c>
      <c r="Q1060" s="2"/>
      <c r="R1060" s="9"/>
      <c r="S1060" t="s">
        <v>44</v>
      </c>
      <c r="T1060" t="s">
        <v>45</v>
      </c>
      <c r="U1060" s="2" t="s">
        <v>584</v>
      </c>
      <c r="V1060" s="9" t="s">
        <v>3835</v>
      </c>
      <c r="W1060">
        <v>5.1260808603562005E+43</v>
      </c>
      <c r="X1060" t="s">
        <v>46</v>
      </c>
      <c r="Y1060" s="2" t="s">
        <v>717</v>
      </c>
      <c r="Z1060" s="2" t="s">
        <v>718</v>
      </c>
      <c r="AA1060" s="9" t="s">
        <v>715</v>
      </c>
      <c r="AC1060" s="2"/>
      <c r="AD1060" t="s">
        <v>7</v>
      </c>
      <c r="AE1060" t="s">
        <v>3836</v>
      </c>
    </row>
    <row r="1061" spans="1:31" x14ac:dyDescent="0.3">
      <c r="A1061" s="17">
        <v>90739624000118</v>
      </c>
      <c r="B1061" t="s">
        <v>8</v>
      </c>
      <c r="C1061">
        <v>22482</v>
      </c>
      <c r="D1061" t="s">
        <v>512</v>
      </c>
      <c r="E1061" t="s">
        <v>2</v>
      </c>
      <c r="F1061">
        <v>269308</v>
      </c>
      <c r="G1061" s="1" t="s">
        <v>3837</v>
      </c>
      <c r="H1061">
        <v>24760889</v>
      </c>
      <c r="I1061">
        <v>10337</v>
      </c>
      <c r="J1061" t="s">
        <v>10</v>
      </c>
      <c r="K1061" s="17">
        <v>33286065000102</v>
      </c>
      <c r="L1061" s="17">
        <v>9576274000106</v>
      </c>
      <c r="M1061" s="9">
        <v>163.76</v>
      </c>
      <c r="N1061" t="s">
        <v>43</v>
      </c>
      <c r="Q1061" s="2"/>
      <c r="R1061" s="9"/>
      <c r="S1061" t="s">
        <v>44</v>
      </c>
      <c r="T1061" t="s">
        <v>45</v>
      </c>
      <c r="U1061" s="2" t="s">
        <v>584</v>
      </c>
      <c r="V1061" s="9" t="s">
        <v>3838</v>
      </c>
      <c r="W1061">
        <v>4.1260833286065001E+43</v>
      </c>
      <c r="X1061" t="s">
        <v>46</v>
      </c>
      <c r="Y1061" s="2" t="s">
        <v>717</v>
      </c>
      <c r="Z1061" s="2" t="s">
        <v>718</v>
      </c>
      <c r="AA1061" s="9" t="s">
        <v>715</v>
      </c>
      <c r="AC1061" s="2"/>
      <c r="AD1061" t="s">
        <v>7</v>
      </c>
      <c r="AE1061" t="s">
        <v>3839</v>
      </c>
    </row>
    <row r="1062" spans="1:31" x14ac:dyDescent="0.3">
      <c r="A1062" s="17">
        <v>90739624000118</v>
      </c>
      <c r="B1062" t="s">
        <v>174</v>
      </c>
      <c r="D1062" t="s">
        <v>286</v>
      </c>
      <c r="E1062" t="s">
        <v>2</v>
      </c>
      <c r="F1062">
        <v>269308</v>
      </c>
      <c r="G1062" s="1" t="s">
        <v>3840</v>
      </c>
      <c r="H1062">
        <v>24760347</v>
      </c>
      <c r="I1062">
        <v>6203</v>
      </c>
      <c r="J1062" t="s">
        <v>287</v>
      </c>
      <c r="K1062" s="17">
        <v>38132296000177</v>
      </c>
      <c r="L1062" s="17">
        <v>90739624000118</v>
      </c>
      <c r="M1062" s="9">
        <v>394.03</v>
      </c>
      <c r="N1062" t="s">
        <v>43</v>
      </c>
      <c r="Q1062" s="2"/>
      <c r="R1062" s="9"/>
      <c r="S1062" t="s">
        <v>44</v>
      </c>
      <c r="T1062" t="s">
        <v>45</v>
      </c>
      <c r="U1062" s="2" t="s">
        <v>584</v>
      </c>
      <c r="V1062" s="9" t="s">
        <v>3841</v>
      </c>
      <c r="W1062">
        <v>1.7260838132295999E+43</v>
      </c>
      <c r="X1062" t="s">
        <v>46</v>
      </c>
      <c r="Y1062" s="2" t="s">
        <v>717</v>
      </c>
      <c r="Z1062" s="2" t="s">
        <v>718</v>
      </c>
      <c r="AA1062" s="9" t="s">
        <v>715</v>
      </c>
      <c r="AC1062" s="2"/>
      <c r="AD1062" t="s">
        <v>7</v>
      </c>
      <c r="AE1062" t="s">
        <v>3842</v>
      </c>
    </row>
    <row r="1063" spans="1:31" x14ac:dyDescent="0.3">
      <c r="A1063" s="17">
        <v>90739624000118</v>
      </c>
      <c r="B1063" t="s">
        <v>40</v>
      </c>
      <c r="D1063" t="s">
        <v>246</v>
      </c>
      <c r="E1063" t="s">
        <v>2</v>
      </c>
      <c r="F1063">
        <v>269308</v>
      </c>
      <c r="G1063" s="1" t="s">
        <v>3843</v>
      </c>
      <c r="H1063">
        <v>24760314</v>
      </c>
      <c r="I1063">
        <v>168142</v>
      </c>
      <c r="J1063" t="s">
        <v>42</v>
      </c>
      <c r="K1063" s="17">
        <v>82156977000248</v>
      </c>
      <c r="L1063" s="17">
        <v>90739624001432</v>
      </c>
      <c r="M1063" s="9">
        <v>148.58000000000001</v>
      </c>
      <c r="N1063" t="s">
        <v>43</v>
      </c>
      <c r="Q1063" s="2"/>
      <c r="R1063" s="9"/>
      <c r="S1063" t="s">
        <v>44</v>
      </c>
      <c r="T1063" t="s">
        <v>45</v>
      </c>
      <c r="U1063" s="2" t="s">
        <v>584</v>
      </c>
      <c r="V1063" s="9" t="s">
        <v>3844</v>
      </c>
      <c r="W1063">
        <v>4.2260882156977001E+43</v>
      </c>
      <c r="X1063" t="s">
        <v>46</v>
      </c>
      <c r="Y1063" s="2" t="s">
        <v>717</v>
      </c>
      <c r="Z1063" s="2" t="s">
        <v>718</v>
      </c>
      <c r="AA1063" s="9" t="s">
        <v>715</v>
      </c>
      <c r="AC1063" s="2"/>
      <c r="AD1063" t="s">
        <v>7</v>
      </c>
      <c r="AE1063" t="s">
        <v>3845</v>
      </c>
    </row>
    <row r="1064" spans="1:31" x14ac:dyDescent="0.3">
      <c r="A1064" s="17">
        <v>90739624000118</v>
      </c>
      <c r="B1064" t="s">
        <v>61</v>
      </c>
      <c r="D1064" t="s">
        <v>3846</v>
      </c>
      <c r="E1064" t="s">
        <v>2</v>
      </c>
      <c r="F1064">
        <v>269308</v>
      </c>
      <c r="G1064" s="1" t="s">
        <v>3847</v>
      </c>
      <c r="H1064">
        <v>24760170</v>
      </c>
      <c r="I1064">
        <v>2490</v>
      </c>
      <c r="J1064" t="s">
        <v>85</v>
      </c>
      <c r="K1064" s="17">
        <v>1975878000105</v>
      </c>
      <c r="L1064" s="17">
        <v>9576274000106</v>
      </c>
      <c r="M1064" s="9">
        <v>270.33999999999997</v>
      </c>
      <c r="N1064" t="s">
        <v>43</v>
      </c>
      <c r="Q1064" s="2"/>
      <c r="R1064" s="9"/>
      <c r="S1064" t="s">
        <v>44</v>
      </c>
      <c r="T1064" t="s">
        <v>45</v>
      </c>
      <c r="U1064" s="2" t="s">
        <v>584</v>
      </c>
      <c r="V1064" s="9" t="s">
        <v>3848</v>
      </c>
      <c r="W1064">
        <v>4.1260801975878E+43</v>
      </c>
      <c r="X1064" t="s">
        <v>46</v>
      </c>
      <c r="Y1064" s="2" t="s">
        <v>717</v>
      </c>
      <c r="Z1064" s="2" t="s">
        <v>718</v>
      </c>
      <c r="AA1064" s="9" t="s">
        <v>715</v>
      </c>
      <c r="AC1064" s="2"/>
      <c r="AD1064" t="s">
        <v>7</v>
      </c>
      <c r="AE1064" t="s">
        <v>3849</v>
      </c>
    </row>
    <row r="1065" spans="1:31" x14ac:dyDescent="0.3">
      <c r="A1065" s="17">
        <v>90739624000118</v>
      </c>
      <c r="B1065" t="s">
        <v>170</v>
      </c>
      <c r="C1065">
        <v>24444</v>
      </c>
      <c r="D1065" t="s">
        <v>281</v>
      </c>
      <c r="E1065" t="s">
        <v>2</v>
      </c>
      <c r="F1065">
        <v>269308</v>
      </c>
      <c r="G1065" s="1" t="s">
        <v>3850</v>
      </c>
      <c r="H1065">
        <v>24760162</v>
      </c>
      <c r="I1065">
        <v>128979</v>
      </c>
      <c r="J1065" t="s">
        <v>178</v>
      </c>
      <c r="K1065" s="17">
        <v>83392050000199</v>
      </c>
      <c r="L1065" s="17">
        <v>90739624001432</v>
      </c>
      <c r="M1065" s="9">
        <v>119.82</v>
      </c>
      <c r="N1065" t="s">
        <v>43</v>
      </c>
      <c r="Q1065" s="2"/>
      <c r="R1065" s="9"/>
      <c r="S1065" t="s">
        <v>44</v>
      </c>
      <c r="T1065" t="s">
        <v>45</v>
      </c>
      <c r="U1065" s="2" t="s">
        <v>584</v>
      </c>
      <c r="V1065" s="9" t="s">
        <v>3851</v>
      </c>
      <c r="W1065">
        <v>4.2260883392050001E+43</v>
      </c>
      <c r="X1065" t="s">
        <v>46</v>
      </c>
      <c r="Y1065" s="2" t="s">
        <v>717</v>
      </c>
      <c r="Z1065" s="2" t="s">
        <v>718</v>
      </c>
      <c r="AA1065" s="9" t="s">
        <v>715</v>
      </c>
      <c r="AC1065" s="2"/>
      <c r="AD1065" t="s">
        <v>7</v>
      </c>
      <c r="AE1065" t="s">
        <v>3852</v>
      </c>
    </row>
    <row r="1066" spans="1:31" x14ac:dyDescent="0.3">
      <c r="A1066" s="17">
        <v>90739624000118</v>
      </c>
      <c r="B1066" t="s">
        <v>13</v>
      </c>
      <c r="C1066">
        <v>20032</v>
      </c>
      <c r="D1066" t="s">
        <v>572</v>
      </c>
      <c r="E1066" t="s">
        <v>2</v>
      </c>
      <c r="F1066">
        <v>269308</v>
      </c>
      <c r="G1066" s="1" t="s">
        <v>3853</v>
      </c>
      <c r="H1066">
        <v>24760135</v>
      </c>
      <c r="I1066">
        <v>23961</v>
      </c>
      <c r="J1066" t="s">
        <v>15</v>
      </c>
      <c r="K1066" s="17">
        <v>30432373000100</v>
      </c>
      <c r="L1066" s="17">
        <v>90739624001190</v>
      </c>
      <c r="M1066" s="9">
        <v>276.87</v>
      </c>
      <c r="N1066" t="s">
        <v>43</v>
      </c>
      <c r="Q1066" s="2"/>
      <c r="R1066" s="9"/>
      <c r="S1066" t="s">
        <v>44</v>
      </c>
      <c r="T1066" t="s">
        <v>45</v>
      </c>
      <c r="U1066" s="2" t="s">
        <v>584</v>
      </c>
      <c r="V1066" s="9" t="s">
        <v>3854</v>
      </c>
      <c r="W1066">
        <v>5.0260830432372995E+43</v>
      </c>
      <c r="X1066" t="s">
        <v>46</v>
      </c>
      <c r="Y1066" s="2" t="s">
        <v>717</v>
      </c>
      <c r="Z1066" s="2" t="s">
        <v>718</v>
      </c>
      <c r="AA1066" s="9" t="s">
        <v>715</v>
      </c>
      <c r="AC1066" s="2"/>
      <c r="AD1066" t="s">
        <v>7</v>
      </c>
      <c r="AE1066" t="s">
        <v>3855</v>
      </c>
    </row>
    <row r="1067" spans="1:31" x14ac:dyDescent="0.3">
      <c r="A1067" s="17">
        <v>90739624000118</v>
      </c>
      <c r="B1067" t="s">
        <v>73</v>
      </c>
      <c r="D1067" t="s">
        <v>575</v>
      </c>
      <c r="E1067" t="s">
        <v>2</v>
      </c>
      <c r="F1067">
        <v>269308</v>
      </c>
      <c r="G1067" s="1" t="s">
        <v>3856</v>
      </c>
      <c r="H1067">
        <v>24760065</v>
      </c>
      <c r="J1067" t="s">
        <v>464</v>
      </c>
      <c r="K1067" s="17">
        <v>7473735012350</v>
      </c>
      <c r="L1067" s="17"/>
      <c r="M1067" s="9">
        <v>139.41</v>
      </c>
      <c r="N1067" t="s">
        <v>43</v>
      </c>
      <c r="Q1067" s="2"/>
      <c r="R1067" s="9"/>
      <c r="S1067" t="s">
        <v>87</v>
      </c>
      <c r="U1067" s="2"/>
      <c r="V1067" s="9"/>
      <c r="X1067" t="s">
        <v>88</v>
      </c>
      <c r="Y1067" s="2" t="s">
        <v>717</v>
      </c>
      <c r="Z1067" s="2" t="s">
        <v>718</v>
      </c>
      <c r="AA1067" s="9" t="s">
        <v>715</v>
      </c>
      <c r="AC1067" s="2"/>
      <c r="AD1067" t="s">
        <v>7</v>
      </c>
    </row>
    <row r="1068" spans="1:31" x14ac:dyDescent="0.3">
      <c r="A1068" s="17">
        <v>90739624000118</v>
      </c>
      <c r="B1068" t="s">
        <v>58</v>
      </c>
      <c r="C1068">
        <v>26122</v>
      </c>
      <c r="D1068" t="s">
        <v>102</v>
      </c>
      <c r="E1068" t="s">
        <v>2</v>
      </c>
      <c r="F1068">
        <v>269308</v>
      </c>
      <c r="G1068" s="1" t="s">
        <v>3858</v>
      </c>
      <c r="H1068">
        <v>24759991</v>
      </c>
      <c r="I1068">
        <v>9006</v>
      </c>
      <c r="J1068" t="s">
        <v>103</v>
      </c>
      <c r="K1068" s="17">
        <v>7473735021421</v>
      </c>
      <c r="L1068" s="17">
        <v>90739624002323</v>
      </c>
      <c r="M1068" s="9">
        <v>174.33</v>
      </c>
      <c r="N1068" t="s">
        <v>43</v>
      </c>
      <c r="Q1068" s="2"/>
      <c r="R1068" s="9"/>
      <c r="S1068" t="s">
        <v>44</v>
      </c>
      <c r="T1068" t="s">
        <v>45</v>
      </c>
      <c r="U1068" s="2" t="s">
        <v>584</v>
      </c>
      <c r="V1068" s="9" t="s">
        <v>3859</v>
      </c>
      <c r="W1068">
        <v>4.3260807473734999E+43</v>
      </c>
      <c r="X1068" t="s">
        <v>46</v>
      </c>
      <c r="Y1068" s="2" t="s">
        <v>717</v>
      </c>
      <c r="Z1068" s="2" t="s">
        <v>718</v>
      </c>
      <c r="AA1068" s="9" t="s">
        <v>715</v>
      </c>
      <c r="AC1068" s="2"/>
      <c r="AD1068" t="s">
        <v>7</v>
      </c>
      <c r="AE1068" t="s">
        <v>3860</v>
      </c>
    </row>
    <row r="1069" spans="1:31" x14ac:dyDescent="0.3">
      <c r="A1069" s="17">
        <v>90739624000118</v>
      </c>
      <c r="B1069" t="s">
        <v>52</v>
      </c>
      <c r="C1069">
        <v>22492</v>
      </c>
      <c r="D1069" t="s">
        <v>249</v>
      </c>
      <c r="E1069" t="s">
        <v>2</v>
      </c>
      <c r="F1069">
        <v>269308</v>
      </c>
      <c r="G1069" s="1" t="s">
        <v>3861</v>
      </c>
      <c r="H1069">
        <v>24759988</v>
      </c>
      <c r="I1069">
        <v>40512</v>
      </c>
      <c r="J1069" t="s">
        <v>545</v>
      </c>
      <c r="K1069" s="17">
        <v>30429333000282</v>
      </c>
      <c r="L1069" s="17">
        <v>9576274000106</v>
      </c>
      <c r="M1069" s="9">
        <v>167.56</v>
      </c>
      <c r="N1069" t="s">
        <v>43</v>
      </c>
      <c r="Q1069" s="2"/>
      <c r="R1069" s="9"/>
      <c r="S1069" t="s">
        <v>44</v>
      </c>
      <c r="T1069" t="s">
        <v>45</v>
      </c>
      <c r="U1069" s="2" t="s">
        <v>584</v>
      </c>
      <c r="V1069" s="9" t="s">
        <v>3862</v>
      </c>
      <c r="W1069">
        <v>4.1260830429333002E+43</v>
      </c>
      <c r="X1069" t="s">
        <v>46</v>
      </c>
      <c r="Y1069" s="2" t="s">
        <v>717</v>
      </c>
      <c r="Z1069" s="2" t="s">
        <v>718</v>
      </c>
      <c r="AA1069" s="9" t="s">
        <v>715</v>
      </c>
      <c r="AC1069" s="2"/>
      <c r="AD1069" t="s">
        <v>7</v>
      </c>
      <c r="AE1069" t="s">
        <v>3863</v>
      </c>
    </row>
    <row r="1070" spans="1:31" x14ac:dyDescent="0.3">
      <c r="A1070" s="17">
        <v>90739624000118</v>
      </c>
      <c r="B1070" t="s">
        <v>174</v>
      </c>
      <c r="D1070" t="s">
        <v>256</v>
      </c>
      <c r="E1070" t="s">
        <v>2</v>
      </c>
      <c r="F1070">
        <v>269308</v>
      </c>
      <c r="G1070" s="1" t="s">
        <v>3864</v>
      </c>
      <c r="H1070">
        <v>24759970</v>
      </c>
      <c r="I1070">
        <v>696126</v>
      </c>
      <c r="J1070" t="s">
        <v>257</v>
      </c>
      <c r="K1070" s="17">
        <v>16823762000128</v>
      </c>
      <c r="L1070" s="17">
        <v>90739624000118</v>
      </c>
      <c r="M1070" s="9">
        <v>183.13</v>
      </c>
      <c r="N1070" t="s">
        <v>43</v>
      </c>
      <c r="Q1070" s="2"/>
      <c r="R1070" s="9"/>
      <c r="S1070" t="s">
        <v>44</v>
      </c>
      <c r="T1070" t="s">
        <v>45</v>
      </c>
      <c r="U1070" s="2" t="s">
        <v>584</v>
      </c>
      <c r="V1070" s="9" t="s">
        <v>3865</v>
      </c>
      <c r="W1070">
        <v>1.7260816823762E+43</v>
      </c>
      <c r="X1070" t="s">
        <v>46</v>
      </c>
      <c r="Y1070" s="2" t="s">
        <v>717</v>
      </c>
      <c r="Z1070" s="2" t="s">
        <v>718</v>
      </c>
      <c r="AA1070" s="9" t="s">
        <v>715</v>
      </c>
      <c r="AC1070" s="2"/>
      <c r="AD1070" t="s">
        <v>7</v>
      </c>
      <c r="AE1070" t="s">
        <v>3866</v>
      </c>
    </row>
    <row r="1071" spans="1:31" x14ac:dyDescent="0.3">
      <c r="A1071" s="17">
        <v>90739624000118</v>
      </c>
      <c r="B1071" t="s">
        <v>31</v>
      </c>
      <c r="C1071">
        <v>21312</v>
      </c>
      <c r="D1071" t="s">
        <v>368</v>
      </c>
      <c r="E1071" t="s">
        <v>2</v>
      </c>
      <c r="F1071">
        <v>269308</v>
      </c>
      <c r="G1071" s="1" t="s">
        <v>3867</v>
      </c>
      <c r="H1071">
        <v>24759954</v>
      </c>
      <c r="I1071">
        <v>54561</v>
      </c>
      <c r="J1071" t="s">
        <v>56</v>
      </c>
      <c r="K1071" s="17">
        <v>8603562000212</v>
      </c>
      <c r="L1071" s="17">
        <v>90739624001866</v>
      </c>
      <c r="M1071" s="9">
        <v>139.85</v>
      </c>
      <c r="N1071" t="s">
        <v>43</v>
      </c>
      <c r="Q1071" s="2"/>
      <c r="R1071" s="9"/>
      <c r="S1071" t="s">
        <v>44</v>
      </c>
      <c r="T1071" t="s">
        <v>45</v>
      </c>
      <c r="U1071" s="2" t="s">
        <v>584</v>
      </c>
      <c r="V1071" s="9" t="s">
        <v>3868</v>
      </c>
      <c r="W1071">
        <v>5.1260808603562005E+43</v>
      </c>
      <c r="X1071" t="s">
        <v>46</v>
      </c>
      <c r="Y1071" s="2" t="s">
        <v>717</v>
      </c>
      <c r="Z1071" s="2" t="s">
        <v>718</v>
      </c>
      <c r="AA1071" s="9" t="s">
        <v>715</v>
      </c>
      <c r="AC1071" s="2"/>
      <c r="AD1071" t="s">
        <v>7</v>
      </c>
      <c r="AE1071" t="s">
        <v>3869</v>
      </c>
    </row>
    <row r="1072" spans="1:31" x14ac:dyDescent="0.3">
      <c r="A1072" s="17">
        <v>90739624000118</v>
      </c>
      <c r="B1072" t="s">
        <v>25</v>
      </c>
      <c r="D1072" t="s">
        <v>586</v>
      </c>
      <c r="E1072" t="s">
        <v>2</v>
      </c>
      <c r="F1072">
        <v>269308</v>
      </c>
      <c r="G1072" s="1" t="s">
        <v>3870</v>
      </c>
      <c r="H1072">
        <v>24759952</v>
      </c>
      <c r="I1072">
        <v>10425</v>
      </c>
      <c r="J1072" t="s">
        <v>255</v>
      </c>
      <c r="K1072" s="17">
        <v>8512459000690</v>
      </c>
      <c r="L1072" s="17">
        <v>90739624001866</v>
      </c>
      <c r="M1072" s="9">
        <v>174.17</v>
      </c>
      <c r="N1072" t="s">
        <v>43</v>
      </c>
      <c r="Q1072" s="2"/>
      <c r="R1072" s="9"/>
      <c r="S1072" t="s">
        <v>44</v>
      </c>
      <c r="T1072" t="s">
        <v>45</v>
      </c>
      <c r="U1072" s="2" t="s">
        <v>584</v>
      </c>
      <c r="V1072" s="9" t="s">
        <v>3871</v>
      </c>
      <c r="W1072">
        <v>5.1260808512458996E+43</v>
      </c>
      <c r="X1072" t="s">
        <v>46</v>
      </c>
      <c r="Y1072" s="2" t="s">
        <v>717</v>
      </c>
      <c r="Z1072" s="2" t="s">
        <v>718</v>
      </c>
      <c r="AA1072" s="9" t="s">
        <v>715</v>
      </c>
      <c r="AC1072" s="2"/>
      <c r="AD1072" t="s">
        <v>7</v>
      </c>
      <c r="AE1072" t="s">
        <v>3872</v>
      </c>
    </row>
    <row r="1073" spans="1:31" x14ac:dyDescent="0.3">
      <c r="A1073" s="17">
        <v>90739624000118</v>
      </c>
      <c r="B1073" t="s">
        <v>33</v>
      </c>
      <c r="C1073">
        <v>22486</v>
      </c>
      <c r="D1073" t="s">
        <v>38</v>
      </c>
      <c r="E1073" t="s">
        <v>2</v>
      </c>
      <c r="F1073">
        <v>269308</v>
      </c>
      <c r="G1073" s="1" t="s">
        <v>3873</v>
      </c>
      <c r="H1073">
        <v>24759941</v>
      </c>
      <c r="I1073">
        <v>1121</v>
      </c>
      <c r="J1073" t="s">
        <v>35</v>
      </c>
      <c r="K1073" s="17">
        <v>27933025000102</v>
      </c>
      <c r="L1073" s="17">
        <v>9576274000106</v>
      </c>
      <c r="M1073" s="9">
        <v>99.81</v>
      </c>
      <c r="N1073" t="s">
        <v>43</v>
      </c>
      <c r="Q1073" s="2"/>
      <c r="R1073" s="9"/>
      <c r="S1073" t="s">
        <v>44</v>
      </c>
      <c r="T1073" t="s">
        <v>45</v>
      </c>
      <c r="U1073" s="2" t="s">
        <v>583</v>
      </c>
      <c r="V1073" s="9" t="s">
        <v>3874</v>
      </c>
      <c r="W1073">
        <v>4.1260827933025001E+43</v>
      </c>
      <c r="X1073" t="s">
        <v>46</v>
      </c>
      <c r="Y1073" s="2" t="s">
        <v>717</v>
      </c>
      <c r="Z1073" s="2" t="s">
        <v>718</v>
      </c>
      <c r="AA1073" s="9" t="s">
        <v>715</v>
      </c>
      <c r="AC1073" s="2"/>
      <c r="AD1073" t="s">
        <v>7</v>
      </c>
      <c r="AE1073" t="s">
        <v>3875</v>
      </c>
    </row>
    <row r="1074" spans="1:31" x14ac:dyDescent="0.3">
      <c r="A1074" s="17">
        <v>90739624000118</v>
      </c>
      <c r="B1074" t="s">
        <v>0</v>
      </c>
      <c r="D1074" t="s">
        <v>284</v>
      </c>
      <c r="E1074" t="s">
        <v>17</v>
      </c>
      <c r="F1074">
        <v>269308</v>
      </c>
      <c r="G1074" s="1" t="s">
        <v>3876</v>
      </c>
      <c r="H1074">
        <v>24759912</v>
      </c>
      <c r="I1074">
        <v>28105</v>
      </c>
      <c r="J1074" t="s">
        <v>1026</v>
      </c>
      <c r="K1074" s="17">
        <v>81326258001407</v>
      </c>
      <c r="L1074" s="17">
        <v>90739624001432</v>
      </c>
      <c r="M1074" s="9">
        <v>102.86</v>
      </c>
      <c r="N1074" t="s">
        <v>43</v>
      </c>
      <c r="Q1074" s="2"/>
      <c r="R1074" s="9"/>
      <c r="S1074" t="s">
        <v>44</v>
      </c>
      <c r="T1074" t="s">
        <v>45</v>
      </c>
      <c r="U1074" s="2" t="s">
        <v>584</v>
      </c>
      <c r="V1074" s="9" t="s">
        <v>3878</v>
      </c>
      <c r="W1074">
        <v>4.2260881326258001E+43</v>
      </c>
      <c r="X1074" t="s">
        <v>46</v>
      </c>
      <c r="Y1074" s="2" t="s">
        <v>717</v>
      </c>
      <c r="Z1074" s="2" t="s">
        <v>718</v>
      </c>
      <c r="AA1074" s="9" t="s">
        <v>715</v>
      </c>
      <c r="AC1074" s="2"/>
      <c r="AD1074" t="s">
        <v>7</v>
      </c>
      <c r="AE1074" t="s">
        <v>3879</v>
      </c>
    </row>
    <row r="1075" spans="1:31" x14ac:dyDescent="0.3">
      <c r="A1075" s="17">
        <v>90739624000118</v>
      </c>
      <c r="B1075" t="s">
        <v>61</v>
      </c>
      <c r="D1075" t="s">
        <v>557</v>
      </c>
      <c r="E1075" t="s">
        <v>2</v>
      </c>
      <c r="F1075">
        <v>269308</v>
      </c>
      <c r="G1075" s="1" t="s">
        <v>3880</v>
      </c>
      <c r="H1075">
        <v>24759897</v>
      </c>
      <c r="I1075">
        <v>2489</v>
      </c>
      <c r="J1075" t="s">
        <v>85</v>
      </c>
      <c r="K1075" s="17">
        <v>1975878000105</v>
      </c>
      <c r="L1075" s="17">
        <v>9576274000106</v>
      </c>
      <c r="M1075" s="9">
        <v>185.12</v>
      </c>
      <c r="N1075" t="s">
        <v>43</v>
      </c>
      <c r="Q1075" s="2"/>
      <c r="R1075" s="9"/>
      <c r="S1075" t="s">
        <v>44</v>
      </c>
      <c r="T1075" t="s">
        <v>45</v>
      </c>
      <c r="U1075" s="2" t="s">
        <v>584</v>
      </c>
      <c r="V1075" s="9" t="s">
        <v>3881</v>
      </c>
      <c r="W1075">
        <v>4.1260801975878E+43</v>
      </c>
      <c r="X1075" t="s">
        <v>46</v>
      </c>
      <c r="Y1075" s="2" t="s">
        <v>717</v>
      </c>
      <c r="Z1075" s="2" t="s">
        <v>718</v>
      </c>
      <c r="AA1075" s="9" t="s">
        <v>715</v>
      </c>
      <c r="AC1075" s="2"/>
      <c r="AD1075" t="s">
        <v>7</v>
      </c>
      <c r="AE1075" t="s">
        <v>3882</v>
      </c>
    </row>
    <row r="1076" spans="1:31" x14ac:dyDescent="0.3">
      <c r="A1076" s="17">
        <v>90739624000118</v>
      </c>
      <c r="B1076" t="s">
        <v>0</v>
      </c>
      <c r="D1076" t="s">
        <v>284</v>
      </c>
      <c r="E1076" t="s">
        <v>2</v>
      </c>
      <c r="F1076">
        <v>269308</v>
      </c>
      <c r="G1076" s="1" t="s">
        <v>3883</v>
      </c>
      <c r="H1076">
        <v>24759826</v>
      </c>
      <c r="I1076">
        <v>28104</v>
      </c>
      <c r="J1076" t="s">
        <v>1026</v>
      </c>
      <c r="K1076" s="17">
        <v>81326258001407</v>
      </c>
      <c r="L1076" s="17">
        <v>90739624001432</v>
      </c>
      <c r="M1076" s="9">
        <v>2925.29</v>
      </c>
      <c r="N1076" t="s">
        <v>43</v>
      </c>
      <c r="Q1076" s="2"/>
      <c r="R1076" s="9"/>
      <c r="S1076" t="s">
        <v>44</v>
      </c>
      <c r="T1076" t="s">
        <v>45</v>
      </c>
      <c r="U1076" s="2" t="s">
        <v>584</v>
      </c>
      <c r="V1076" s="9" t="s">
        <v>3884</v>
      </c>
      <c r="W1076">
        <v>4.2260881326258001E+43</v>
      </c>
      <c r="X1076" t="s">
        <v>46</v>
      </c>
      <c r="Y1076" s="2" t="s">
        <v>717</v>
      </c>
      <c r="Z1076" s="2" t="s">
        <v>718</v>
      </c>
      <c r="AA1076" s="9" t="s">
        <v>715</v>
      </c>
      <c r="AC1076" s="2"/>
      <c r="AD1076" t="s">
        <v>7</v>
      </c>
      <c r="AE1076" t="s">
        <v>3885</v>
      </c>
    </row>
    <row r="1077" spans="1:31" x14ac:dyDescent="0.3">
      <c r="A1077" s="17">
        <v>90739624000118</v>
      </c>
      <c r="B1077" t="s">
        <v>31</v>
      </c>
      <c r="D1077" t="s">
        <v>110</v>
      </c>
      <c r="E1077" t="s">
        <v>2</v>
      </c>
      <c r="F1077">
        <v>269308</v>
      </c>
      <c r="G1077" s="1" t="s">
        <v>3886</v>
      </c>
      <c r="H1077">
        <v>24759815</v>
      </c>
      <c r="I1077">
        <v>69008</v>
      </c>
      <c r="J1077" t="s">
        <v>277</v>
      </c>
      <c r="K1077" s="17">
        <v>15361488000150</v>
      </c>
      <c r="L1077" s="17">
        <v>90739624001866</v>
      </c>
      <c r="M1077" s="9">
        <v>127.97</v>
      </c>
      <c r="N1077" t="s">
        <v>43</v>
      </c>
      <c r="Q1077" s="2"/>
      <c r="R1077" s="9"/>
      <c r="S1077" t="s">
        <v>44</v>
      </c>
      <c r="T1077" t="s">
        <v>45</v>
      </c>
      <c r="U1077" s="2" t="s">
        <v>584</v>
      </c>
      <c r="V1077" s="9" t="s">
        <v>3887</v>
      </c>
      <c r="W1077">
        <v>5.1260815361487999E+43</v>
      </c>
      <c r="X1077" t="s">
        <v>46</v>
      </c>
      <c r="Y1077" s="2" t="s">
        <v>717</v>
      </c>
      <c r="Z1077" s="2" t="s">
        <v>718</v>
      </c>
      <c r="AA1077" s="9" t="s">
        <v>715</v>
      </c>
      <c r="AC1077" s="2"/>
      <c r="AD1077" t="s">
        <v>7</v>
      </c>
      <c r="AE1077" t="s">
        <v>3888</v>
      </c>
    </row>
    <row r="1078" spans="1:31" x14ac:dyDescent="0.3">
      <c r="A1078" s="17">
        <v>90739624000118</v>
      </c>
      <c r="B1078" t="s">
        <v>73</v>
      </c>
      <c r="D1078" t="s">
        <v>261</v>
      </c>
      <c r="E1078" t="s">
        <v>17</v>
      </c>
      <c r="F1078">
        <v>269308</v>
      </c>
      <c r="G1078" s="1" t="s">
        <v>3889</v>
      </c>
      <c r="H1078">
        <v>24759808</v>
      </c>
      <c r="I1078">
        <v>21534</v>
      </c>
      <c r="J1078" t="s">
        <v>237</v>
      </c>
      <c r="K1078" s="17">
        <v>7473735006112</v>
      </c>
      <c r="L1078" s="17">
        <v>90739624002323</v>
      </c>
      <c r="M1078" s="9">
        <v>37.020000000000003</v>
      </c>
      <c r="N1078" t="s">
        <v>43</v>
      </c>
      <c r="Q1078" s="2"/>
      <c r="R1078" s="9"/>
      <c r="S1078" t="s">
        <v>44</v>
      </c>
      <c r="T1078" t="s">
        <v>45</v>
      </c>
      <c r="U1078" s="2" t="s">
        <v>584</v>
      </c>
      <c r="V1078" s="9" t="s">
        <v>3890</v>
      </c>
      <c r="W1078">
        <v>4.3260807473734999E+43</v>
      </c>
      <c r="X1078" t="s">
        <v>46</v>
      </c>
      <c r="Y1078" s="2" t="s">
        <v>717</v>
      </c>
      <c r="Z1078" s="2" t="s">
        <v>718</v>
      </c>
      <c r="AA1078" s="9" t="s">
        <v>715</v>
      </c>
      <c r="AC1078" s="2"/>
      <c r="AD1078" t="s">
        <v>7</v>
      </c>
      <c r="AE1078" t="s">
        <v>3891</v>
      </c>
    </row>
    <row r="1079" spans="1:31" x14ac:dyDescent="0.3">
      <c r="A1079" s="17">
        <v>90739624000118</v>
      </c>
      <c r="B1079" t="s">
        <v>31</v>
      </c>
      <c r="D1079" t="s">
        <v>172</v>
      </c>
      <c r="E1079" t="s">
        <v>2</v>
      </c>
      <c r="F1079">
        <v>269308</v>
      </c>
      <c r="G1079" s="1" t="s">
        <v>3892</v>
      </c>
      <c r="H1079">
        <v>24759794</v>
      </c>
      <c r="I1079">
        <v>54559</v>
      </c>
      <c r="J1079" t="s">
        <v>56</v>
      </c>
      <c r="K1079" s="17">
        <v>8603562000212</v>
      </c>
      <c r="L1079" s="17">
        <v>90739624001866</v>
      </c>
      <c r="M1079" s="9">
        <v>379.31</v>
      </c>
      <c r="N1079" t="s">
        <v>43</v>
      </c>
      <c r="Q1079" s="2"/>
      <c r="R1079" s="9"/>
      <c r="S1079" t="s">
        <v>44</v>
      </c>
      <c r="T1079" t="s">
        <v>45</v>
      </c>
      <c r="U1079" s="2" t="s">
        <v>584</v>
      </c>
      <c r="V1079" s="9" t="s">
        <v>3893</v>
      </c>
      <c r="W1079">
        <v>5.1260808603562005E+43</v>
      </c>
      <c r="X1079" t="s">
        <v>46</v>
      </c>
      <c r="Y1079" s="2" t="s">
        <v>717</v>
      </c>
      <c r="Z1079" s="2" t="s">
        <v>718</v>
      </c>
      <c r="AA1079" s="9" t="s">
        <v>715</v>
      </c>
      <c r="AC1079" s="2"/>
      <c r="AD1079" t="s">
        <v>7</v>
      </c>
      <c r="AE1079" t="s">
        <v>3894</v>
      </c>
    </row>
    <row r="1080" spans="1:31" x14ac:dyDescent="0.3">
      <c r="A1080" s="17">
        <v>90739624000118</v>
      </c>
      <c r="B1080" t="s">
        <v>170</v>
      </c>
      <c r="D1080" t="s">
        <v>476</v>
      </c>
      <c r="E1080" t="s">
        <v>2</v>
      </c>
      <c r="F1080">
        <v>269308</v>
      </c>
      <c r="G1080" s="1" t="s">
        <v>3895</v>
      </c>
      <c r="H1080">
        <v>24759734</v>
      </c>
      <c r="I1080">
        <v>47345</v>
      </c>
      <c r="J1080" t="s">
        <v>171</v>
      </c>
      <c r="K1080" s="17">
        <v>14631967000186</v>
      </c>
      <c r="L1080" s="17">
        <v>90739624001432</v>
      </c>
      <c r="M1080" s="9">
        <v>223.01</v>
      </c>
      <c r="N1080" t="s">
        <v>43</v>
      </c>
      <c r="Q1080" s="2"/>
      <c r="R1080" s="9"/>
      <c r="S1080" t="s">
        <v>44</v>
      </c>
      <c r="T1080" t="s">
        <v>45</v>
      </c>
      <c r="U1080" s="2" t="s">
        <v>584</v>
      </c>
      <c r="V1080" s="9" t="s">
        <v>3896</v>
      </c>
      <c r="W1080">
        <v>4.2260814631966998E+43</v>
      </c>
      <c r="X1080" t="s">
        <v>46</v>
      </c>
      <c r="Y1080" s="2" t="s">
        <v>717</v>
      </c>
      <c r="Z1080" s="2" t="s">
        <v>718</v>
      </c>
      <c r="AA1080" s="9" t="s">
        <v>715</v>
      </c>
      <c r="AC1080" s="2"/>
      <c r="AD1080" t="s">
        <v>7</v>
      </c>
      <c r="AE1080" t="s">
        <v>3897</v>
      </c>
    </row>
    <row r="1081" spans="1:31" x14ac:dyDescent="0.3">
      <c r="A1081" s="17">
        <v>90739624000118</v>
      </c>
      <c r="B1081" t="s">
        <v>73</v>
      </c>
      <c r="D1081" t="s">
        <v>261</v>
      </c>
      <c r="E1081" t="s">
        <v>2</v>
      </c>
      <c r="F1081">
        <v>269308</v>
      </c>
      <c r="G1081" s="1" t="s">
        <v>3898</v>
      </c>
      <c r="H1081">
        <v>24759679</v>
      </c>
      <c r="I1081">
        <v>21533</v>
      </c>
      <c r="J1081" t="s">
        <v>237</v>
      </c>
      <c r="K1081" s="17">
        <v>7473735006112</v>
      </c>
      <c r="L1081" s="17">
        <v>90739624002323</v>
      </c>
      <c r="M1081" s="9">
        <v>265.85000000000002</v>
      </c>
      <c r="N1081" t="s">
        <v>43</v>
      </c>
      <c r="Q1081" s="2"/>
      <c r="R1081" s="9"/>
      <c r="S1081" t="s">
        <v>44</v>
      </c>
      <c r="T1081" t="s">
        <v>45</v>
      </c>
      <c r="U1081" s="2" t="s">
        <v>584</v>
      </c>
      <c r="V1081" s="9" t="s">
        <v>3899</v>
      </c>
      <c r="W1081">
        <v>4.3260807473734999E+43</v>
      </c>
      <c r="X1081" t="s">
        <v>46</v>
      </c>
      <c r="Y1081" s="2" t="s">
        <v>717</v>
      </c>
      <c r="Z1081" s="2" t="s">
        <v>718</v>
      </c>
      <c r="AA1081" s="9" t="s">
        <v>715</v>
      </c>
      <c r="AC1081" s="2"/>
      <c r="AD1081" t="s">
        <v>7</v>
      </c>
      <c r="AE1081" t="s">
        <v>3900</v>
      </c>
    </row>
    <row r="1082" spans="1:31" x14ac:dyDescent="0.3">
      <c r="A1082" s="17">
        <v>90739624000118</v>
      </c>
      <c r="B1082" t="s">
        <v>58</v>
      </c>
      <c r="D1082" t="s">
        <v>555</v>
      </c>
      <c r="E1082" t="s">
        <v>17</v>
      </c>
      <c r="F1082">
        <v>269308</v>
      </c>
      <c r="G1082" s="1" t="s">
        <v>3901</v>
      </c>
      <c r="H1082">
        <v>24759613</v>
      </c>
      <c r="I1082">
        <v>110627</v>
      </c>
      <c r="J1082" t="s">
        <v>106</v>
      </c>
      <c r="K1082" s="17">
        <v>7473735015103</v>
      </c>
      <c r="L1082" s="17">
        <v>90739624002323</v>
      </c>
      <c r="M1082" s="9">
        <v>33.78</v>
      </c>
      <c r="N1082" t="s">
        <v>43</v>
      </c>
      <c r="Q1082" s="2"/>
      <c r="R1082" s="9"/>
      <c r="S1082" t="s">
        <v>44</v>
      </c>
      <c r="T1082" t="s">
        <v>45</v>
      </c>
      <c r="U1082" s="2" t="s">
        <v>584</v>
      </c>
      <c r="V1082" s="9" t="s">
        <v>3902</v>
      </c>
      <c r="W1082">
        <v>4.3260807473734999E+43</v>
      </c>
      <c r="X1082" t="s">
        <v>46</v>
      </c>
      <c r="Y1082" s="2" t="s">
        <v>717</v>
      </c>
      <c r="Z1082" s="2" t="s">
        <v>718</v>
      </c>
      <c r="AA1082" s="9" t="s">
        <v>715</v>
      </c>
      <c r="AC1082" s="2"/>
      <c r="AD1082" t="s">
        <v>7</v>
      </c>
      <c r="AE1082" t="s">
        <v>3903</v>
      </c>
    </row>
    <row r="1083" spans="1:31" x14ac:dyDescent="0.3">
      <c r="A1083" s="17">
        <v>90739624000118</v>
      </c>
      <c r="B1083" t="s">
        <v>58</v>
      </c>
      <c r="D1083" t="s">
        <v>555</v>
      </c>
      <c r="E1083" t="s">
        <v>2</v>
      </c>
      <c r="F1083">
        <v>269308</v>
      </c>
      <c r="G1083" s="1" t="s">
        <v>3904</v>
      </c>
      <c r="H1083">
        <v>24759566</v>
      </c>
      <c r="I1083">
        <v>110625</v>
      </c>
      <c r="J1083" t="s">
        <v>106</v>
      </c>
      <c r="K1083" s="17">
        <v>7473735015103</v>
      </c>
      <c r="L1083" s="17">
        <v>90739624002323</v>
      </c>
      <c r="M1083" s="9">
        <v>544.03</v>
      </c>
      <c r="N1083" t="s">
        <v>43</v>
      </c>
      <c r="Q1083" s="2"/>
      <c r="R1083" s="9"/>
      <c r="S1083" t="s">
        <v>44</v>
      </c>
      <c r="T1083" t="s">
        <v>45</v>
      </c>
      <c r="U1083" s="2" t="s">
        <v>584</v>
      </c>
      <c r="V1083" s="9" t="s">
        <v>3905</v>
      </c>
      <c r="W1083">
        <v>4.3260807473734999E+43</v>
      </c>
      <c r="X1083" t="s">
        <v>46</v>
      </c>
      <c r="Y1083" s="2" t="s">
        <v>717</v>
      </c>
      <c r="Z1083" s="2" t="s">
        <v>718</v>
      </c>
      <c r="AA1083" s="9" t="s">
        <v>715</v>
      </c>
      <c r="AC1083" s="2"/>
      <c r="AD1083" t="s">
        <v>7</v>
      </c>
      <c r="AE1083" t="s">
        <v>3906</v>
      </c>
    </row>
    <row r="1084" spans="1:31" x14ac:dyDescent="0.3">
      <c r="A1084" s="17">
        <v>90739624000118</v>
      </c>
      <c r="B1084" t="s">
        <v>13</v>
      </c>
      <c r="C1084">
        <v>22484</v>
      </c>
      <c r="D1084" t="s">
        <v>675</v>
      </c>
      <c r="E1084" t="s">
        <v>2</v>
      </c>
      <c r="F1084">
        <v>269308</v>
      </c>
      <c r="G1084" s="1" t="s">
        <v>3907</v>
      </c>
      <c r="H1084">
        <v>24759547</v>
      </c>
      <c r="I1084">
        <v>15781</v>
      </c>
      <c r="J1084" t="s">
        <v>315</v>
      </c>
      <c r="K1084" s="17">
        <v>2322969000104</v>
      </c>
      <c r="L1084" s="17">
        <v>90739624001190</v>
      </c>
      <c r="M1084" s="9">
        <v>321.99</v>
      </c>
      <c r="N1084" t="s">
        <v>43</v>
      </c>
      <c r="Q1084" s="2"/>
      <c r="R1084" s="9"/>
      <c r="S1084" t="s">
        <v>44</v>
      </c>
      <c r="T1084" t="s">
        <v>45</v>
      </c>
      <c r="U1084" s="2" t="s">
        <v>584</v>
      </c>
      <c r="V1084" s="9" t="s">
        <v>3908</v>
      </c>
      <c r="W1084">
        <v>5.0260802322968997E+43</v>
      </c>
      <c r="X1084" t="s">
        <v>46</v>
      </c>
      <c r="Y1084" s="2" t="s">
        <v>717</v>
      </c>
      <c r="Z1084" s="2" t="s">
        <v>718</v>
      </c>
      <c r="AA1084" s="9" t="s">
        <v>715</v>
      </c>
      <c r="AC1084" s="2"/>
      <c r="AD1084" t="s">
        <v>7</v>
      </c>
      <c r="AE1084" t="s">
        <v>3909</v>
      </c>
    </row>
    <row r="1085" spans="1:31" x14ac:dyDescent="0.3">
      <c r="A1085" s="17">
        <v>90739624000118</v>
      </c>
      <c r="B1085" t="s">
        <v>31</v>
      </c>
      <c r="D1085" t="s">
        <v>280</v>
      </c>
      <c r="E1085" t="s">
        <v>2</v>
      </c>
      <c r="F1085">
        <v>269308</v>
      </c>
      <c r="G1085" s="1" t="s">
        <v>3910</v>
      </c>
      <c r="H1085">
        <v>24759499</v>
      </c>
      <c r="I1085">
        <v>54558</v>
      </c>
      <c r="J1085" t="s">
        <v>56</v>
      </c>
      <c r="K1085" s="17">
        <v>8603562000212</v>
      </c>
      <c r="L1085" s="17">
        <v>90739624001866</v>
      </c>
      <c r="M1085" s="9">
        <v>87.27</v>
      </c>
      <c r="N1085" t="s">
        <v>43</v>
      </c>
      <c r="Q1085" s="2"/>
      <c r="R1085" s="9"/>
      <c r="S1085" t="s">
        <v>44</v>
      </c>
      <c r="T1085" t="s">
        <v>45</v>
      </c>
      <c r="U1085" s="2" t="s">
        <v>584</v>
      </c>
      <c r="V1085" s="9" t="s">
        <v>3911</v>
      </c>
      <c r="W1085">
        <v>5.1260808603562005E+43</v>
      </c>
      <c r="X1085" t="s">
        <v>46</v>
      </c>
      <c r="Y1085" s="2" t="s">
        <v>717</v>
      </c>
      <c r="Z1085" s="2" t="s">
        <v>718</v>
      </c>
      <c r="AA1085" s="9" t="s">
        <v>715</v>
      </c>
      <c r="AC1085" s="2"/>
      <c r="AD1085" t="s">
        <v>7</v>
      </c>
      <c r="AE1085" t="s">
        <v>3912</v>
      </c>
    </row>
    <row r="1086" spans="1:31" x14ac:dyDescent="0.3">
      <c r="A1086" s="17">
        <v>90739624000118</v>
      </c>
      <c r="B1086" t="s">
        <v>11</v>
      </c>
      <c r="C1086">
        <v>22475</v>
      </c>
      <c r="D1086" t="s">
        <v>12</v>
      </c>
      <c r="E1086" t="s">
        <v>2</v>
      </c>
      <c r="F1086">
        <v>269308</v>
      </c>
      <c r="G1086" s="1" t="s">
        <v>3913</v>
      </c>
      <c r="H1086">
        <v>24759256</v>
      </c>
      <c r="I1086">
        <v>97776</v>
      </c>
      <c r="J1086" t="s">
        <v>1032</v>
      </c>
      <c r="K1086" s="17">
        <v>9427958000138</v>
      </c>
      <c r="L1086" s="17">
        <v>90739624001947</v>
      </c>
      <c r="M1086" s="9">
        <v>249.97</v>
      </c>
      <c r="N1086" t="s">
        <v>43</v>
      </c>
      <c r="Q1086" s="2"/>
      <c r="R1086" s="9"/>
      <c r="S1086" t="s">
        <v>44</v>
      </c>
      <c r="T1086" t="s">
        <v>45</v>
      </c>
      <c r="U1086" s="2" t="s">
        <v>584</v>
      </c>
      <c r="V1086" s="9" t="s">
        <v>3914</v>
      </c>
      <c r="W1086">
        <v>5.2260809427957998E+43</v>
      </c>
      <c r="X1086" t="s">
        <v>46</v>
      </c>
      <c r="Y1086" s="2" t="s">
        <v>717</v>
      </c>
      <c r="Z1086" s="2" t="s">
        <v>718</v>
      </c>
      <c r="AA1086" s="9" t="s">
        <v>715</v>
      </c>
      <c r="AC1086" s="2"/>
      <c r="AD1086" t="s">
        <v>7</v>
      </c>
      <c r="AE1086" t="s">
        <v>3915</v>
      </c>
    </row>
    <row r="1087" spans="1:31" x14ac:dyDescent="0.3">
      <c r="A1087" s="17">
        <v>90739624000118</v>
      </c>
      <c r="B1087" t="s">
        <v>63</v>
      </c>
      <c r="D1087" t="s">
        <v>276</v>
      </c>
      <c r="E1087" t="s">
        <v>2</v>
      </c>
      <c r="F1087">
        <v>269308</v>
      </c>
      <c r="G1087" s="1" t="s">
        <v>3916</v>
      </c>
      <c r="H1087">
        <v>24759234</v>
      </c>
      <c r="I1087">
        <v>178641</v>
      </c>
      <c r="J1087" t="s">
        <v>64</v>
      </c>
      <c r="K1087" s="17">
        <v>23448964001921</v>
      </c>
      <c r="L1087" s="17">
        <v>90739624001432</v>
      </c>
      <c r="M1087" s="9">
        <v>197.06</v>
      </c>
      <c r="N1087" t="s">
        <v>43</v>
      </c>
      <c r="Q1087" s="2"/>
      <c r="R1087" s="9"/>
      <c r="S1087" t="s">
        <v>44</v>
      </c>
      <c r="T1087" t="s">
        <v>45</v>
      </c>
      <c r="U1087" s="2" t="s">
        <v>584</v>
      </c>
      <c r="V1087" s="9" t="s">
        <v>3917</v>
      </c>
      <c r="W1087">
        <v>4.2260823448963998E+43</v>
      </c>
      <c r="X1087" t="s">
        <v>46</v>
      </c>
      <c r="Y1087" s="2" t="s">
        <v>717</v>
      </c>
      <c r="Z1087" s="2" t="s">
        <v>718</v>
      </c>
      <c r="AA1087" s="9" t="s">
        <v>715</v>
      </c>
      <c r="AC1087" s="2"/>
      <c r="AD1087" t="s">
        <v>7</v>
      </c>
      <c r="AE1087" t="s">
        <v>3918</v>
      </c>
    </row>
    <row r="1088" spans="1:31" x14ac:dyDescent="0.3">
      <c r="A1088" s="17">
        <v>90739624000118</v>
      </c>
      <c r="B1088" t="s">
        <v>61</v>
      </c>
      <c r="C1088">
        <v>18633</v>
      </c>
      <c r="D1088" t="s">
        <v>304</v>
      </c>
      <c r="E1088" t="s">
        <v>2</v>
      </c>
      <c r="F1088">
        <v>269308</v>
      </c>
      <c r="G1088" s="1" t="s">
        <v>3919</v>
      </c>
      <c r="H1088">
        <v>24759025</v>
      </c>
      <c r="I1088">
        <v>32010</v>
      </c>
      <c r="J1088" t="s">
        <v>79</v>
      </c>
      <c r="K1088" s="17">
        <v>7473735000777</v>
      </c>
      <c r="L1088" s="17">
        <v>90739624002323</v>
      </c>
      <c r="M1088" s="9">
        <v>669.18</v>
      </c>
      <c r="N1088" t="s">
        <v>43</v>
      </c>
      <c r="Q1088" s="2"/>
      <c r="R1088" s="9"/>
      <c r="S1088" t="s">
        <v>44</v>
      </c>
      <c r="T1088" t="s">
        <v>45</v>
      </c>
      <c r="U1088" s="2" t="s">
        <v>584</v>
      </c>
      <c r="V1088" s="9" t="s">
        <v>3920</v>
      </c>
      <c r="W1088">
        <v>4.3260807473734999E+43</v>
      </c>
      <c r="X1088" t="s">
        <v>46</v>
      </c>
      <c r="Y1088" s="2" t="s">
        <v>717</v>
      </c>
      <c r="Z1088" s="2" t="s">
        <v>718</v>
      </c>
      <c r="AA1088" s="9" t="s">
        <v>715</v>
      </c>
      <c r="AC1088" s="2"/>
      <c r="AD1088" t="s">
        <v>7</v>
      </c>
      <c r="AE1088" t="s">
        <v>3921</v>
      </c>
    </row>
    <row r="1089" spans="1:31" x14ac:dyDescent="0.3">
      <c r="A1089" s="17">
        <v>90739624000118</v>
      </c>
      <c r="B1089" t="s">
        <v>40</v>
      </c>
      <c r="C1089">
        <v>24143</v>
      </c>
      <c r="D1089" t="s">
        <v>232</v>
      </c>
      <c r="E1089" t="s">
        <v>2</v>
      </c>
      <c r="F1089">
        <v>269308</v>
      </c>
      <c r="G1089" s="1" t="s">
        <v>3922</v>
      </c>
      <c r="H1089">
        <v>24758949</v>
      </c>
      <c r="I1089">
        <v>168133</v>
      </c>
      <c r="J1089" t="s">
        <v>42</v>
      </c>
      <c r="K1089" s="17">
        <v>82156977000248</v>
      </c>
      <c r="L1089" s="17">
        <v>90739624001432</v>
      </c>
      <c r="M1089" s="9">
        <v>189.5</v>
      </c>
      <c r="N1089" t="s">
        <v>43</v>
      </c>
      <c r="Q1089" s="2"/>
      <c r="R1089" s="9"/>
      <c r="S1089" t="s">
        <v>44</v>
      </c>
      <c r="T1089" t="s">
        <v>45</v>
      </c>
      <c r="U1089" s="2" t="s">
        <v>584</v>
      </c>
      <c r="V1089" s="9" t="s">
        <v>3923</v>
      </c>
      <c r="W1089">
        <v>4.2260882156977001E+43</v>
      </c>
      <c r="X1089" t="s">
        <v>46</v>
      </c>
      <c r="Y1089" s="2" t="s">
        <v>717</v>
      </c>
      <c r="Z1089" s="2" t="s">
        <v>718</v>
      </c>
      <c r="AA1089" s="9" t="s">
        <v>715</v>
      </c>
      <c r="AC1089" s="2"/>
      <c r="AD1089" t="s">
        <v>7</v>
      </c>
      <c r="AE1089" t="s">
        <v>3924</v>
      </c>
    </row>
    <row r="1090" spans="1:31" x14ac:dyDescent="0.3">
      <c r="A1090" s="17">
        <v>90739624000118</v>
      </c>
      <c r="B1090" t="s">
        <v>31</v>
      </c>
      <c r="D1090" t="s">
        <v>273</v>
      </c>
      <c r="E1090" t="s">
        <v>2</v>
      </c>
      <c r="F1090">
        <v>269308</v>
      </c>
      <c r="G1090" s="1" t="s">
        <v>3925</v>
      </c>
      <c r="H1090">
        <v>24758708</v>
      </c>
      <c r="I1090">
        <v>55778</v>
      </c>
      <c r="J1090" t="s">
        <v>504</v>
      </c>
      <c r="K1090" s="17">
        <v>8603562002002</v>
      </c>
      <c r="L1090" s="17">
        <v>90739624001866</v>
      </c>
      <c r="M1090" s="9">
        <v>172.33</v>
      </c>
      <c r="N1090" t="s">
        <v>43</v>
      </c>
      <c r="Q1090" s="2"/>
      <c r="R1090" s="9"/>
      <c r="S1090" t="s">
        <v>44</v>
      </c>
      <c r="T1090" t="s">
        <v>45</v>
      </c>
      <c r="U1090" s="2" t="s">
        <v>584</v>
      </c>
      <c r="V1090" s="9" t="s">
        <v>3926</v>
      </c>
      <c r="W1090">
        <v>5.1260808603562005E+43</v>
      </c>
      <c r="X1090" t="s">
        <v>46</v>
      </c>
      <c r="Y1090" s="2" t="s">
        <v>717</v>
      </c>
      <c r="Z1090" s="2" t="s">
        <v>718</v>
      </c>
      <c r="AA1090" s="9" t="s">
        <v>715</v>
      </c>
      <c r="AC1090" s="2"/>
      <c r="AD1090" t="s">
        <v>7</v>
      </c>
      <c r="AE1090" t="s">
        <v>3927</v>
      </c>
    </row>
    <row r="1091" spans="1:31" x14ac:dyDescent="0.3">
      <c r="A1091" s="17">
        <v>90739624000118</v>
      </c>
      <c r="B1091" t="s">
        <v>65</v>
      </c>
      <c r="D1091" t="s">
        <v>278</v>
      </c>
      <c r="E1091" t="s">
        <v>2</v>
      </c>
      <c r="F1091">
        <v>269308</v>
      </c>
      <c r="G1091" s="1" t="s">
        <v>3928</v>
      </c>
      <c r="H1091">
        <v>24758371</v>
      </c>
      <c r="I1091">
        <v>76218</v>
      </c>
      <c r="J1091" t="s">
        <v>279</v>
      </c>
      <c r="K1091" s="17">
        <v>7473735014646</v>
      </c>
      <c r="L1091" s="17">
        <v>90739624002323</v>
      </c>
      <c r="M1091" s="9">
        <v>218.36</v>
      </c>
      <c r="N1091" t="s">
        <v>43</v>
      </c>
      <c r="Q1091" s="2"/>
      <c r="R1091" s="9"/>
      <c r="S1091" t="s">
        <v>44</v>
      </c>
      <c r="T1091" t="s">
        <v>45</v>
      </c>
      <c r="U1091" s="2" t="s">
        <v>584</v>
      </c>
      <c r="V1091" s="9" t="s">
        <v>3929</v>
      </c>
      <c r="W1091">
        <v>4.3260807473734999E+43</v>
      </c>
      <c r="X1091" t="s">
        <v>46</v>
      </c>
      <c r="Y1091" s="2" t="s">
        <v>717</v>
      </c>
      <c r="Z1091" s="2" t="s">
        <v>718</v>
      </c>
      <c r="AA1091" s="9" t="s">
        <v>715</v>
      </c>
      <c r="AC1091" s="2"/>
      <c r="AD1091" t="s">
        <v>7</v>
      </c>
      <c r="AE1091" t="s">
        <v>3930</v>
      </c>
    </row>
    <row r="1092" spans="1:31" x14ac:dyDescent="0.3">
      <c r="A1092" s="17">
        <v>90739624000118</v>
      </c>
      <c r="B1092" t="s">
        <v>126</v>
      </c>
      <c r="D1092" t="s">
        <v>3931</v>
      </c>
      <c r="E1092" t="s">
        <v>2</v>
      </c>
      <c r="F1092">
        <v>269308</v>
      </c>
      <c r="G1092" s="1" t="s">
        <v>3932</v>
      </c>
      <c r="H1092">
        <v>24758366</v>
      </c>
      <c r="I1092">
        <v>28467</v>
      </c>
      <c r="J1092" t="s">
        <v>127</v>
      </c>
      <c r="K1092" s="17">
        <v>76493295000147</v>
      </c>
      <c r="L1092" s="17">
        <v>9576274000106</v>
      </c>
      <c r="M1092" s="9">
        <v>633.96</v>
      </c>
      <c r="N1092" t="s">
        <v>43</v>
      </c>
      <c r="Q1092" s="2"/>
      <c r="R1092" s="9"/>
      <c r="S1092" t="s">
        <v>44</v>
      </c>
      <c r="T1092" t="s">
        <v>45</v>
      </c>
      <c r="U1092" s="2" t="s">
        <v>584</v>
      </c>
      <c r="V1092" s="9" t="s">
        <v>3933</v>
      </c>
      <c r="W1092">
        <v>4.1260876493295002E+43</v>
      </c>
      <c r="X1092" t="s">
        <v>46</v>
      </c>
      <c r="Y1092" s="2" t="s">
        <v>717</v>
      </c>
      <c r="Z1092" s="2" t="s">
        <v>718</v>
      </c>
      <c r="AA1092" s="9" t="s">
        <v>715</v>
      </c>
      <c r="AC1092" s="2"/>
      <c r="AD1092" t="s">
        <v>7</v>
      </c>
      <c r="AE1092" t="s">
        <v>3934</v>
      </c>
    </row>
    <row r="1093" spans="1:31" x14ac:dyDescent="0.3">
      <c r="A1093" s="17">
        <v>90739624000118</v>
      </c>
      <c r="B1093" t="s">
        <v>36</v>
      </c>
      <c r="D1093" t="s">
        <v>510</v>
      </c>
      <c r="E1093" t="s">
        <v>2</v>
      </c>
      <c r="F1093">
        <v>269308</v>
      </c>
      <c r="G1093" s="1" t="s">
        <v>3935</v>
      </c>
      <c r="H1093">
        <v>24758264</v>
      </c>
      <c r="I1093">
        <v>4104</v>
      </c>
      <c r="J1093" t="s">
        <v>186</v>
      </c>
      <c r="K1093" s="17">
        <v>7822636000168</v>
      </c>
      <c r="L1093" s="17">
        <v>90739624004458</v>
      </c>
      <c r="M1093" s="9">
        <v>129.78</v>
      </c>
      <c r="N1093" t="s">
        <v>43</v>
      </c>
      <c r="Q1093" s="2"/>
      <c r="R1093" s="9"/>
      <c r="S1093" t="s">
        <v>44</v>
      </c>
      <c r="T1093" t="s">
        <v>45</v>
      </c>
      <c r="U1093" s="2" t="s">
        <v>584</v>
      </c>
      <c r="V1093" s="9" t="s">
        <v>3936</v>
      </c>
      <c r="W1093">
        <v>5.3260807822636003E+43</v>
      </c>
      <c r="X1093" t="s">
        <v>46</v>
      </c>
      <c r="Y1093" s="2" t="s">
        <v>717</v>
      </c>
      <c r="Z1093" s="2" t="s">
        <v>718</v>
      </c>
      <c r="AA1093" s="9" t="s">
        <v>715</v>
      </c>
      <c r="AC1093" s="2"/>
      <c r="AD1093" t="s">
        <v>7</v>
      </c>
      <c r="AE1093" t="s">
        <v>3937</v>
      </c>
    </row>
    <row r="1094" spans="1:31" x14ac:dyDescent="0.3">
      <c r="A1094" s="17">
        <v>90739624000118</v>
      </c>
      <c r="B1094" t="s">
        <v>25</v>
      </c>
      <c r="D1094" t="s">
        <v>93</v>
      </c>
      <c r="E1094" t="s">
        <v>2</v>
      </c>
      <c r="F1094">
        <v>269308</v>
      </c>
      <c r="G1094" s="1" t="s">
        <v>3938</v>
      </c>
      <c r="H1094">
        <v>24758030</v>
      </c>
      <c r="I1094">
        <v>33878</v>
      </c>
      <c r="J1094" t="s">
        <v>132</v>
      </c>
      <c r="K1094" s="17">
        <v>10588554000105</v>
      </c>
      <c r="L1094" s="17">
        <v>90739624003486</v>
      </c>
      <c r="M1094" s="9">
        <v>85.08</v>
      </c>
      <c r="N1094" t="s">
        <v>43</v>
      </c>
      <c r="Q1094" s="2"/>
      <c r="R1094" s="9"/>
      <c r="S1094" t="s">
        <v>44</v>
      </c>
      <c r="T1094" t="s">
        <v>45</v>
      </c>
      <c r="U1094" s="2" t="s">
        <v>584</v>
      </c>
      <c r="V1094" s="9" t="s">
        <v>3939</v>
      </c>
      <c r="W1094">
        <v>5.1260810588554005E+43</v>
      </c>
      <c r="X1094" t="s">
        <v>46</v>
      </c>
      <c r="Y1094" s="2" t="s">
        <v>717</v>
      </c>
      <c r="Z1094" s="2" t="s">
        <v>718</v>
      </c>
      <c r="AA1094" s="9" t="s">
        <v>715</v>
      </c>
      <c r="AC1094" s="2"/>
      <c r="AD1094" t="s">
        <v>7</v>
      </c>
      <c r="AE1094" t="s">
        <v>3940</v>
      </c>
    </row>
    <row r="1095" spans="1:31" x14ac:dyDescent="0.3">
      <c r="A1095" s="17">
        <v>90739624000118</v>
      </c>
      <c r="B1095" t="s">
        <v>174</v>
      </c>
      <c r="D1095" t="s">
        <v>175</v>
      </c>
      <c r="E1095" t="s">
        <v>2</v>
      </c>
      <c r="F1095">
        <v>269308</v>
      </c>
      <c r="G1095" s="1" t="s">
        <v>3941</v>
      </c>
      <c r="H1095">
        <v>24757943</v>
      </c>
      <c r="I1095">
        <v>5561</v>
      </c>
      <c r="J1095" t="s">
        <v>268</v>
      </c>
      <c r="K1095" s="17">
        <v>4985282000184</v>
      </c>
      <c r="L1095" s="17">
        <v>90739624000118</v>
      </c>
      <c r="M1095" s="9">
        <v>234.16</v>
      </c>
      <c r="N1095" t="s">
        <v>43</v>
      </c>
      <c r="Q1095" s="2"/>
      <c r="R1095" s="9"/>
      <c r="S1095" t="s">
        <v>44</v>
      </c>
      <c r="T1095" t="s">
        <v>45</v>
      </c>
      <c r="U1095" s="2" t="s">
        <v>584</v>
      </c>
      <c r="V1095" s="9" t="s">
        <v>3942</v>
      </c>
      <c r="W1095">
        <v>1.7260804985282E+43</v>
      </c>
      <c r="X1095" t="s">
        <v>46</v>
      </c>
      <c r="Y1095" s="2" t="s">
        <v>717</v>
      </c>
      <c r="Z1095" s="2" t="s">
        <v>718</v>
      </c>
      <c r="AA1095" s="9" t="s">
        <v>715</v>
      </c>
      <c r="AC1095" s="2"/>
      <c r="AD1095" t="s">
        <v>7</v>
      </c>
      <c r="AE1095" t="s">
        <v>3943</v>
      </c>
    </row>
    <row r="1096" spans="1:31" x14ac:dyDescent="0.3">
      <c r="A1096" s="17">
        <v>90739624000118</v>
      </c>
      <c r="B1096" t="s">
        <v>25</v>
      </c>
      <c r="D1096" t="s">
        <v>548</v>
      </c>
      <c r="E1096" t="s">
        <v>2</v>
      </c>
      <c r="F1096">
        <v>269308</v>
      </c>
      <c r="G1096" s="1" t="s">
        <v>3944</v>
      </c>
      <c r="H1096">
        <v>24757941</v>
      </c>
      <c r="I1096">
        <v>33877</v>
      </c>
      <c r="J1096" t="s">
        <v>132</v>
      </c>
      <c r="K1096" s="17">
        <v>10588554000105</v>
      </c>
      <c r="L1096" s="17">
        <v>90739624003486</v>
      </c>
      <c r="M1096" s="9">
        <v>109.32</v>
      </c>
      <c r="N1096" t="s">
        <v>43</v>
      </c>
      <c r="Q1096" s="2"/>
      <c r="R1096" s="9"/>
      <c r="S1096" t="s">
        <v>44</v>
      </c>
      <c r="T1096" t="s">
        <v>45</v>
      </c>
      <c r="U1096" s="2" t="s">
        <v>584</v>
      </c>
      <c r="V1096" s="9" t="s">
        <v>3945</v>
      </c>
      <c r="W1096">
        <v>5.1260810588554005E+43</v>
      </c>
      <c r="X1096" t="s">
        <v>46</v>
      </c>
      <c r="Y1096" s="2" t="s">
        <v>717</v>
      </c>
      <c r="Z1096" s="2" t="s">
        <v>718</v>
      </c>
      <c r="AA1096" s="9" t="s">
        <v>715</v>
      </c>
      <c r="AC1096" s="2"/>
      <c r="AD1096" t="s">
        <v>7</v>
      </c>
      <c r="AE1096" t="s">
        <v>3946</v>
      </c>
    </row>
    <row r="1097" spans="1:31" x14ac:dyDescent="0.3">
      <c r="A1097" s="17">
        <v>90739624000118</v>
      </c>
      <c r="B1097" t="s">
        <v>28</v>
      </c>
      <c r="C1097">
        <v>21637</v>
      </c>
      <c r="D1097" t="s">
        <v>549</v>
      </c>
      <c r="E1097" t="s">
        <v>2</v>
      </c>
      <c r="F1097">
        <v>269308</v>
      </c>
      <c r="G1097" s="1" t="s">
        <v>3947</v>
      </c>
      <c r="H1097">
        <v>24757929</v>
      </c>
      <c r="I1097">
        <v>81124</v>
      </c>
      <c r="J1097" t="s">
        <v>48</v>
      </c>
      <c r="K1097" s="17">
        <v>1272434001002</v>
      </c>
      <c r="L1097" s="17">
        <v>90739624001947</v>
      </c>
      <c r="M1097" s="9">
        <v>518.96</v>
      </c>
      <c r="N1097" t="s">
        <v>43</v>
      </c>
      <c r="Q1097" s="2"/>
      <c r="R1097" s="9"/>
      <c r="S1097" t="s">
        <v>44</v>
      </c>
      <c r="T1097" t="s">
        <v>45</v>
      </c>
      <c r="U1097" s="2" t="s">
        <v>584</v>
      </c>
      <c r="V1097" s="9" t="s">
        <v>620</v>
      </c>
      <c r="W1097">
        <v>5.2260801272433996E+43</v>
      </c>
      <c r="X1097" t="s">
        <v>46</v>
      </c>
      <c r="Y1097" s="2" t="s">
        <v>717</v>
      </c>
      <c r="Z1097" s="2" t="s">
        <v>718</v>
      </c>
      <c r="AA1097" s="9" t="s">
        <v>715</v>
      </c>
      <c r="AC1097" s="2"/>
      <c r="AD1097" t="s">
        <v>7</v>
      </c>
      <c r="AE1097" t="s">
        <v>3948</v>
      </c>
    </row>
    <row r="1098" spans="1:31" x14ac:dyDescent="0.3">
      <c r="A1098" s="17">
        <v>90739624000118</v>
      </c>
      <c r="B1098" t="s">
        <v>58</v>
      </c>
      <c r="C1098">
        <v>24800</v>
      </c>
      <c r="D1098" t="s">
        <v>539</v>
      </c>
      <c r="E1098" t="s">
        <v>17</v>
      </c>
      <c r="F1098">
        <v>269308</v>
      </c>
      <c r="G1098" s="1" t="s">
        <v>3949</v>
      </c>
      <c r="H1098">
        <v>24757725</v>
      </c>
      <c r="I1098">
        <v>110619</v>
      </c>
      <c r="J1098" t="s">
        <v>106</v>
      </c>
      <c r="K1098" s="17">
        <v>7473735015103</v>
      </c>
      <c r="L1098" s="17">
        <v>90739624002323</v>
      </c>
      <c r="M1098" s="9">
        <v>67.349999999999994</v>
      </c>
      <c r="N1098" t="s">
        <v>43</v>
      </c>
      <c r="Q1098" s="2"/>
      <c r="R1098" s="9"/>
      <c r="S1098" t="s">
        <v>44</v>
      </c>
      <c r="T1098" t="s">
        <v>45</v>
      </c>
      <c r="U1098" s="2" t="s">
        <v>584</v>
      </c>
      <c r="V1098" s="9" t="s">
        <v>3950</v>
      </c>
      <c r="W1098">
        <v>4.3260807473734999E+43</v>
      </c>
      <c r="X1098" t="s">
        <v>46</v>
      </c>
      <c r="Y1098" s="2" t="s">
        <v>717</v>
      </c>
      <c r="Z1098" s="2" t="s">
        <v>718</v>
      </c>
      <c r="AA1098" s="9" t="s">
        <v>715</v>
      </c>
      <c r="AC1098" s="2"/>
      <c r="AD1098" t="s">
        <v>7</v>
      </c>
      <c r="AE1098" t="s">
        <v>3951</v>
      </c>
    </row>
    <row r="1099" spans="1:31" x14ac:dyDescent="0.3">
      <c r="A1099" s="17">
        <v>90739624000118</v>
      </c>
      <c r="B1099" t="s">
        <v>58</v>
      </c>
      <c r="D1099" t="s">
        <v>300</v>
      </c>
      <c r="E1099" t="s">
        <v>2</v>
      </c>
      <c r="F1099">
        <v>269308</v>
      </c>
      <c r="G1099" s="1" t="s">
        <v>3952</v>
      </c>
      <c r="H1099">
        <v>24757490</v>
      </c>
      <c r="J1099" t="s">
        <v>167</v>
      </c>
      <c r="K1099" s="17">
        <v>7473735016266</v>
      </c>
      <c r="L1099" s="17"/>
      <c r="M1099" s="9">
        <v>270.27999999999997</v>
      </c>
      <c r="N1099" t="s">
        <v>43</v>
      </c>
      <c r="Q1099" s="2"/>
      <c r="R1099" s="9"/>
      <c r="S1099" t="s">
        <v>87</v>
      </c>
      <c r="U1099" s="2"/>
      <c r="V1099" s="9"/>
      <c r="X1099" t="s">
        <v>88</v>
      </c>
      <c r="Y1099" s="2" t="s">
        <v>717</v>
      </c>
      <c r="Z1099" s="2" t="s">
        <v>718</v>
      </c>
      <c r="AA1099" s="9" t="s">
        <v>715</v>
      </c>
      <c r="AC1099" s="2"/>
      <c r="AD1099" t="s">
        <v>7</v>
      </c>
    </row>
    <row r="1100" spans="1:31" x14ac:dyDescent="0.3">
      <c r="A1100" s="17">
        <v>90739624000118</v>
      </c>
      <c r="B1100" t="s">
        <v>58</v>
      </c>
      <c r="C1100">
        <v>25071</v>
      </c>
      <c r="D1100" t="s">
        <v>68</v>
      </c>
      <c r="E1100" t="s">
        <v>17</v>
      </c>
      <c r="F1100">
        <v>269308</v>
      </c>
      <c r="G1100" s="1" t="s">
        <v>3954</v>
      </c>
      <c r="H1100">
        <v>24757486</v>
      </c>
      <c r="I1100">
        <v>77671</v>
      </c>
      <c r="J1100" t="s">
        <v>693</v>
      </c>
      <c r="K1100" s="17">
        <v>7473735018048</v>
      </c>
      <c r="L1100" s="17">
        <v>90739624002323</v>
      </c>
      <c r="M1100" s="9">
        <v>26.61</v>
      </c>
      <c r="N1100" t="s">
        <v>43</v>
      </c>
      <c r="Q1100" s="2"/>
      <c r="R1100" s="9"/>
      <c r="S1100" t="s">
        <v>44</v>
      </c>
      <c r="T1100" t="s">
        <v>45</v>
      </c>
      <c r="U1100" s="2" t="s">
        <v>584</v>
      </c>
      <c r="V1100" s="9" t="s">
        <v>3955</v>
      </c>
      <c r="W1100">
        <v>4.3260807473734999E+43</v>
      </c>
      <c r="X1100" t="s">
        <v>46</v>
      </c>
      <c r="Y1100" s="2" t="s">
        <v>717</v>
      </c>
      <c r="Z1100" s="2" t="s">
        <v>718</v>
      </c>
      <c r="AA1100" s="9" t="s">
        <v>715</v>
      </c>
      <c r="AC1100" s="2"/>
      <c r="AD1100" t="s">
        <v>7</v>
      </c>
      <c r="AE1100" t="s">
        <v>3956</v>
      </c>
    </row>
    <row r="1101" spans="1:31" x14ac:dyDescent="0.3">
      <c r="A1101" s="17">
        <v>90739624000118</v>
      </c>
      <c r="B1101" t="s">
        <v>58</v>
      </c>
      <c r="C1101">
        <v>24800</v>
      </c>
      <c r="D1101" t="s">
        <v>539</v>
      </c>
      <c r="E1101" t="s">
        <v>2</v>
      </c>
      <c r="F1101">
        <v>269308</v>
      </c>
      <c r="G1101" s="1" t="s">
        <v>3957</v>
      </c>
      <c r="H1101">
        <v>24757477</v>
      </c>
      <c r="I1101">
        <v>110617</v>
      </c>
      <c r="J1101" t="s">
        <v>106</v>
      </c>
      <c r="K1101" s="17">
        <v>7473735015103</v>
      </c>
      <c r="L1101" s="17">
        <v>90739624002323</v>
      </c>
      <c r="M1101" s="9">
        <v>830.01</v>
      </c>
      <c r="N1101" t="s">
        <v>43</v>
      </c>
      <c r="Q1101" s="2"/>
      <c r="R1101" s="9"/>
      <c r="S1101" t="s">
        <v>44</v>
      </c>
      <c r="T1101" t="s">
        <v>45</v>
      </c>
      <c r="U1101" s="2" t="s">
        <v>584</v>
      </c>
      <c r="V1101" s="9" t="s">
        <v>3958</v>
      </c>
      <c r="W1101">
        <v>4.3260807473734999E+43</v>
      </c>
      <c r="X1101" t="s">
        <v>46</v>
      </c>
      <c r="Y1101" s="2" t="s">
        <v>717</v>
      </c>
      <c r="Z1101" s="2" t="s">
        <v>718</v>
      </c>
      <c r="AA1101" s="9" t="s">
        <v>715</v>
      </c>
      <c r="AC1101" s="2"/>
      <c r="AD1101" t="s">
        <v>7</v>
      </c>
      <c r="AE1101" t="s">
        <v>3959</v>
      </c>
    </row>
    <row r="1102" spans="1:31" x14ac:dyDescent="0.3">
      <c r="A1102" s="17">
        <v>90739624000118</v>
      </c>
      <c r="B1102" t="s">
        <v>58</v>
      </c>
      <c r="C1102">
        <v>25071</v>
      </c>
      <c r="D1102" t="s">
        <v>68</v>
      </c>
      <c r="E1102" t="s">
        <v>2</v>
      </c>
      <c r="F1102">
        <v>269308</v>
      </c>
      <c r="G1102" s="1" t="s">
        <v>3960</v>
      </c>
      <c r="H1102">
        <v>24757458</v>
      </c>
      <c r="I1102">
        <v>77669</v>
      </c>
      <c r="J1102" t="s">
        <v>693</v>
      </c>
      <c r="K1102" s="17">
        <v>7473735018048</v>
      </c>
      <c r="L1102" s="17">
        <v>90739624002323</v>
      </c>
      <c r="M1102" s="9">
        <v>226.58</v>
      </c>
      <c r="N1102" t="s">
        <v>43</v>
      </c>
      <c r="Q1102" s="2"/>
      <c r="R1102" s="9"/>
      <c r="S1102" t="s">
        <v>44</v>
      </c>
      <c r="T1102" t="s">
        <v>45</v>
      </c>
      <c r="U1102" s="2" t="s">
        <v>584</v>
      </c>
      <c r="V1102" s="9" t="s">
        <v>3961</v>
      </c>
      <c r="W1102">
        <v>4.3260807473734999E+43</v>
      </c>
      <c r="X1102" t="s">
        <v>46</v>
      </c>
      <c r="Y1102" s="2" t="s">
        <v>717</v>
      </c>
      <c r="Z1102" s="2" t="s">
        <v>718</v>
      </c>
      <c r="AA1102" s="9" t="s">
        <v>715</v>
      </c>
      <c r="AC1102" s="2"/>
      <c r="AD1102" t="s">
        <v>7</v>
      </c>
      <c r="AE1102" t="s">
        <v>3962</v>
      </c>
    </row>
    <row r="1103" spans="1:31" x14ac:dyDescent="0.3">
      <c r="A1103" s="17">
        <v>90739624000118</v>
      </c>
      <c r="B1103" t="s">
        <v>99</v>
      </c>
      <c r="D1103" t="s">
        <v>266</v>
      </c>
      <c r="E1103" t="s">
        <v>17</v>
      </c>
      <c r="F1103">
        <v>269308</v>
      </c>
      <c r="G1103" s="1" t="s">
        <v>3963</v>
      </c>
      <c r="H1103">
        <v>24757429</v>
      </c>
      <c r="I1103">
        <v>50462</v>
      </c>
      <c r="J1103" t="s">
        <v>507</v>
      </c>
      <c r="K1103" s="17">
        <v>3626094001330</v>
      </c>
      <c r="L1103" s="17">
        <v>9576274000106</v>
      </c>
      <c r="M1103" s="9">
        <v>41.44</v>
      </c>
      <c r="N1103" t="s">
        <v>43</v>
      </c>
      <c r="Q1103" s="2"/>
      <c r="R1103" s="9"/>
      <c r="S1103" t="s">
        <v>44</v>
      </c>
      <c r="T1103" t="s">
        <v>45</v>
      </c>
      <c r="U1103" s="2" t="s">
        <v>584</v>
      </c>
      <c r="V1103" s="9" t="s">
        <v>3964</v>
      </c>
      <c r="W1103">
        <v>4.1260803626093998E+43</v>
      </c>
      <c r="X1103" t="s">
        <v>46</v>
      </c>
      <c r="Y1103" s="2" t="s">
        <v>717</v>
      </c>
      <c r="Z1103" s="2" t="s">
        <v>718</v>
      </c>
      <c r="AA1103" s="9" t="s">
        <v>715</v>
      </c>
      <c r="AC1103" s="2"/>
      <c r="AD1103" t="s">
        <v>7</v>
      </c>
      <c r="AE1103" t="s">
        <v>3965</v>
      </c>
    </row>
    <row r="1104" spans="1:31" x14ac:dyDescent="0.3">
      <c r="A1104" s="17">
        <v>90739624000118</v>
      </c>
      <c r="B1104" t="s">
        <v>99</v>
      </c>
      <c r="D1104" t="s">
        <v>266</v>
      </c>
      <c r="E1104" t="s">
        <v>2</v>
      </c>
      <c r="F1104">
        <v>269308</v>
      </c>
      <c r="G1104" s="1" t="s">
        <v>3966</v>
      </c>
      <c r="H1104">
        <v>24757416</v>
      </c>
      <c r="I1104">
        <v>50461</v>
      </c>
      <c r="J1104" t="s">
        <v>507</v>
      </c>
      <c r="K1104" s="17">
        <v>3626094001330</v>
      </c>
      <c r="L1104" s="17">
        <v>9576274000106</v>
      </c>
      <c r="M1104" s="9">
        <v>375.41</v>
      </c>
      <c r="N1104" t="s">
        <v>43</v>
      </c>
      <c r="Q1104" s="2"/>
      <c r="R1104" s="9"/>
      <c r="S1104" t="s">
        <v>44</v>
      </c>
      <c r="T1104" t="s">
        <v>45</v>
      </c>
      <c r="U1104" s="2" t="s">
        <v>584</v>
      </c>
      <c r="V1104" s="9" t="s">
        <v>3967</v>
      </c>
      <c r="W1104">
        <v>4.1260803626093998E+43</v>
      </c>
      <c r="X1104" t="s">
        <v>46</v>
      </c>
      <c r="Y1104" s="2" t="s">
        <v>717</v>
      </c>
      <c r="Z1104" s="2" t="s">
        <v>718</v>
      </c>
      <c r="AA1104" s="9" t="s">
        <v>715</v>
      </c>
      <c r="AC1104" s="2"/>
      <c r="AD1104" t="s">
        <v>7</v>
      </c>
      <c r="AE1104" t="s">
        <v>3968</v>
      </c>
    </row>
    <row r="1105" spans="1:31" x14ac:dyDescent="0.3">
      <c r="A1105" s="17">
        <v>90739624000118</v>
      </c>
      <c r="B1105" t="s">
        <v>11</v>
      </c>
      <c r="D1105" t="s">
        <v>26</v>
      </c>
      <c r="E1105" t="s">
        <v>2</v>
      </c>
      <c r="F1105">
        <v>269308</v>
      </c>
      <c r="G1105" s="1" t="s">
        <v>3969</v>
      </c>
      <c r="H1105">
        <v>24757144</v>
      </c>
      <c r="I1105">
        <v>52675</v>
      </c>
      <c r="J1105" t="s">
        <v>486</v>
      </c>
      <c r="K1105" s="17">
        <v>58446194000133</v>
      </c>
      <c r="L1105" s="17">
        <v>90739624001947</v>
      </c>
      <c r="M1105" s="9">
        <v>262.10000000000002</v>
      </c>
      <c r="N1105" t="s">
        <v>43</v>
      </c>
      <c r="Q1105" s="2"/>
      <c r="R1105" s="9"/>
      <c r="S1105" t="s">
        <v>44</v>
      </c>
      <c r="T1105" t="s">
        <v>45</v>
      </c>
      <c r="U1105" s="2" t="s">
        <v>584</v>
      </c>
      <c r="V1105" s="9" t="s">
        <v>3970</v>
      </c>
      <c r="W1105">
        <v>5.2260858446193998E+43</v>
      </c>
      <c r="X1105" t="s">
        <v>46</v>
      </c>
      <c r="Y1105" s="2" t="s">
        <v>717</v>
      </c>
      <c r="Z1105" s="2" t="s">
        <v>718</v>
      </c>
      <c r="AA1105" s="9" t="s">
        <v>715</v>
      </c>
      <c r="AC1105" s="2"/>
      <c r="AD1105" t="s">
        <v>7</v>
      </c>
      <c r="AE1105" t="s">
        <v>3971</v>
      </c>
    </row>
    <row r="1106" spans="1:31" x14ac:dyDescent="0.3">
      <c r="A1106" s="17">
        <v>90739624000118</v>
      </c>
      <c r="B1106" t="s">
        <v>28</v>
      </c>
      <c r="D1106" t="s">
        <v>214</v>
      </c>
      <c r="E1106" t="s">
        <v>2</v>
      </c>
      <c r="F1106">
        <v>269308</v>
      </c>
      <c r="G1106" s="1" t="s">
        <v>3972</v>
      </c>
      <c r="H1106">
        <v>24757109</v>
      </c>
      <c r="I1106">
        <v>53661</v>
      </c>
      <c r="J1106" t="s">
        <v>92</v>
      </c>
      <c r="K1106" s="17">
        <v>2310460000141</v>
      </c>
      <c r="L1106" s="17">
        <v>90739624001947</v>
      </c>
      <c r="M1106" s="9">
        <v>137.80000000000001</v>
      </c>
      <c r="N1106" t="s">
        <v>43</v>
      </c>
      <c r="Q1106" s="2"/>
      <c r="R1106" s="9"/>
      <c r="S1106" t="s">
        <v>44</v>
      </c>
      <c r="T1106" t="s">
        <v>45</v>
      </c>
      <c r="U1106" s="2" t="s">
        <v>584</v>
      </c>
      <c r="V1106" s="9" t="s">
        <v>3973</v>
      </c>
      <c r="W1106">
        <v>5.2260802310459999E+43</v>
      </c>
      <c r="X1106" t="s">
        <v>46</v>
      </c>
      <c r="Y1106" s="2" t="s">
        <v>717</v>
      </c>
      <c r="Z1106" s="2" t="s">
        <v>718</v>
      </c>
      <c r="AA1106" s="9" t="s">
        <v>715</v>
      </c>
      <c r="AC1106" s="2"/>
      <c r="AD1106" t="s">
        <v>7</v>
      </c>
      <c r="AE1106" t="s">
        <v>3974</v>
      </c>
    </row>
    <row r="1107" spans="1:31" x14ac:dyDescent="0.3">
      <c r="A1107" s="17">
        <v>90739624000118</v>
      </c>
      <c r="B1107" t="s">
        <v>18</v>
      </c>
      <c r="D1107" t="s">
        <v>19</v>
      </c>
      <c r="E1107" t="s">
        <v>2</v>
      </c>
      <c r="F1107">
        <v>269308</v>
      </c>
      <c r="G1107" s="1" t="s">
        <v>3975</v>
      </c>
      <c r="H1107">
        <v>24757104</v>
      </c>
      <c r="I1107">
        <v>20198</v>
      </c>
      <c r="J1107" t="s">
        <v>54</v>
      </c>
      <c r="K1107" s="17">
        <v>79130647000198</v>
      </c>
      <c r="L1107" s="17">
        <v>9576274000106</v>
      </c>
      <c r="M1107" s="9">
        <v>216.38</v>
      </c>
      <c r="N1107" t="s">
        <v>43</v>
      </c>
      <c r="Q1107" s="2"/>
      <c r="R1107" s="9"/>
      <c r="S1107" t="s">
        <v>44</v>
      </c>
      <c r="T1107" t="s">
        <v>45</v>
      </c>
      <c r="U1107" s="2" t="s">
        <v>584</v>
      </c>
      <c r="V1107" s="9" t="s">
        <v>3976</v>
      </c>
      <c r="W1107">
        <v>4.1260879130646998E+43</v>
      </c>
      <c r="X1107" t="s">
        <v>46</v>
      </c>
      <c r="Y1107" s="2" t="s">
        <v>717</v>
      </c>
      <c r="Z1107" s="2" t="s">
        <v>718</v>
      </c>
      <c r="AA1107" s="9" t="s">
        <v>715</v>
      </c>
      <c r="AC1107" s="2"/>
      <c r="AD1107" t="s">
        <v>7</v>
      </c>
      <c r="AE1107" t="s">
        <v>3977</v>
      </c>
    </row>
    <row r="1108" spans="1:31" x14ac:dyDescent="0.3">
      <c r="A1108" s="17">
        <v>90739624000118</v>
      </c>
      <c r="B1108" t="s">
        <v>18</v>
      </c>
      <c r="D1108" t="s">
        <v>702</v>
      </c>
      <c r="E1108" t="s">
        <v>2</v>
      </c>
      <c r="F1108">
        <v>269308</v>
      </c>
      <c r="G1108" s="1" t="s">
        <v>3978</v>
      </c>
      <c r="H1108">
        <v>24756902</v>
      </c>
      <c r="I1108">
        <v>15522</v>
      </c>
      <c r="J1108" t="s">
        <v>57</v>
      </c>
      <c r="K1108" s="17">
        <v>50206655000199</v>
      </c>
      <c r="L1108" s="17">
        <v>90739624000380</v>
      </c>
      <c r="M1108" s="9">
        <v>317.29000000000002</v>
      </c>
      <c r="N1108" t="s">
        <v>43</v>
      </c>
      <c r="Q1108" s="2"/>
      <c r="R1108" s="9"/>
      <c r="S1108" t="s">
        <v>44</v>
      </c>
      <c r="T1108" t="s">
        <v>45</v>
      </c>
      <c r="U1108" s="2" t="s">
        <v>581</v>
      </c>
      <c r="V1108" s="9" t="s">
        <v>3979</v>
      </c>
      <c r="W1108">
        <v>3.5260850206654998E+43</v>
      </c>
      <c r="X1108" t="s">
        <v>46</v>
      </c>
      <c r="Y1108" s="2" t="s">
        <v>717</v>
      </c>
      <c r="Z1108" s="2" t="s">
        <v>718</v>
      </c>
      <c r="AA1108" s="9" t="s">
        <v>715</v>
      </c>
      <c r="AC1108" s="2"/>
      <c r="AD1108" t="s">
        <v>7</v>
      </c>
      <c r="AE1108" t="s">
        <v>3980</v>
      </c>
    </row>
    <row r="1109" spans="1:31" x14ac:dyDescent="0.3">
      <c r="A1109" s="17">
        <v>90739624000118</v>
      </c>
      <c r="B1109" t="s">
        <v>28</v>
      </c>
      <c r="C1109">
        <v>24563</v>
      </c>
      <c r="D1109" t="s">
        <v>3981</v>
      </c>
      <c r="E1109" t="s">
        <v>2</v>
      </c>
      <c r="F1109">
        <v>269308</v>
      </c>
      <c r="G1109" s="1" t="s">
        <v>3982</v>
      </c>
      <c r="H1109">
        <v>24756420</v>
      </c>
      <c r="I1109">
        <v>81120</v>
      </c>
      <c r="J1109" t="s">
        <v>48</v>
      </c>
      <c r="K1109" s="17">
        <v>1272434001002</v>
      </c>
      <c r="L1109" s="17">
        <v>90739624001947</v>
      </c>
      <c r="M1109" s="9">
        <v>402.48</v>
      </c>
      <c r="N1109" t="s">
        <v>43</v>
      </c>
      <c r="Q1109" s="2"/>
      <c r="R1109" s="9"/>
      <c r="S1109" t="s">
        <v>44</v>
      </c>
      <c r="T1109" t="s">
        <v>45</v>
      </c>
      <c r="U1109" s="2" t="s">
        <v>584</v>
      </c>
      <c r="V1109" s="9" t="s">
        <v>3983</v>
      </c>
      <c r="W1109">
        <v>5.2260801272433996E+43</v>
      </c>
      <c r="X1109" t="s">
        <v>46</v>
      </c>
      <c r="Y1109" s="2" t="s">
        <v>717</v>
      </c>
      <c r="Z1109" s="2" t="s">
        <v>718</v>
      </c>
      <c r="AA1109" s="9" t="s">
        <v>715</v>
      </c>
      <c r="AC1109" s="2"/>
      <c r="AD1109" t="s">
        <v>7</v>
      </c>
      <c r="AE1109" t="s">
        <v>3984</v>
      </c>
    </row>
    <row r="1110" spans="1:31" x14ac:dyDescent="0.3">
      <c r="A1110" s="17">
        <v>90739624000118</v>
      </c>
      <c r="B1110" t="s">
        <v>8</v>
      </c>
      <c r="C1110">
        <v>24883</v>
      </c>
      <c r="D1110" t="s">
        <v>250</v>
      </c>
      <c r="E1110" t="s">
        <v>2</v>
      </c>
      <c r="F1110">
        <v>269308</v>
      </c>
      <c r="G1110" s="1" t="s">
        <v>3985</v>
      </c>
      <c r="H1110">
        <v>24756356</v>
      </c>
      <c r="I1110">
        <v>6302</v>
      </c>
      <c r="J1110" t="s">
        <v>221</v>
      </c>
      <c r="K1110" s="17">
        <v>8810726000100</v>
      </c>
      <c r="L1110" s="17">
        <v>9576274000106</v>
      </c>
      <c r="M1110" s="9">
        <v>743.16</v>
      </c>
      <c r="N1110" t="s">
        <v>43</v>
      </c>
      <c r="Q1110" s="2"/>
      <c r="R1110" s="9"/>
      <c r="S1110" t="s">
        <v>44</v>
      </c>
      <c r="T1110" t="s">
        <v>45</v>
      </c>
      <c r="U1110" s="2" t="s">
        <v>584</v>
      </c>
      <c r="V1110" s="9" t="s">
        <v>3986</v>
      </c>
      <c r="W1110">
        <v>4.1260808810725998E+43</v>
      </c>
      <c r="X1110" t="s">
        <v>46</v>
      </c>
      <c r="Y1110" s="2" t="s">
        <v>717</v>
      </c>
      <c r="Z1110" s="2" t="s">
        <v>718</v>
      </c>
      <c r="AA1110" s="9" t="s">
        <v>715</v>
      </c>
      <c r="AC1110" s="2"/>
      <c r="AD1110" t="s">
        <v>7</v>
      </c>
      <c r="AE1110" t="s">
        <v>3987</v>
      </c>
    </row>
    <row r="1111" spans="1:31" x14ac:dyDescent="0.3">
      <c r="A1111" s="17">
        <v>90739624000118</v>
      </c>
      <c r="B1111" t="s">
        <v>13</v>
      </c>
      <c r="C1111">
        <v>24495</v>
      </c>
      <c r="D1111" t="s">
        <v>14</v>
      </c>
      <c r="E1111" t="s">
        <v>17</v>
      </c>
      <c r="F1111">
        <v>269308</v>
      </c>
      <c r="G1111" s="1" t="s">
        <v>3988</v>
      </c>
      <c r="H1111">
        <v>24756354</v>
      </c>
      <c r="I1111">
        <v>263778</v>
      </c>
      <c r="J1111" t="s">
        <v>337</v>
      </c>
      <c r="K1111" s="17">
        <v>6068493000188</v>
      </c>
      <c r="L1111" s="17">
        <v>90739624000380</v>
      </c>
      <c r="M1111" s="9">
        <v>24.69</v>
      </c>
      <c r="N1111" t="s">
        <v>43</v>
      </c>
      <c r="Q1111" s="2"/>
      <c r="R1111" s="9"/>
      <c r="S1111" t="s">
        <v>44</v>
      </c>
      <c r="T1111" t="s">
        <v>45</v>
      </c>
      <c r="U1111" s="2" t="s">
        <v>585</v>
      </c>
      <c r="V1111" s="9" t="s">
        <v>3990</v>
      </c>
      <c r="W1111">
        <v>3.5260806068492999E+43</v>
      </c>
      <c r="X1111" t="s">
        <v>46</v>
      </c>
      <c r="Y1111" s="2" t="s">
        <v>717</v>
      </c>
      <c r="Z1111" s="2" t="s">
        <v>718</v>
      </c>
      <c r="AA1111" s="9" t="s">
        <v>715</v>
      </c>
      <c r="AC1111" s="2"/>
      <c r="AD1111" t="s">
        <v>7</v>
      </c>
      <c r="AE1111" t="s">
        <v>3991</v>
      </c>
    </row>
    <row r="1112" spans="1:31" x14ac:dyDescent="0.3">
      <c r="A1112" s="17">
        <v>90739624000118</v>
      </c>
      <c r="B1112" t="s">
        <v>13</v>
      </c>
      <c r="C1112">
        <v>24495</v>
      </c>
      <c r="D1112" t="s">
        <v>14</v>
      </c>
      <c r="E1112" t="s">
        <v>2</v>
      </c>
      <c r="F1112">
        <v>269308</v>
      </c>
      <c r="G1112" s="1" t="s">
        <v>3992</v>
      </c>
      <c r="H1112">
        <v>24756346</v>
      </c>
      <c r="I1112">
        <v>263778</v>
      </c>
      <c r="J1112" t="s">
        <v>337</v>
      </c>
      <c r="K1112" s="17">
        <v>6068493000188</v>
      </c>
      <c r="L1112" s="17">
        <v>90739624000380</v>
      </c>
      <c r="M1112" s="9">
        <v>216.3</v>
      </c>
      <c r="N1112" t="s">
        <v>43</v>
      </c>
      <c r="Q1112" s="2"/>
      <c r="R1112" s="9"/>
      <c r="S1112" t="s">
        <v>44</v>
      </c>
      <c r="T1112" t="s">
        <v>45</v>
      </c>
      <c r="U1112" s="2" t="s">
        <v>585</v>
      </c>
      <c r="V1112" s="9" t="s">
        <v>3990</v>
      </c>
      <c r="W1112">
        <v>3.5260806068492999E+43</v>
      </c>
      <c r="X1112" t="s">
        <v>46</v>
      </c>
      <c r="Y1112" s="2" t="s">
        <v>717</v>
      </c>
      <c r="Z1112" s="2" t="s">
        <v>718</v>
      </c>
      <c r="AA1112" s="9" t="s">
        <v>715</v>
      </c>
      <c r="AC1112" s="2"/>
      <c r="AD1112" t="s">
        <v>7</v>
      </c>
      <c r="AE1112" t="s">
        <v>3991</v>
      </c>
    </row>
    <row r="1113" spans="1:31" x14ac:dyDescent="0.3">
      <c r="A1113" s="17">
        <v>90739624000118</v>
      </c>
      <c r="B1113" t="s">
        <v>73</v>
      </c>
      <c r="D1113" t="s">
        <v>506</v>
      </c>
      <c r="E1113" t="s">
        <v>2</v>
      </c>
      <c r="F1113">
        <v>269308</v>
      </c>
      <c r="G1113" s="1" t="s">
        <v>3994</v>
      </c>
      <c r="H1113">
        <v>24756172</v>
      </c>
      <c r="I1113">
        <v>39110</v>
      </c>
      <c r="J1113" t="s">
        <v>3995</v>
      </c>
      <c r="K1113" s="17">
        <v>7473735012600</v>
      </c>
      <c r="L1113" s="17">
        <v>90739624002323</v>
      </c>
      <c r="M1113" s="9">
        <v>181.92</v>
      </c>
      <c r="N1113" t="s">
        <v>43</v>
      </c>
      <c r="Q1113" s="2"/>
      <c r="R1113" s="9"/>
      <c r="S1113" t="s">
        <v>44</v>
      </c>
      <c r="T1113" t="s">
        <v>45</v>
      </c>
      <c r="U1113" s="2" t="s">
        <v>584</v>
      </c>
      <c r="V1113" s="9" t="s">
        <v>3996</v>
      </c>
      <c r="W1113">
        <v>4.3260807473734999E+43</v>
      </c>
      <c r="X1113" t="s">
        <v>46</v>
      </c>
      <c r="Y1113" s="2" t="s">
        <v>717</v>
      </c>
      <c r="Z1113" s="2" t="s">
        <v>718</v>
      </c>
      <c r="AA1113" s="9" t="s">
        <v>715</v>
      </c>
      <c r="AC1113" s="2"/>
      <c r="AD1113" t="s">
        <v>7</v>
      </c>
      <c r="AE1113" t="s">
        <v>3997</v>
      </c>
    </row>
    <row r="1114" spans="1:31" x14ac:dyDescent="0.3">
      <c r="A1114" s="17">
        <v>90739624000118</v>
      </c>
      <c r="B1114" t="s">
        <v>73</v>
      </c>
      <c r="D1114" t="s">
        <v>526</v>
      </c>
      <c r="E1114" t="s">
        <v>2</v>
      </c>
      <c r="F1114">
        <v>269308</v>
      </c>
      <c r="G1114" s="1" t="s">
        <v>3998</v>
      </c>
      <c r="H1114">
        <v>24754903</v>
      </c>
      <c r="I1114">
        <v>7647</v>
      </c>
      <c r="J1114" t="s">
        <v>3999</v>
      </c>
      <c r="K1114" s="17">
        <v>7473735022908</v>
      </c>
      <c r="L1114" s="17">
        <v>90739624002323</v>
      </c>
      <c r="M1114" s="9">
        <v>228.08</v>
      </c>
      <c r="N1114" t="s">
        <v>43</v>
      </c>
      <c r="Q1114" s="2"/>
      <c r="R1114" s="9"/>
      <c r="S1114" t="s">
        <v>44</v>
      </c>
      <c r="T1114" t="s">
        <v>45</v>
      </c>
      <c r="U1114" s="2" t="s">
        <v>584</v>
      </c>
      <c r="V1114" s="9" t="s">
        <v>4000</v>
      </c>
      <c r="W1114">
        <v>4.3260807473734999E+43</v>
      </c>
      <c r="X1114" t="s">
        <v>46</v>
      </c>
      <c r="Y1114" s="2" t="s">
        <v>717</v>
      </c>
      <c r="Z1114" s="2" t="s">
        <v>718</v>
      </c>
      <c r="AA1114" s="9" t="s">
        <v>715</v>
      </c>
      <c r="AC1114" s="2"/>
      <c r="AD1114" t="s">
        <v>7</v>
      </c>
      <c r="AE1114" t="s">
        <v>4001</v>
      </c>
    </row>
    <row r="1115" spans="1:31" x14ac:dyDescent="0.3">
      <c r="A1115" s="17">
        <v>90739624000118</v>
      </c>
      <c r="B1115" t="s">
        <v>73</v>
      </c>
      <c r="D1115" t="s">
        <v>74</v>
      </c>
      <c r="E1115" t="s">
        <v>2</v>
      </c>
      <c r="F1115">
        <v>269308</v>
      </c>
      <c r="G1115" s="1" t="s">
        <v>4002</v>
      </c>
      <c r="H1115">
        <v>24754879</v>
      </c>
      <c r="J1115" t="s">
        <v>75</v>
      </c>
      <c r="K1115" s="17">
        <v>7473735000858</v>
      </c>
      <c r="L1115" s="17"/>
      <c r="M1115" s="9">
        <v>187.87</v>
      </c>
      <c r="N1115" t="s">
        <v>43</v>
      </c>
      <c r="Q1115" s="2"/>
      <c r="R1115" s="9"/>
      <c r="S1115" t="s">
        <v>87</v>
      </c>
      <c r="U1115" s="2"/>
      <c r="V1115" s="9"/>
      <c r="X1115" t="s">
        <v>88</v>
      </c>
      <c r="Y1115" s="2" t="s">
        <v>717</v>
      </c>
      <c r="Z1115" s="2" t="s">
        <v>718</v>
      </c>
      <c r="AA1115" s="9" t="s">
        <v>715</v>
      </c>
      <c r="AC1115" s="2"/>
      <c r="AD1115" t="s">
        <v>7</v>
      </c>
    </row>
    <row r="1116" spans="1:31" x14ac:dyDescent="0.3">
      <c r="A1116" s="17">
        <v>90739624000118</v>
      </c>
      <c r="B1116" t="s">
        <v>28</v>
      </c>
      <c r="D1116" t="s">
        <v>511</v>
      </c>
      <c r="E1116" t="s">
        <v>2</v>
      </c>
      <c r="F1116">
        <v>269308</v>
      </c>
      <c r="G1116" s="1" t="s">
        <v>4004</v>
      </c>
      <c r="H1116">
        <v>24750772</v>
      </c>
      <c r="I1116">
        <v>73597</v>
      </c>
      <c r="J1116" t="s">
        <v>366</v>
      </c>
      <c r="K1116" s="17">
        <v>27098262000197</v>
      </c>
      <c r="L1116" s="17">
        <v>90739624001947</v>
      </c>
      <c r="M1116" s="9">
        <v>64.25</v>
      </c>
      <c r="N1116" t="s">
        <v>43</v>
      </c>
      <c r="Q1116" s="2"/>
      <c r="R1116" s="9"/>
      <c r="S1116" t="s">
        <v>44</v>
      </c>
      <c r="T1116" t="s">
        <v>45</v>
      </c>
      <c r="U1116" s="2" t="s">
        <v>584</v>
      </c>
      <c r="V1116" s="9" t="s">
        <v>4005</v>
      </c>
      <c r="W1116">
        <v>5.2260827098261996E+43</v>
      </c>
      <c r="X1116" t="s">
        <v>46</v>
      </c>
      <c r="Y1116" s="2" t="s">
        <v>717</v>
      </c>
      <c r="Z1116" s="2" t="s">
        <v>718</v>
      </c>
      <c r="AA1116" s="9" t="s">
        <v>715</v>
      </c>
      <c r="AC1116" s="2"/>
      <c r="AD1116" t="s">
        <v>7</v>
      </c>
      <c r="AE1116" t="s">
        <v>4006</v>
      </c>
    </row>
    <row r="1117" spans="1:31" x14ac:dyDescent="0.3">
      <c r="A1117" s="17">
        <v>90739624000118</v>
      </c>
      <c r="B1117" t="s">
        <v>126</v>
      </c>
      <c r="D1117" t="s">
        <v>489</v>
      </c>
      <c r="E1117" t="s">
        <v>2</v>
      </c>
      <c r="F1117">
        <v>269308</v>
      </c>
      <c r="G1117" s="1" t="s">
        <v>4007</v>
      </c>
      <c r="H1117">
        <v>24750729</v>
      </c>
      <c r="J1117" t="s">
        <v>285</v>
      </c>
      <c r="K1117" s="17">
        <v>7473735012198</v>
      </c>
      <c r="L1117" s="17"/>
      <c r="M1117" s="9">
        <v>254.78</v>
      </c>
      <c r="N1117" t="s">
        <v>43</v>
      </c>
      <c r="Q1117" s="2"/>
      <c r="R1117" s="9"/>
      <c r="S1117" t="s">
        <v>87</v>
      </c>
      <c r="U1117" s="2"/>
      <c r="V1117" s="9"/>
      <c r="X1117" t="s">
        <v>88</v>
      </c>
      <c r="Y1117" s="2" t="s">
        <v>717</v>
      </c>
      <c r="Z1117" s="2" t="s">
        <v>718</v>
      </c>
      <c r="AA1117" s="9" t="s">
        <v>715</v>
      </c>
      <c r="AC1117" s="2"/>
      <c r="AD1117" t="s">
        <v>7</v>
      </c>
    </row>
    <row r="1118" spans="1:31" x14ac:dyDescent="0.3">
      <c r="A1118" s="17">
        <v>90739624000118</v>
      </c>
      <c r="B1118" t="s">
        <v>58</v>
      </c>
      <c r="D1118" t="s">
        <v>388</v>
      </c>
      <c r="E1118" t="s">
        <v>2</v>
      </c>
      <c r="F1118">
        <v>269308</v>
      </c>
      <c r="G1118" s="1" t="s">
        <v>4008</v>
      </c>
      <c r="H1118">
        <v>24750702</v>
      </c>
      <c r="I1118">
        <v>110598</v>
      </c>
      <c r="J1118" t="s">
        <v>106</v>
      </c>
      <c r="K1118" s="17">
        <v>7473735015103</v>
      </c>
      <c r="L1118" s="17">
        <v>90739624002323</v>
      </c>
      <c r="M1118" s="9">
        <v>154.49</v>
      </c>
      <c r="N1118" t="s">
        <v>43</v>
      </c>
      <c r="Q1118" s="2"/>
      <c r="R1118" s="9"/>
      <c r="S1118" t="s">
        <v>44</v>
      </c>
      <c r="T1118" t="s">
        <v>45</v>
      </c>
      <c r="U1118" s="2" t="s">
        <v>584</v>
      </c>
      <c r="V1118" s="9" t="s">
        <v>4009</v>
      </c>
      <c r="W1118">
        <v>4.3260807473734999E+43</v>
      </c>
      <c r="X1118" t="s">
        <v>46</v>
      </c>
      <c r="Y1118" s="2" t="s">
        <v>717</v>
      </c>
      <c r="Z1118" s="2" t="s">
        <v>718</v>
      </c>
      <c r="AA1118" s="9" t="s">
        <v>715</v>
      </c>
      <c r="AC1118" s="2"/>
      <c r="AD1118" t="s">
        <v>7</v>
      </c>
      <c r="AE1118" t="s">
        <v>4010</v>
      </c>
    </row>
    <row r="1119" spans="1:31" x14ac:dyDescent="0.3">
      <c r="A1119" s="17">
        <v>90739624000118</v>
      </c>
      <c r="B1119" t="s">
        <v>65</v>
      </c>
      <c r="D1119" t="s">
        <v>335</v>
      </c>
      <c r="E1119" t="s">
        <v>2</v>
      </c>
      <c r="F1119">
        <v>269308</v>
      </c>
      <c r="G1119" s="1" t="s">
        <v>4011</v>
      </c>
      <c r="H1119">
        <v>24750602</v>
      </c>
      <c r="J1119" t="s">
        <v>67</v>
      </c>
      <c r="K1119" s="17">
        <v>7473735006031</v>
      </c>
      <c r="L1119" s="17"/>
      <c r="M1119" s="9">
        <v>370.45</v>
      </c>
      <c r="N1119" t="s">
        <v>43</v>
      </c>
      <c r="Q1119" s="2"/>
      <c r="R1119" s="9"/>
      <c r="S1119" t="s">
        <v>87</v>
      </c>
      <c r="U1119" s="2"/>
      <c r="V1119" s="9"/>
      <c r="X1119" t="s">
        <v>88</v>
      </c>
      <c r="Y1119" s="2" t="s">
        <v>717</v>
      </c>
      <c r="Z1119" s="2" t="s">
        <v>718</v>
      </c>
      <c r="AA1119" s="9" t="s">
        <v>715</v>
      </c>
      <c r="AC1119" s="2"/>
      <c r="AD1119" t="s">
        <v>7</v>
      </c>
    </row>
    <row r="1120" spans="1:31" x14ac:dyDescent="0.3">
      <c r="A1120" s="17">
        <v>90739624000118</v>
      </c>
      <c r="B1120" t="s">
        <v>25</v>
      </c>
      <c r="C1120">
        <v>24556</v>
      </c>
      <c r="D1120" t="s">
        <v>468</v>
      </c>
      <c r="E1120" t="s">
        <v>2</v>
      </c>
      <c r="F1120">
        <v>269308</v>
      </c>
      <c r="G1120" s="1" t="s">
        <v>4013</v>
      </c>
      <c r="H1120">
        <v>24750497</v>
      </c>
      <c r="J1120" t="s">
        <v>32</v>
      </c>
      <c r="K1120" s="17">
        <v>9001879002619</v>
      </c>
      <c r="L1120" s="17"/>
      <c r="M1120" s="9">
        <v>320.08999999999997</v>
      </c>
      <c r="N1120" t="s">
        <v>43</v>
      </c>
      <c r="Q1120" s="2"/>
      <c r="R1120" s="9"/>
      <c r="S1120" t="s">
        <v>87</v>
      </c>
      <c r="U1120" s="2"/>
      <c r="V1120" s="9"/>
      <c r="X1120" t="s">
        <v>88</v>
      </c>
      <c r="Y1120" s="2" t="s">
        <v>717</v>
      </c>
      <c r="Z1120" s="2" t="s">
        <v>718</v>
      </c>
      <c r="AA1120" s="9" t="s">
        <v>715</v>
      </c>
      <c r="AC1120" s="2"/>
      <c r="AD1120" t="s">
        <v>7</v>
      </c>
    </row>
    <row r="1121" spans="1:31" x14ac:dyDescent="0.3">
      <c r="A1121" s="17">
        <v>90739624000118</v>
      </c>
      <c r="B1121" t="s">
        <v>58</v>
      </c>
      <c r="D1121" t="s">
        <v>389</v>
      </c>
      <c r="E1121" t="s">
        <v>17</v>
      </c>
      <c r="F1121">
        <v>269308</v>
      </c>
      <c r="G1121" s="1" t="s">
        <v>4015</v>
      </c>
      <c r="H1121">
        <v>24750303</v>
      </c>
      <c r="I1121">
        <v>110597</v>
      </c>
      <c r="J1121" t="s">
        <v>106</v>
      </c>
      <c r="K1121" s="17">
        <v>7473735015103</v>
      </c>
      <c r="L1121" s="17">
        <v>90739624002323</v>
      </c>
      <c r="M1121" s="9">
        <v>33.36</v>
      </c>
      <c r="N1121" t="s">
        <v>43</v>
      </c>
      <c r="Q1121" s="2"/>
      <c r="R1121" s="9"/>
      <c r="S1121" t="s">
        <v>44</v>
      </c>
      <c r="T1121" t="s">
        <v>45</v>
      </c>
      <c r="U1121" s="2" t="s">
        <v>584</v>
      </c>
      <c r="V1121" s="9" t="s">
        <v>4016</v>
      </c>
      <c r="W1121">
        <v>4.3260807473734999E+43</v>
      </c>
      <c r="X1121" t="s">
        <v>46</v>
      </c>
      <c r="Y1121" s="2" t="s">
        <v>717</v>
      </c>
      <c r="Z1121" s="2" t="s">
        <v>718</v>
      </c>
      <c r="AA1121" s="9" t="s">
        <v>715</v>
      </c>
      <c r="AC1121" s="2"/>
      <c r="AD1121" t="s">
        <v>7</v>
      </c>
      <c r="AE1121" t="s">
        <v>4017</v>
      </c>
    </row>
    <row r="1122" spans="1:31" x14ac:dyDescent="0.3">
      <c r="A1122" s="17">
        <v>90739624000118</v>
      </c>
      <c r="B1122" t="s">
        <v>58</v>
      </c>
      <c r="D1122" t="s">
        <v>389</v>
      </c>
      <c r="E1122" t="s">
        <v>2</v>
      </c>
      <c r="F1122">
        <v>269308</v>
      </c>
      <c r="G1122" s="1" t="s">
        <v>4018</v>
      </c>
      <c r="H1122">
        <v>24750271</v>
      </c>
      <c r="I1122">
        <v>110595</v>
      </c>
      <c r="J1122" t="s">
        <v>106</v>
      </c>
      <c r="K1122" s="17">
        <v>7473735015103</v>
      </c>
      <c r="L1122" s="17">
        <v>90739624002323</v>
      </c>
      <c r="M1122" s="9">
        <v>73.02</v>
      </c>
      <c r="N1122" t="s">
        <v>43</v>
      </c>
      <c r="Q1122" s="2"/>
      <c r="R1122" s="9"/>
      <c r="S1122" t="s">
        <v>44</v>
      </c>
      <c r="T1122" t="s">
        <v>45</v>
      </c>
      <c r="U1122" s="2" t="s">
        <v>584</v>
      </c>
      <c r="V1122" s="9" t="s">
        <v>4019</v>
      </c>
      <c r="W1122">
        <v>4.3260807473734999E+43</v>
      </c>
      <c r="X1122" t="s">
        <v>46</v>
      </c>
      <c r="Y1122" s="2" t="s">
        <v>717</v>
      </c>
      <c r="Z1122" s="2" t="s">
        <v>718</v>
      </c>
      <c r="AA1122" s="9" t="s">
        <v>715</v>
      </c>
      <c r="AC1122" s="2"/>
      <c r="AD1122" t="s">
        <v>7</v>
      </c>
      <c r="AE1122" t="s">
        <v>4020</v>
      </c>
    </row>
    <row r="1123" spans="1:31" x14ac:dyDescent="0.3">
      <c r="A1123" s="17">
        <v>90739624000118</v>
      </c>
      <c r="B1123" t="s">
        <v>160</v>
      </c>
      <c r="D1123" t="s">
        <v>4021</v>
      </c>
      <c r="E1123" t="s">
        <v>2</v>
      </c>
      <c r="F1123">
        <v>269308</v>
      </c>
      <c r="G1123" s="1" t="s">
        <v>4022</v>
      </c>
      <c r="H1123">
        <v>24749921</v>
      </c>
      <c r="I1123">
        <v>28446</v>
      </c>
      <c r="J1123" t="s">
        <v>127</v>
      </c>
      <c r="K1123" s="17">
        <v>76493295000147</v>
      </c>
      <c r="L1123" s="17">
        <v>9576274000106</v>
      </c>
      <c r="M1123" s="9">
        <v>241.51</v>
      </c>
      <c r="N1123" t="s">
        <v>43</v>
      </c>
      <c r="Q1123" s="2"/>
      <c r="R1123" s="9"/>
      <c r="S1123" t="s">
        <v>44</v>
      </c>
      <c r="T1123" t="s">
        <v>45</v>
      </c>
      <c r="U1123" s="2" t="s">
        <v>584</v>
      </c>
      <c r="V1123" s="9" t="s">
        <v>4023</v>
      </c>
      <c r="W1123">
        <v>4.1260876493295002E+43</v>
      </c>
      <c r="X1123" t="s">
        <v>46</v>
      </c>
      <c r="Y1123" s="2" t="s">
        <v>717</v>
      </c>
      <c r="Z1123" s="2" t="s">
        <v>718</v>
      </c>
      <c r="AA1123" s="9" t="s">
        <v>715</v>
      </c>
      <c r="AC1123" s="2"/>
      <c r="AD1123" t="s">
        <v>7</v>
      </c>
      <c r="AE1123" t="s">
        <v>4024</v>
      </c>
    </row>
    <row r="1124" spans="1:31" x14ac:dyDescent="0.3">
      <c r="A1124" s="17">
        <v>90739624000118</v>
      </c>
      <c r="B1124" t="s">
        <v>63</v>
      </c>
      <c r="D1124" t="s">
        <v>104</v>
      </c>
      <c r="E1124" t="s">
        <v>17</v>
      </c>
      <c r="F1124">
        <v>269308</v>
      </c>
      <c r="G1124" s="1" t="s">
        <v>4025</v>
      </c>
      <c r="H1124">
        <v>24749534</v>
      </c>
      <c r="I1124">
        <v>4414</v>
      </c>
      <c r="J1124" t="s">
        <v>482</v>
      </c>
      <c r="K1124" s="17">
        <v>93489243007471</v>
      </c>
      <c r="L1124" s="17">
        <v>90739624002323</v>
      </c>
      <c r="M1124" s="9">
        <v>99.8</v>
      </c>
      <c r="N1124" t="s">
        <v>43</v>
      </c>
      <c r="Q1124" s="2"/>
      <c r="R1124" s="9"/>
      <c r="S1124" t="s">
        <v>44</v>
      </c>
      <c r="T1124" t="s">
        <v>45</v>
      </c>
      <c r="U1124" s="2" t="s">
        <v>584</v>
      </c>
      <c r="V1124" s="9" t="s">
        <v>4026</v>
      </c>
      <c r="W1124">
        <v>4.3260893489242999E+43</v>
      </c>
      <c r="X1124" t="s">
        <v>46</v>
      </c>
      <c r="Y1124" s="2" t="s">
        <v>717</v>
      </c>
      <c r="Z1124" s="2" t="s">
        <v>718</v>
      </c>
      <c r="AA1124" s="9" t="s">
        <v>715</v>
      </c>
      <c r="AC1124" s="2"/>
      <c r="AD1124" t="s">
        <v>7</v>
      </c>
      <c r="AE1124" t="s">
        <v>4027</v>
      </c>
    </row>
    <row r="1125" spans="1:31" x14ac:dyDescent="0.3">
      <c r="A1125" s="17">
        <v>90739624000118</v>
      </c>
      <c r="B1125" t="s">
        <v>28</v>
      </c>
      <c r="D1125" t="s">
        <v>483</v>
      </c>
      <c r="E1125" t="s">
        <v>2</v>
      </c>
      <c r="F1125">
        <v>269308</v>
      </c>
      <c r="G1125" s="1" t="s">
        <v>4028</v>
      </c>
      <c r="H1125">
        <v>24749533</v>
      </c>
      <c r="I1125">
        <v>67697</v>
      </c>
      <c r="J1125" t="s">
        <v>288</v>
      </c>
      <c r="K1125" s="17">
        <v>2162964000161</v>
      </c>
      <c r="L1125" s="17">
        <v>90739624001947</v>
      </c>
      <c r="M1125" s="9">
        <v>195.08</v>
      </c>
      <c r="N1125" t="s">
        <v>43</v>
      </c>
      <c r="Q1125" s="2"/>
      <c r="R1125" s="9"/>
      <c r="S1125" t="s">
        <v>44</v>
      </c>
      <c r="T1125" t="s">
        <v>45</v>
      </c>
      <c r="U1125" s="2" t="s">
        <v>584</v>
      </c>
      <c r="V1125" s="9" t="s">
        <v>600</v>
      </c>
      <c r="W1125">
        <v>5.2260802162963999E+43</v>
      </c>
      <c r="X1125" t="s">
        <v>46</v>
      </c>
      <c r="Y1125" s="2" t="s">
        <v>717</v>
      </c>
      <c r="Z1125" s="2" t="s">
        <v>718</v>
      </c>
      <c r="AA1125" s="9" t="s">
        <v>715</v>
      </c>
      <c r="AC1125" s="2"/>
      <c r="AD1125" t="s">
        <v>7</v>
      </c>
      <c r="AE1125" t="s">
        <v>4029</v>
      </c>
    </row>
    <row r="1126" spans="1:31" x14ac:dyDescent="0.3">
      <c r="A1126" s="17">
        <v>90739624000118</v>
      </c>
      <c r="B1126" t="s">
        <v>63</v>
      </c>
      <c r="D1126" t="s">
        <v>104</v>
      </c>
      <c r="E1126" t="s">
        <v>2</v>
      </c>
      <c r="F1126">
        <v>269308</v>
      </c>
      <c r="G1126" s="1" t="s">
        <v>4030</v>
      </c>
      <c r="H1126">
        <v>24749510</v>
      </c>
      <c r="I1126">
        <v>4413</v>
      </c>
      <c r="J1126" t="s">
        <v>482</v>
      </c>
      <c r="K1126" s="17">
        <v>93489243007471</v>
      </c>
      <c r="L1126" s="17">
        <v>90739624002323</v>
      </c>
      <c r="M1126" s="9">
        <v>885.48</v>
      </c>
      <c r="N1126" t="s">
        <v>43</v>
      </c>
      <c r="Q1126" s="2"/>
      <c r="R1126" s="9"/>
      <c r="S1126" t="s">
        <v>44</v>
      </c>
      <c r="T1126" t="s">
        <v>45</v>
      </c>
      <c r="U1126" s="2" t="s">
        <v>584</v>
      </c>
      <c r="V1126" s="9" t="s">
        <v>4031</v>
      </c>
      <c r="W1126">
        <v>4.3260893489242999E+43</v>
      </c>
      <c r="X1126" t="s">
        <v>46</v>
      </c>
      <c r="Y1126" s="2" t="s">
        <v>717</v>
      </c>
      <c r="Z1126" s="2" t="s">
        <v>718</v>
      </c>
      <c r="AA1126" s="9" t="s">
        <v>715</v>
      </c>
      <c r="AC1126" s="2"/>
      <c r="AD1126" t="s">
        <v>7</v>
      </c>
      <c r="AE1126" t="s">
        <v>4032</v>
      </c>
    </row>
    <row r="1127" spans="1:31" x14ac:dyDescent="0.3">
      <c r="A1127" s="17">
        <v>90739624000118</v>
      </c>
      <c r="B1127" t="s">
        <v>120</v>
      </c>
      <c r="D1127" t="s">
        <v>652</v>
      </c>
      <c r="E1127" t="s">
        <v>2</v>
      </c>
      <c r="F1127">
        <v>269308</v>
      </c>
      <c r="G1127" s="1" t="s">
        <v>4033</v>
      </c>
      <c r="H1127">
        <v>24749473</v>
      </c>
      <c r="I1127">
        <v>53195</v>
      </c>
      <c r="J1127" t="s">
        <v>4034</v>
      </c>
      <c r="K1127" s="17">
        <v>10626167000388</v>
      </c>
      <c r="L1127" s="17">
        <v>90739624001432</v>
      </c>
      <c r="M1127" s="9">
        <v>121.81</v>
      </c>
      <c r="N1127" t="s">
        <v>43</v>
      </c>
      <c r="Q1127" s="2"/>
      <c r="R1127" s="9"/>
      <c r="S1127" t="s">
        <v>44</v>
      </c>
      <c r="T1127" t="s">
        <v>45</v>
      </c>
      <c r="U1127" s="2" t="s">
        <v>584</v>
      </c>
      <c r="V1127" s="9" t="s">
        <v>4036</v>
      </c>
      <c r="W1127">
        <v>4.2260810626167001E+43</v>
      </c>
      <c r="X1127" t="s">
        <v>46</v>
      </c>
      <c r="Y1127" s="2" t="s">
        <v>717</v>
      </c>
      <c r="Z1127" s="2" t="s">
        <v>718</v>
      </c>
      <c r="AA1127" s="9" t="s">
        <v>715</v>
      </c>
      <c r="AC1127" s="2"/>
      <c r="AD1127" t="s">
        <v>7</v>
      </c>
      <c r="AE1127" t="s">
        <v>4037</v>
      </c>
    </row>
    <row r="1128" spans="1:31" x14ac:dyDescent="0.3">
      <c r="A1128" s="17">
        <v>90739624000118</v>
      </c>
      <c r="B1128" t="s">
        <v>11</v>
      </c>
      <c r="D1128" t="s">
        <v>247</v>
      </c>
      <c r="E1128" t="s">
        <v>2</v>
      </c>
      <c r="F1128">
        <v>269308</v>
      </c>
      <c r="G1128" s="1" t="s">
        <v>4038</v>
      </c>
      <c r="H1128">
        <v>24749450</v>
      </c>
      <c r="I1128">
        <v>46616</v>
      </c>
      <c r="J1128" t="s">
        <v>608</v>
      </c>
      <c r="K1128" s="17">
        <v>42183609000193</v>
      </c>
      <c r="L1128" s="17">
        <v>90739624001947</v>
      </c>
      <c r="M1128" s="9">
        <v>161.02000000000001</v>
      </c>
      <c r="N1128" t="s">
        <v>43</v>
      </c>
      <c r="Q1128" s="2"/>
      <c r="R1128" s="9"/>
      <c r="S1128" t="s">
        <v>44</v>
      </c>
      <c r="T1128" t="s">
        <v>45</v>
      </c>
      <c r="U1128" s="2" t="s">
        <v>584</v>
      </c>
      <c r="V1128" s="9" t="s">
        <v>4039</v>
      </c>
      <c r="W1128">
        <v>5.2260842183608999E+43</v>
      </c>
      <c r="X1128" t="s">
        <v>46</v>
      </c>
      <c r="Y1128" s="2" t="s">
        <v>717</v>
      </c>
      <c r="Z1128" s="2" t="s">
        <v>718</v>
      </c>
      <c r="AA1128" s="9" t="s">
        <v>715</v>
      </c>
      <c r="AC1128" s="2"/>
      <c r="AD1128" t="s">
        <v>7</v>
      </c>
      <c r="AE1128" t="s">
        <v>4040</v>
      </c>
    </row>
    <row r="1129" spans="1:31" x14ac:dyDescent="0.3">
      <c r="A1129" s="17">
        <v>90739624000118</v>
      </c>
      <c r="B1129" t="s">
        <v>31</v>
      </c>
      <c r="D1129" t="s">
        <v>280</v>
      </c>
      <c r="E1129" t="s">
        <v>2</v>
      </c>
      <c r="F1129">
        <v>269308</v>
      </c>
      <c r="G1129" s="1" t="s">
        <v>4041</v>
      </c>
      <c r="H1129">
        <v>24749357</v>
      </c>
      <c r="I1129">
        <v>15847</v>
      </c>
      <c r="J1129" t="s">
        <v>142</v>
      </c>
      <c r="K1129" s="17">
        <v>54494203000100</v>
      </c>
      <c r="L1129" s="17">
        <v>90739624001866</v>
      </c>
      <c r="M1129" s="9">
        <v>107.34</v>
      </c>
      <c r="N1129" t="s">
        <v>43</v>
      </c>
      <c r="Q1129" s="2"/>
      <c r="R1129" s="9"/>
      <c r="S1129" t="s">
        <v>44</v>
      </c>
      <c r="T1129" t="s">
        <v>45</v>
      </c>
      <c r="U1129" s="2" t="s">
        <v>590</v>
      </c>
      <c r="V1129" s="9" t="s">
        <v>4042</v>
      </c>
      <c r="W1129">
        <v>5.1260854494202996E+43</v>
      </c>
      <c r="X1129" t="s">
        <v>46</v>
      </c>
      <c r="Y1129" s="2" t="s">
        <v>717</v>
      </c>
      <c r="Z1129" s="2" t="s">
        <v>718</v>
      </c>
      <c r="AA1129" s="9" t="s">
        <v>715</v>
      </c>
      <c r="AC1129" s="2"/>
      <c r="AD1129" t="s">
        <v>7</v>
      </c>
      <c r="AE1129" t="s">
        <v>4043</v>
      </c>
    </row>
    <row r="1130" spans="1:31" x14ac:dyDescent="0.3">
      <c r="A1130" s="17">
        <v>90739624000118</v>
      </c>
      <c r="B1130" t="s">
        <v>61</v>
      </c>
      <c r="C1130">
        <v>24141</v>
      </c>
      <c r="D1130" t="s">
        <v>499</v>
      </c>
      <c r="E1130" t="s">
        <v>2</v>
      </c>
      <c r="F1130">
        <v>269308</v>
      </c>
      <c r="G1130" s="1" t="s">
        <v>4044</v>
      </c>
      <c r="H1130">
        <v>24749350</v>
      </c>
      <c r="I1130">
        <v>819718</v>
      </c>
      <c r="J1130" t="s">
        <v>62</v>
      </c>
      <c r="K1130" s="17">
        <v>79964177000591</v>
      </c>
      <c r="L1130" s="17">
        <v>9576274000106</v>
      </c>
      <c r="M1130" s="9">
        <v>1839</v>
      </c>
      <c r="N1130" t="s">
        <v>43</v>
      </c>
      <c r="Q1130" s="2"/>
      <c r="R1130" s="9"/>
      <c r="S1130" t="s">
        <v>44</v>
      </c>
      <c r="T1130" t="s">
        <v>45</v>
      </c>
      <c r="U1130" s="2" t="s">
        <v>584</v>
      </c>
      <c r="V1130" s="9" t="s">
        <v>4045</v>
      </c>
      <c r="W1130">
        <v>4.1260879964176998E+43</v>
      </c>
      <c r="X1130" t="s">
        <v>46</v>
      </c>
      <c r="Y1130" s="2" t="s">
        <v>717</v>
      </c>
      <c r="Z1130" s="2" t="s">
        <v>718</v>
      </c>
      <c r="AA1130" s="9" t="s">
        <v>715</v>
      </c>
      <c r="AC1130" s="2"/>
      <c r="AD1130" t="s">
        <v>7</v>
      </c>
      <c r="AE1130" t="s">
        <v>4046</v>
      </c>
    </row>
    <row r="1131" spans="1:31" x14ac:dyDescent="0.3">
      <c r="A1131" s="17">
        <v>90739624000118</v>
      </c>
      <c r="B1131" t="s">
        <v>58</v>
      </c>
      <c r="D1131" t="s">
        <v>535</v>
      </c>
      <c r="E1131" t="s">
        <v>2</v>
      </c>
      <c r="F1131">
        <v>269308</v>
      </c>
      <c r="G1131" s="1" t="s">
        <v>4047</v>
      </c>
      <c r="H1131">
        <v>24749347</v>
      </c>
      <c r="J1131" t="s">
        <v>508</v>
      </c>
      <c r="K1131" s="17">
        <v>7473735008409</v>
      </c>
      <c r="L1131" s="17"/>
      <c r="M1131" s="9">
        <v>485.39</v>
      </c>
      <c r="N1131" t="s">
        <v>43</v>
      </c>
      <c r="Q1131" s="2"/>
      <c r="R1131" s="9"/>
      <c r="S1131" t="s">
        <v>87</v>
      </c>
      <c r="U1131" s="2"/>
      <c r="V1131" s="9"/>
      <c r="X1131" t="s">
        <v>88</v>
      </c>
      <c r="Y1131" s="2" t="s">
        <v>717</v>
      </c>
      <c r="Z1131" s="2" t="s">
        <v>718</v>
      </c>
      <c r="AA1131" s="9" t="s">
        <v>715</v>
      </c>
      <c r="AC1131" s="2"/>
      <c r="AD1131" t="s">
        <v>7</v>
      </c>
    </row>
    <row r="1132" spans="1:31" x14ac:dyDescent="0.3">
      <c r="A1132" s="17">
        <v>90739624000118</v>
      </c>
      <c r="B1132" t="s">
        <v>8</v>
      </c>
      <c r="C1132">
        <v>21145</v>
      </c>
      <c r="D1132" t="s">
        <v>3054</v>
      </c>
      <c r="E1132" t="s">
        <v>2</v>
      </c>
      <c r="F1132">
        <v>269308</v>
      </c>
      <c r="G1132" s="1" t="s">
        <v>4049</v>
      </c>
      <c r="H1132">
        <v>24749332</v>
      </c>
      <c r="I1132">
        <v>4174</v>
      </c>
      <c r="J1132" t="s">
        <v>10</v>
      </c>
      <c r="K1132" s="17">
        <v>33286065000102</v>
      </c>
      <c r="L1132" s="17">
        <v>9576274000106</v>
      </c>
      <c r="M1132" s="9">
        <v>401.57</v>
      </c>
      <c r="N1132" t="s">
        <v>43</v>
      </c>
      <c r="Q1132" s="2"/>
      <c r="R1132" s="9"/>
      <c r="S1132" t="s">
        <v>44</v>
      </c>
      <c r="T1132" t="s">
        <v>45</v>
      </c>
      <c r="U1132" s="2" t="s">
        <v>584</v>
      </c>
      <c r="V1132" s="9" t="s">
        <v>4050</v>
      </c>
      <c r="W1132">
        <v>4.1260833286065001E+43</v>
      </c>
      <c r="X1132" t="s">
        <v>46</v>
      </c>
      <c r="Y1132" s="2" t="s">
        <v>717</v>
      </c>
      <c r="Z1132" s="2" t="s">
        <v>718</v>
      </c>
      <c r="AA1132" s="9" t="s">
        <v>715</v>
      </c>
      <c r="AC1132" s="2"/>
      <c r="AD1132" t="s">
        <v>7</v>
      </c>
      <c r="AE1132" t="s">
        <v>4051</v>
      </c>
    </row>
    <row r="1133" spans="1:31" x14ac:dyDescent="0.3">
      <c r="A1133" s="17">
        <v>90739624000118</v>
      </c>
      <c r="B1133" t="s">
        <v>36</v>
      </c>
      <c r="D1133" t="s">
        <v>510</v>
      </c>
      <c r="E1133" t="s">
        <v>2</v>
      </c>
      <c r="F1133">
        <v>269308</v>
      </c>
      <c r="G1133" s="1" t="s">
        <v>4052</v>
      </c>
      <c r="H1133">
        <v>24748914</v>
      </c>
      <c r="I1133">
        <v>46910</v>
      </c>
      <c r="J1133" t="s">
        <v>290</v>
      </c>
      <c r="K1133" s="17">
        <v>4283686000126</v>
      </c>
      <c r="L1133" s="17">
        <v>90739624001947</v>
      </c>
      <c r="M1133" s="9">
        <v>146.69999999999999</v>
      </c>
      <c r="N1133" t="s">
        <v>43</v>
      </c>
      <c r="Q1133" s="2"/>
      <c r="R1133" s="9"/>
      <c r="S1133" t="s">
        <v>44</v>
      </c>
      <c r="T1133" t="s">
        <v>45</v>
      </c>
      <c r="U1133" s="2" t="s">
        <v>585</v>
      </c>
      <c r="V1133" s="9" t="s">
        <v>4053</v>
      </c>
      <c r="W1133">
        <v>5.2260804283686003E+43</v>
      </c>
      <c r="X1133" t="s">
        <v>46</v>
      </c>
      <c r="Y1133" s="2" t="s">
        <v>717</v>
      </c>
      <c r="Z1133" s="2" t="s">
        <v>718</v>
      </c>
      <c r="AA1133" s="9" t="s">
        <v>715</v>
      </c>
      <c r="AC1133" s="2"/>
      <c r="AD1133" t="s">
        <v>7</v>
      </c>
      <c r="AE1133" t="s">
        <v>4054</v>
      </c>
    </row>
    <row r="1134" spans="1:31" x14ac:dyDescent="0.3">
      <c r="A1134" s="17">
        <v>90739624000118</v>
      </c>
      <c r="B1134" t="s">
        <v>18</v>
      </c>
      <c r="D1134" t="s">
        <v>168</v>
      </c>
      <c r="E1134" t="s">
        <v>2</v>
      </c>
      <c r="F1134">
        <v>269308</v>
      </c>
      <c r="G1134" s="1" t="s">
        <v>4055</v>
      </c>
      <c r="H1134">
        <v>24748896</v>
      </c>
      <c r="I1134">
        <v>15521</v>
      </c>
      <c r="J1134" t="s">
        <v>57</v>
      </c>
      <c r="K1134" s="17">
        <v>50206655000199</v>
      </c>
      <c r="L1134" s="17">
        <v>90739624000380</v>
      </c>
      <c r="M1134" s="9">
        <v>876.06</v>
      </c>
      <c r="N1134" t="s">
        <v>43</v>
      </c>
      <c r="Q1134" s="2"/>
      <c r="R1134" s="9"/>
      <c r="S1134" t="s">
        <v>44</v>
      </c>
      <c r="T1134" t="s">
        <v>45</v>
      </c>
      <c r="U1134" s="2" t="s">
        <v>581</v>
      </c>
      <c r="V1134" s="9" t="s">
        <v>4056</v>
      </c>
      <c r="W1134">
        <v>3.5260850206654998E+43</v>
      </c>
      <c r="X1134" t="s">
        <v>46</v>
      </c>
      <c r="Y1134" s="2" t="s">
        <v>717</v>
      </c>
      <c r="Z1134" s="2" t="s">
        <v>718</v>
      </c>
      <c r="AA1134" s="9" t="s">
        <v>715</v>
      </c>
      <c r="AC1134" s="2"/>
      <c r="AD1134" t="s">
        <v>7</v>
      </c>
      <c r="AE1134" t="s">
        <v>4057</v>
      </c>
    </row>
    <row r="1135" spans="1:31" x14ac:dyDescent="0.3">
      <c r="A1135" s="17">
        <v>90739624000118</v>
      </c>
      <c r="B1135" t="s">
        <v>13</v>
      </c>
      <c r="D1135" t="s">
        <v>207</v>
      </c>
      <c r="E1135" t="s">
        <v>2</v>
      </c>
      <c r="F1135">
        <v>269308</v>
      </c>
      <c r="G1135" s="1" t="s">
        <v>4058</v>
      </c>
      <c r="H1135">
        <v>24748863</v>
      </c>
      <c r="I1135">
        <v>117034</v>
      </c>
      <c r="J1135" t="s">
        <v>340</v>
      </c>
      <c r="K1135" s="17">
        <v>29127799000163</v>
      </c>
      <c r="L1135" s="17">
        <v>90739624000380</v>
      </c>
      <c r="M1135" s="9">
        <v>240.08</v>
      </c>
      <c r="N1135" t="s">
        <v>43</v>
      </c>
      <c r="Q1135" s="2"/>
      <c r="R1135" s="9"/>
      <c r="S1135" t="s">
        <v>44</v>
      </c>
      <c r="T1135" t="s">
        <v>45</v>
      </c>
      <c r="U1135" s="2" t="s">
        <v>584</v>
      </c>
      <c r="V1135" s="9" t="s">
        <v>4059</v>
      </c>
      <c r="W1135">
        <v>3.5260829127798998E+43</v>
      </c>
      <c r="X1135" t="s">
        <v>46</v>
      </c>
      <c r="Y1135" s="2" t="s">
        <v>717</v>
      </c>
      <c r="Z1135" s="2" t="s">
        <v>718</v>
      </c>
      <c r="AA1135" s="9" t="s">
        <v>715</v>
      </c>
      <c r="AC1135" s="2"/>
      <c r="AD1135" t="s">
        <v>7</v>
      </c>
      <c r="AE1135" t="s">
        <v>4060</v>
      </c>
    </row>
    <row r="1136" spans="1:31" x14ac:dyDescent="0.3">
      <c r="A1136" s="17">
        <v>90739624000118</v>
      </c>
      <c r="B1136" t="s">
        <v>58</v>
      </c>
      <c r="D1136" t="s">
        <v>59</v>
      </c>
      <c r="E1136" t="s">
        <v>2</v>
      </c>
      <c r="F1136">
        <v>269308</v>
      </c>
      <c r="G1136" s="1" t="s">
        <v>4061</v>
      </c>
      <c r="H1136">
        <v>24748780</v>
      </c>
      <c r="I1136">
        <v>73742</v>
      </c>
      <c r="J1136" t="s">
        <v>60</v>
      </c>
      <c r="K1136" s="17">
        <v>7473735018200</v>
      </c>
      <c r="L1136" s="17">
        <v>90739624002323</v>
      </c>
      <c r="M1136" s="9">
        <v>720.45</v>
      </c>
      <c r="N1136" t="s">
        <v>43</v>
      </c>
      <c r="Q1136" s="2"/>
      <c r="R1136" s="9"/>
      <c r="S1136" t="s">
        <v>44</v>
      </c>
      <c r="T1136" t="s">
        <v>45</v>
      </c>
      <c r="U1136" s="2" t="s">
        <v>584</v>
      </c>
      <c r="V1136" s="9" t="s">
        <v>4062</v>
      </c>
      <c r="W1136">
        <v>4.3260807473734999E+43</v>
      </c>
      <c r="X1136" t="s">
        <v>46</v>
      </c>
      <c r="Y1136" s="2" t="s">
        <v>717</v>
      </c>
      <c r="Z1136" s="2" t="s">
        <v>718</v>
      </c>
      <c r="AA1136" s="9" t="s">
        <v>715</v>
      </c>
      <c r="AC1136" s="2"/>
      <c r="AD1136" t="s">
        <v>7</v>
      </c>
      <c r="AE1136" t="s">
        <v>4063</v>
      </c>
    </row>
    <row r="1137" spans="1:31" x14ac:dyDescent="0.3">
      <c r="A1137" s="17">
        <v>90739624000118</v>
      </c>
      <c r="B1137" t="s">
        <v>52</v>
      </c>
      <c r="D1137" t="s">
        <v>934</v>
      </c>
      <c r="E1137" t="s">
        <v>2</v>
      </c>
      <c r="F1137">
        <v>269308</v>
      </c>
      <c r="G1137" s="1" t="s">
        <v>4064</v>
      </c>
      <c r="H1137">
        <v>24748768</v>
      </c>
      <c r="I1137">
        <v>40460</v>
      </c>
      <c r="J1137" t="s">
        <v>545</v>
      </c>
      <c r="K1137" s="17">
        <v>30429333000282</v>
      </c>
      <c r="L1137" s="17">
        <v>9576274000106</v>
      </c>
      <c r="M1137" s="9">
        <v>163.69</v>
      </c>
      <c r="N1137" t="s">
        <v>43</v>
      </c>
      <c r="Q1137" s="2"/>
      <c r="R1137" s="9"/>
      <c r="S1137" t="s">
        <v>44</v>
      </c>
      <c r="T1137" t="s">
        <v>45</v>
      </c>
      <c r="U1137" s="2" t="s">
        <v>584</v>
      </c>
      <c r="V1137" s="9" t="s">
        <v>4065</v>
      </c>
      <c r="W1137">
        <v>4.1260830429333002E+43</v>
      </c>
      <c r="X1137" t="s">
        <v>46</v>
      </c>
      <c r="Y1137" s="2" t="s">
        <v>717</v>
      </c>
      <c r="Z1137" s="2" t="s">
        <v>718</v>
      </c>
      <c r="AA1137" s="9" t="s">
        <v>715</v>
      </c>
      <c r="AC1137" s="2"/>
      <c r="AD1137" t="s">
        <v>7</v>
      </c>
      <c r="AE1137" t="s">
        <v>4066</v>
      </c>
    </row>
    <row r="1138" spans="1:31" x14ac:dyDescent="0.3">
      <c r="A1138" s="17">
        <v>90739624000118</v>
      </c>
      <c r="B1138" t="s">
        <v>8</v>
      </c>
      <c r="D1138" t="s">
        <v>9</v>
      </c>
      <c r="E1138" t="s">
        <v>2</v>
      </c>
      <c r="F1138">
        <v>269308</v>
      </c>
      <c r="G1138" s="1" t="s">
        <v>4067</v>
      </c>
      <c r="H1138">
        <v>24748408</v>
      </c>
      <c r="I1138">
        <v>4171</v>
      </c>
      <c r="J1138" t="s">
        <v>10</v>
      </c>
      <c r="K1138" s="17">
        <v>33286065000102</v>
      </c>
      <c r="L1138" s="17">
        <v>9576274000106</v>
      </c>
      <c r="M1138" s="9">
        <v>1238.8599999999999</v>
      </c>
      <c r="N1138" t="s">
        <v>43</v>
      </c>
      <c r="Q1138" s="2"/>
      <c r="R1138" s="9"/>
      <c r="S1138" t="s">
        <v>44</v>
      </c>
      <c r="T1138" t="s">
        <v>45</v>
      </c>
      <c r="U1138" s="2" t="s">
        <v>584</v>
      </c>
      <c r="V1138" s="9" t="s">
        <v>4068</v>
      </c>
      <c r="W1138">
        <v>4.1260833286065001E+43</v>
      </c>
      <c r="X1138" t="s">
        <v>46</v>
      </c>
      <c r="Y1138" s="2" t="s">
        <v>717</v>
      </c>
      <c r="Z1138" s="2" t="s">
        <v>718</v>
      </c>
      <c r="AA1138" s="9" t="s">
        <v>715</v>
      </c>
      <c r="AC1138" s="2"/>
      <c r="AD1138" t="s">
        <v>7</v>
      </c>
      <c r="AE1138" t="s">
        <v>4069</v>
      </c>
    </row>
    <row r="1139" spans="1:31" x14ac:dyDescent="0.3">
      <c r="A1139" s="17">
        <v>90739624000118</v>
      </c>
      <c r="B1139" t="s">
        <v>8</v>
      </c>
      <c r="D1139" t="s">
        <v>9</v>
      </c>
      <c r="E1139" t="s">
        <v>17</v>
      </c>
      <c r="F1139">
        <v>269308</v>
      </c>
      <c r="G1139" s="1" t="s">
        <v>4070</v>
      </c>
      <c r="H1139">
        <v>24748395</v>
      </c>
      <c r="I1139">
        <v>4172</v>
      </c>
      <c r="J1139" t="s">
        <v>10</v>
      </c>
      <c r="K1139" s="17">
        <v>33286065000102</v>
      </c>
      <c r="L1139" s="17">
        <v>9576274000106</v>
      </c>
      <c r="M1139" s="9">
        <v>32</v>
      </c>
      <c r="N1139" t="s">
        <v>43</v>
      </c>
      <c r="Q1139" s="2"/>
      <c r="R1139" s="9"/>
      <c r="S1139" t="s">
        <v>44</v>
      </c>
      <c r="T1139" t="s">
        <v>45</v>
      </c>
      <c r="U1139" s="2" t="s">
        <v>584</v>
      </c>
      <c r="V1139" s="9" t="s">
        <v>4071</v>
      </c>
      <c r="W1139">
        <v>4.1260833286065001E+43</v>
      </c>
      <c r="X1139" t="s">
        <v>46</v>
      </c>
      <c r="Y1139" s="2" t="s">
        <v>717</v>
      </c>
      <c r="Z1139" s="2" t="s">
        <v>718</v>
      </c>
      <c r="AA1139" s="9" t="s">
        <v>715</v>
      </c>
      <c r="AC1139" s="2"/>
      <c r="AD1139" t="s">
        <v>7</v>
      </c>
      <c r="AE1139" t="s">
        <v>4072</v>
      </c>
    </row>
    <row r="1140" spans="1:31" x14ac:dyDescent="0.3">
      <c r="A1140" s="17">
        <v>90739624000118</v>
      </c>
      <c r="B1140" t="s">
        <v>170</v>
      </c>
      <c r="C1140">
        <v>26115</v>
      </c>
      <c r="D1140" t="s">
        <v>323</v>
      </c>
      <c r="E1140" t="s">
        <v>2</v>
      </c>
      <c r="F1140">
        <v>269308</v>
      </c>
      <c r="G1140" s="1" t="s">
        <v>4073</v>
      </c>
      <c r="H1140">
        <v>24748364</v>
      </c>
      <c r="I1140">
        <v>493293</v>
      </c>
      <c r="J1140" t="s">
        <v>559</v>
      </c>
      <c r="K1140" s="17">
        <v>7473735007356</v>
      </c>
      <c r="L1140" s="17">
        <v>90739624001432</v>
      </c>
      <c r="M1140" s="9">
        <v>277.55</v>
      </c>
      <c r="N1140" t="s">
        <v>43</v>
      </c>
      <c r="Q1140" s="2"/>
      <c r="R1140" s="9"/>
      <c r="S1140" t="s">
        <v>44</v>
      </c>
      <c r="T1140" t="s">
        <v>45</v>
      </c>
      <c r="U1140" s="2" t="s">
        <v>584</v>
      </c>
      <c r="V1140" s="9" t="s">
        <v>4074</v>
      </c>
      <c r="W1140">
        <v>4.2260807473734999E+43</v>
      </c>
      <c r="X1140" t="s">
        <v>46</v>
      </c>
      <c r="Y1140" s="2" t="s">
        <v>717</v>
      </c>
      <c r="Z1140" s="2" t="s">
        <v>718</v>
      </c>
      <c r="AA1140" s="9" t="s">
        <v>715</v>
      </c>
      <c r="AC1140" s="2"/>
      <c r="AD1140" t="s">
        <v>7</v>
      </c>
      <c r="AE1140" t="s">
        <v>4075</v>
      </c>
    </row>
    <row r="1141" spans="1:31" x14ac:dyDescent="0.3">
      <c r="A1141" s="17">
        <v>90739624000118</v>
      </c>
      <c r="B1141" t="s">
        <v>28</v>
      </c>
      <c r="D1141" t="s">
        <v>511</v>
      </c>
      <c r="E1141" t="s">
        <v>2</v>
      </c>
      <c r="F1141">
        <v>269308</v>
      </c>
      <c r="G1141" s="1" t="s">
        <v>4076</v>
      </c>
      <c r="H1141">
        <v>24748094</v>
      </c>
      <c r="I1141">
        <v>112777</v>
      </c>
      <c r="J1141" t="s">
        <v>29</v>
      </c>
      <c r="K1141" s="17">
        <v>47377960000139</v>
      </c>
      <c r="L1141" s="17">
        <v>90739624001947</v>
      </c>
      <c r="M1141" s="9">
        <v>152.6</v>
      </c>
      <c r="N1141" t="s">
        <v>43</v>
      </c>
      <c r="Q1141" s="2"/>
      <c r="R1141" s="9"/>
      <c r="S1141" t="s">
        <v>44</v>
      </c>
      <c r="T1141" t="s">
        <v>45</v>
      </c>
      <c r="U1141" s="2" t="s">
        <v>584</v>
      </c>
      <c r="V1141" s="9" t="s">
        <v>3149</v>
      </c>
      <c r="W1141">
        <v>5.2260847377959996E+43</v>
      </c>
      <c r="X1141" t="s">
        <v>46</v>
      </c>
      <c r="Y1141" s="2" t="s">
        <v>717</v>
      </c>
      <c r="Z1141" s="2" t="s">
        <v>718</v>
      </c>
      <c r="AA1141" s="9" t="s">
        <v>715</v>
      </c>
      <c r="AC1141" s="2"/>
      <c r="AD1141" t="s">
        <v>7</v>
      </c>
      <c r="AE1141" t="s">
        <v>4078</v>
      </c>
    </row>
    <row r="1142" spans="1:31" x14ac:dyDescent="0.3">
      <c r="A1142" s="17">
        <v>90739624000118</v>
      </c>
      <c r="B1142" t="s">
        <v>61</v>
      </c>
      <c r="D1142" t="s">
        <v>191</v>
      </c>
      <c r="E1142" t="s">
        <v>2</v>
      </c>
      <c r="F1142">
        <v>269308</v>
      </c>
      <c r="G1142" s="1" t="s">
        <v>4079</v>
      </c>
      <c r="H1142">
        <v>24748039</v>
      </c>
      <c r="I1142">
        <v>819704</v>
      </c>
      <c r="J1142" t="s">
        <v>62</v>
      </c>
      <c r="K1142" s="17">
        <v>79964177000591</v>
      </c>
      <c r="L1142" s="17">
        <v>9576274000106</v>
      </c>
      <c r="M1142" s="9">
        <v>2182.2800000000002</v>
      </c>
      <c r="N1142" t="s">
        <v>43</v>
      </c>
      <c r="Q1142" s="2"/>
      <c r="R1142" s="9"/>
      <c r="S1142" t="s">
        <v>44</v>
      </c>
      <c r="T1142" t="s">
        <v>45</v>
      </c>
      <c r="U1142" s="2" t="s">
        <v>584</v>
      </c>
      <c r="V1142" s="9" t="s">
        <v>2870</v>
      </c>
      <c r="W1142">
        <v>4.1260879964176998E+43</v>
      </c>
      <c r="X1142" t="s">
        <v>46</v>
      </c>
      <c r="Y1142" s="2" t="s">
        <v>717</v>
      </c>
      <c r="Z1142" s="2" t="s">
        <v>718</v>
      </c>
      <c r="AA1142" s="9" t="s">
        <v>715</v>
      </c>
      <c r="AC1142" s="2"/>
      <c r="AD1142" t="s">
        <v>7</v>
      </c>
      <c r="AE1142" t="s">
        <v>4080</v>
      </c>
    </row>
    <row r="1143" spans="1:31" x14ac:dyDescent="0.3">
      <c r="A1143" s="17">
        <v>90739624000118</v>
      </c>
      <c r="B1143" t="s">
        <v>31</v>
      </c>
      <c r="D1143" t="s">
        <v>55</v>
      </c>
      <c r="E1143" t="s">
        <v>2</v>
      </c>
      <c r="F1143">
        <v>269308</v>
      </c>
      <c r="G1143" s="1" t="s">
        <v>4081</v>
      </c>
      <c r="H1143">
        <v>24747771</v>
      </c>
      <c r="I1143">
        <v>39187</v>
      </c>
      <c r="J1143" t="s">
        <v>295</v>
      </c>
      <c r="K1143" s="17">
        <v>8603562001294</v>
      </c>
      <c r="L1143" s="17">
        <v>90739624001866</v>
      </c>
      <c r="M1143" s="9">
        <v>108.17</v>
      </c>
      <c r="N1143" t="s">
        <v>43</v>
      </c>
      <c r="Q1143" s="2"/>
      <c r="R1143" s="9"/>
      <c r="S1143" t="s">
        <v>44</v>
      </c>
      <c r="T1143" t="s">
        <v>45</v>
      </c>
      <c r="U1143" s="2" t="s">
        <v>584</v>
      </c>
      <c r="V1143" s="9" t="s">
        <v>4082</v>
      </c>
      <c r="W1143">
        <v>5.1260808603562005E+43</v>
      </c>
      <c r="X1143" t="s">
        <v>46</v>
      </c>
      <c r="Y1143" s="2" t="s">
        <v>717</v>
      </c>
      <c r="Z1143" s="2" t="s">
        <v>718</v>
      </c>
      <c r="AA1143" s="9" t="s">
        <v>715</v>
      </c>
      <c r="AC1143" s="2"/>
      <c r="AD1143" t="s">
        <v>7</v>
      </c>
      <c r="AE1143" t="s">
        <v>4083</v>
      </c>
    </row>
    <row r="1144" spans="1:31" x14ac:dyDescent="0.3">
      <c r="A1144" s="17">
        <v>90739624000118</v>
      </c>
      <c r="B1144" t="s">
        <v>25</v>
      </c>
      <c r="D1144" t="s">
        <v>586</v>
      </c>
      <c r="E1144" t="s">
        <v>2</v>
      </c>
      <c r="F1144">
        <v>269308</v>
      </c>
      <c r="G1144" s="1" t="s">
        <v>4084</v>
      </c>
      <c r="H1144">
        <v>24747729</v>
      </c>
      <c r="I1144">
        <v>30195</v>
      </c>
      <c r="J1144" t="s">
        <v>149</v>
      </c>
      <c r="K1144" s="17">
        <v>8512459000186</v>
      </c>
      <c r="L1144" s="17">
        <v>90739624001866</v>
      </c>
      <c r="M1144" s="9">
        <v>140.02000000000001</v>
      </c>
      <c r="N1144" t="s">
        <v>43</v>
      </c>
      <c r="Q1144" s="2"/>
      <c r="R1144" s="9"/>
      <c r="S1144" t="s">
        <v>44</v>
      </c>
      <c r="T1144" t="s">
        <v>45</v>
      </c>
      <c r="U1144" s="2" t="s">
        <v>584</v>
      </c>
      <c r="V1144" s="9" t="s">
        <v>4085</v>
      </c>
      <c r="W1144">
        <v>5.1260808512458996E+43</v>
      </c>
      <c r="X1144" t="s">
        <v>46</v>
      </c>
      <c r="Y1144" s="2" t="s">
        <v>717</v>
      </c>
      <c r="Z1144" s="2" t="s">
        <v>718</v>
      </c>
      <c r="AA1144" s="9" t="s">
        <v>715</v>
      </c>
      <c r="AC1144" s="2"/>
      <c r="AD1144" t="s">
        <v>7</v>
      </c>
      <c r="AE1144" t="s">
        <v>4086</v>
      </c>
    </row>
    <row r="1145" spans="1:31" x14ac:dyDescent="0.3">
      <c r="A1145" s="17">
        <v>90739624000118</v>
      </c>
      <c r="B1145" t="s">
        <v>18</v>
      </c>
      <c r="C1145">
        <v>21143</v>
      </c>
      <c r="D1145" t="s">
        <v>264</v>
      </c>
      <c r="E1145" t="s">
        <v>2</v>
      </c>
      <c r="F1145">
        <v>269308</v>
      </c>
      <c r="G1145" s="1" t="s">
        <v>4087</v>
      </c>
      <c r="H1145">
        <v>24747714</v>
      </c>
      <c r="I1145">
        <v>15520</v>
      </c>
      <c r="J1145" t="s">
        <v>57</v>
      </c>
      <c r="K1145" s="17">
        <v>50206655000199</v>
      </c>
      <c r="L1145" s="17">
        <v>90739624000380</v>
      </c>
      <c r="M1145" s="9">
        <v>514.04</v>
      </c>
      <c r="N1145" t="s">
        <v>43</v>
      </c>
      <c r="Q1145" s="2"/>
      <c r="R1145" s="9"/>
      <c r="S1145" t="s">
        <v>44</v>
      </c>
      <c r="T1145" t="s">
        <v>45</v>
      </c>
      <c r="U1145" s="2" t="s">
        <v>581</v>
      </c>
      <c r="V1145" s="9" t="s">
        <v>4088</v>
      </c>
      <c r="W1145">
        <v>3.5260850206654998E+43</v>
      </c>
      <c r="X1145" t="s">
        <v>46</v>
      </c>
      <c r="Y1145" s="2" t="s">
        <v>717</v>
      </c>
      <c r="Z1145" s="2" t="s">
        <v>718</v>
      </c>
      <c r="AA1145" s="9" t="s">
        <v>715</v>
      </c>
      <c r="AC1145" s="2"/>
      <c r="AD1145" t="s">
        <v>7</v>
      </c>
      <c r="AE1145" t="s">
        <v>4089</v>
      </c>
    </row>
    <row r="1146" spans="1:31" x14ac:dyDescent="0.3">
      <c r="A1146" s="17">
        <v>90739624000118</v>
      </c>
      <c r="B1146" t="s">
        <v>174</v>
      </c>
      <c r="D1146" t="s">
        <v>577</v>
      </c>
      <c r="E1146" t="s">
        <v>2</v>
      </c>
      <c r="F1146">
        <v>269308</v>
      </c>
      <c r="G1146" s="1" t="s">
        <v>4090</v>
      </c>
      <c r="H1146">
        <v>24747712</v>
      </c>
      <c r="I1146">
        <v>98998</v>
      </c>
      <c r="J1146" t="s">
        <v>176</v>
      </c>
      <c r="K1146" s="17">
        <v>4219621000111</v>
      </c>
      <c r="L1146" s="17">
        <v>90739624000118</v>
      </c>
      <c r="M1146" s="9">
        <v>305.38</v>
      </c>
      <c r="N1146" t="s">
        <v>43</v>
      </c>
      <c r="Q1146" s="2"/>
      <c r="R1146" s="9"/>
      <c r="S1146" t="s">
        <v>44</v>
      </c>
      <c r="T1146" t="s">
        <v>45</v>
      </c>
      <c r="U1146" s="2" t="s">
        <v>585</v>
      </c>
      <c r="V1146" s="9" t="s">
        <v>4091</v>
      </c>
      <c r="W1146">
        <v>1.7260804219621001E+43</v>
      </c>
      <c r="X1146" t="s">
        <v>46</v>
      </c>
      <c r="Y1146" s="2" t="s">
        <v>717</v>
      </c>
      <c r="Z1146" s="2" t="s">
        <v>718</v>
      </c>
      <c r="AA1146" s="9" t="s">
        <v>715</v>
      </c>
      <c r="AC1146" s="2"/>
      <c r="AD1146" t="s">
        <v>7</v>
      </c>
      <c r="AE1146" t="s">
        <v>4092</v>
      </c>
    </row>
    <row r="1147" spans="1:31" x14ac:dyDescent="0.3">
      <c r="A1147" s="17">
        <v>90739624000118</v>
      </c>
      <c r="B1147" t="s">
        <v>58</v>
      </c>
      <c r="C1147">
        <v>25067</v>
      </c>
      <c r="D1147" t="s">
        <v>361</v>
      </c>
      <c r="E1147" t="s">
        <v>2</v>
      </c>
      <c r="F1147">
        <v>269308</v>
      </c>
      <c r="G1147" s="1" t="s">
        <v>4093</v>
      </c>
      <c r="H1147">
        <v>24747386</v>
      </c>
      <c r="I1147">
        <v>56050</v>
      </c>
      <c r="J1147" t="s">
        <v>4094</v>
      </c>
      <c r="K1147" s="17">
        <v>7473735015022</v>
      </c>
      <c r="L1147" s="17">
        <v>90739624002323</v>
      </c>
      <c r="M1147" s="9">
        <v>289.92</v>
      </c>
      <c r="N1147" t="s">
        <v>43</v>
      </c>
      <c r="Q1147" s="2"/>
      <c r="R1147" s="9"/>
      <c r="S1147" t="s">
        <v>44</v>
      </c>
      <c r="T1147" t="s">
        <v>45</v>
      </c>
      <c r="U1147" s="2" t="s">
        <v>584</v>
      </c>
      <c r="V1147" s="9" t="s">
        <v>4095</v>
      </c>
      <c r="W1147">
        <v>4.3260807473734999E+43</v>
      </c>
      <c r="X1147" t="s">
        <v>46</v>
      </c>
      <c r="Y1147" s="2" t="s">
        <v>717</v>
      </c>
      <c r="Z1147" s="2" t="s">
        <v>718</v>
      </c>
      <c r="AA1147" s="9" t="s">
        <v>715</v>
      </c>
      <c r="AC1147" s="2"/>
      <c r="AD1147" t="s">
        <v>7</v>
      </c>
      <c r="AE1147" t="s">
        <v>4096</v>
      </c>
    </row>
    <row r="1148" spans="1:31" x14ac:dyDescent="0.3">
      <c r="A1148" s="17">
        <v>90739624000118</v>
      </c>
      <c r="B1148" t="s">
        <v>63</v>
      </c>
      <c r="C1148">
        <v>20889</v>
      </c>
      <c r="D1148" t="s">
        <v>4097</v>
      </c>
      <c r="E1148" t="s">
        <v>2</v>
      </c>
      <c r="F1148">
        <v>269308</v>
      </c>
      <c r="G1148" s="1" t="s">
        <v>4098</v>
      </c>
      <c r="H1148">
        <v>24747348</v>
      </c>
      <c r="I1148">
        <v>178589</v>
      </c>
      <c r="J1148" t="s">
        <v>64</v>
      </c>
      <c r="K1148" s="17">
        <v>23448964001921</v>
      </c>
      <c r="L1148" s="17">
        <v>90739624001432</v>
      </c>
      <c r="M1148" s="9">
        <v>294.35000000000002</v>
      </c>
      <c r="N1148" t="s">
        <v>43</v>
      </c>
      <c r="Q1148" s="2"/>
      <c r="R1148" s="9"/>
      <c r="S1148" t="s">
        <v>44</v>
      </c>
      <c r="T1148" t="s">
        <v>45</v>
      </c>
      <c r="U1148" s="2" t="s">
        <v>584</v>
      </c>
      <c r="V1148" s="9" t="s">
        <v>4099</v>
      </c>
      <c r="W1148">
        <v>4.2260823448963998E+43</v>
      </c>
      <c r="X1148" t="s">
        <v>46</v>
      </c>
      <c r="Y1148" s="2" t="s">
        <v>717</v>
      </c>
      <c r="Z1148" s="2" t="s">
        <v>718</v>
      </c>
      <c r="AA1148" s="9" t="s">
        <v>715</v>
      </c>
      <c r="AC1148" s="2"/>
      <c r="AD1148" t="s">
        <v>7</v>
      </c>
      <c r="AE1148" t="s">
        <v>4100</v>
      </c>
    </row>
    <row r="1149" spans="1:31" x14ac:dyDescent="0.3">
      <c r="A1149" s="17">
        <v>90739624000118</v>
      </c>
      <c r="B1149" t="s">
        <v>58</v>
      </c>
      <c r="D1149" t="s">
        <v>4101</v>
      </c>
      <c r="E1149" t="s">
        <v>2</v>
      </c>
      <c r="F1149">
        <v>269308</v>
      </c>
      <c r="G1149" s="1" t="s">
        <v>4102</v>
      </c>
      <c r="H1149">
        <v>24747342</v>
      </c>
      <c r="I1149">
        <v>72716</v>
      </c>
      <c r="J1149" t="s">
        <v>4103</v>
      </c>
      <c r="K1149" s="17">
        <v>7473735005906</v>
      </c>
      <c r="L1149" s="17">
        <v>90739624002323</v>
      </c>
      <c r="M1149" s="9">
        <v>560.35</v>
      </c>
      <c r="N1149" t="s">
        <v>43</v>
      </c>
      <c r="Q1149" s="2"/>
      <c r="R1149" s="9"/>
      <c r="S1149" t="s">
        <v>44</v>
      </c>
      <c r="T1149" t="s">
        <v>45</v>
      </c>
      <c r="U1149" s="2" t="s">
        <v>584</v>
      </c>
      <c r="V1149" s="9" t="s">
        <v>4104</v>
      </c>
      <c r="W1149">
        <v>4.3260807473734999E+43</v>
      </c>
      <c r="X1149" t="s">
        <v>46</v>
      </c>
      <c r="Y1149" s="2" t="s">
        <v>717</v>
      </c>
      <c r="Z1149" s="2" t="s">
        <v>718</v>
      </c>
      <c r="AA1149" s="9" t="s">
        <v>715</v>
      </c>
      <c r="AC1149" s="2"/>
      <c r="AD1149" t="s">
        <v>7</v>
      </c>
      <c r="AE1149" t="s">
        <v>4105</v>
      </c>
    </row>
    <row r="1150" spans="1:31" x14ac:dyDescent="0.3">
      <c r="A1150" s="17">
        <v>90739624000118</v>
      </c>
      <c r="B1150" t="s">
        <v>58</v>
      </c>
      <c r="C1150">
        <v>19577</v>
      </c>
      <c r="D1150" t="s">
        <v>639</v>
      </c>
      <c r="E1150" t="s">
        <v>2</v>
      </c>
      <c r="F1150">
        <v>269308</v>
      </c>
      <c r="G1150" s="1" t="s">
        <v>4106</v>
      </c>
      <c r="H1150">
        <v>24747310</v>
      </c>
      <c r="J1150" t="s">
        <v>664</v>
      </c>
      <c r="K1150" s="17">
        <v>7473735023122</v>
      </c>
      <c r="L1150" s="17"/>
      <c r="M1150" s="9">
        <v>449.7</v>
      </c>
      <c r="N1150" t="s">
        <v>43</v>
      </c>
      <c r="Q1150" s="2"/>
      <c r="R1150" s="9"/>
      <c r="S1150" t="s">
        <v>87</v>
      </c>
      <c r="U1150" s="2"/>
      <c r="V1150" s="9"/>
      <c r="X1150" t="s">
        <v>88</v>
      </c>
      <c r="Y1150" s="2" t="s">
        <v>717</v>
      </c>
      <c r="Z1150" s="2" t="s">
        <v>718</v>
      </c>
      <c r="AA1150" s="9" t="s">
        <v>715</v>
      </c>
      <c r="AC1150" s="2"/>
      <c r="AD1150" t="s">
        <v>7</v>
      </c>
    </row>
    <row r="1151" spans="1:31" x14ac:dyDescent="0.3">
      <c r="A1151" s="17">
        <v>90739624000118</v>
      </c>
      <c r="B1151" t="s">
        <v>58</v>
      </c>
      <c r="D1151" t="s">
        <v>386</v>
      </c>
      <c r="E1151" t="s">
        <v>2</v>
      </c>
      <c r="F1151">
        <v>269308</v>
      </c>
      <c r="G1151" s="1" t="s">
        <v>4108</v>
      </c>
      <c r="H1151">
        <v>24747120</v>
      </c>
      <c r="I1151">
        <v>56067</v>
      </c>
      <c r="J1151" t="s">
        <v>532</v>
      </c>
      <c r="K1151" s="17">
        <v>7473735018552</v>
      </c>
      <c r="L1151" s="17">
        <v>90739624002323</v>
      </c>
      <c r="M1151" s="9">
        <v>358.45</v>
      </c>
      <c r="N1151" t="s">
        <v>43</v>
      </c>
      <c r="Q1151" s="2"/>
      <c r="R1151" s="9"/>
      <c r="S1151" t="s">
        <v>44</v>
      </c>
      <c r="T1151" t="s">
        <v>45</v>
      </c>
      <c r="U1151" s="2" t="s">
        <v>584</v>
      </c>
      <c r="V1151" s="9" t="s">
        <v>4109</v>
      </c>
      <c r="W1151">
        <v>4.3260807473734999E+43</v>
      </c>
      <c r="X1151" t="s">
        <v>46</v>
      </c>
      <c r="Y1151" s="2" t="s">
        <v>717</v>
      </c>
      <c r="Z1151" s="2" t="s">
        <v>718</v>
      </c>
      <c r="AA1151" s="9" t="s">
        <v>715</v>
      </c>
      <c r="AC1151" s="2"/>
      <c r="AD1151" t="s">
        <v>7</v>
      </c>
      <c r="AE1151" t="s">
        <v>4110</v>
      </c>
    </row>
    <row r="1152" spans="1:31" x14ac:dyDescent="0.3">
      <c r="A1152" s="17">
        <v>90739624000118</v>
      </c>
      <c r="B1152" t="s">
        <v>58</v>
      </c>
      <c r="C1152">
        <v>25078</v>
      </c>
      <c r="D1152" t="s">
        <v>612</v>
      </c>
      <c r="E1152" t="s">
        <v>17</v>
      </c>
      <c r="F1152">
        <v>269308</v>
      </c>
      <c r="G1152" s="1" t="s">
        <v>4111</v>
      </c>
      <c r="H1152">
        <v>24746909</v>
      </c>
      <c r="I1152">
        <v>73734</v>
      </c>
      <c r="J1152" t="s">
        <v>60</v>
      </c>
      <c r="K1152" s="17">
        <v>7473735018200</v>
      </c>
      <c r="L1152" s="17">
        <v>90739624002323</v>
      </c>
      <c r="M1152" s="9">
        <v>27.26</v>
      </c>
      <c r="N1152" t="s">
        <v>43</v>
      </c>
      <c r="Q1152" s="2"/>
      <c r="R1152" s="9"/>
      <c r="S1152" t="s">
        <v>44</v>
      </c>
      <c r="T1152" t="s">
        <v>45</v>
      </c>
      <c r="U1152" s="2" t="s">
        <v>584</v>
      </c>
      <c r="V1152" s="9" t="s">
        <v>4112</v>
      </c>
      <c r="W1152">
        <v>4.3260807473734999E+43</v>
      </c>
      <c r="X1152" t="s">
        <v>46</v>
      </c>
      <c r="Y1152" s="2" t="s">
        <v>717</v>
      </c>
      <c r="Z1152" s="2" t="s">
        <v>718</v>
      </c>
      <c r="AA1152" s="9" t="s">
        <v>715</v>
      </c>
      <c r="AC1152" s="2"/>
      <c r="AD1152" t="s">
        <v>7</v>
      </c>
      <c r="AE1152" t="s">
        <v>4113</v>
      </c>
    </row>
    <row r="1153" spans="1:31" x14ac:dyDescent="0.3">
      <c r="A1153" s="17">
        <v>90739624000118</v>
      </c>
      <c r="B1153" t="s">
        <v>31</v>
      </c>
      <c r="D1153" t="s">
        <v>105</v>
      </c>
      <c r="E1153" t="s">
        <v>2</v>
      </c>
      <c r="F1153">
        <v>269308</v>
      </c>
      <c r="G1153" s="1" t="s">
        <v>4114</v>
      </c>
      <c r="H1153">
        <v>24746879</v>
      </c>
      <c r="I1153">
        <v>54530</v>
      </c>
      <c r="J1153" t="s">
        <v>56</v>
      </c>
      <c r="K1153" s="17">
        <v>8603562000212</v>
      </c>
      <c r="L1153" s="17">
        <v>90739624001866</v>
      </c>
      <c r="M1153" s="9">
        <v>308.02</v>
      </c>
      <c r="N1153" t="s">
        <v>43</v>
      </c>
      <c r="Q1153" s="2"/>
      <c r="R1153" s="9"/>
      <c r="S1153" t="s">
        <v>44</v>
      </c>
      <c r="T1153" t="s">
        <v>45</v>
      </c>
      <c r="U1153" s="2" t="s">
        <v>584</v>
      </c>
      <c r="V1153" s="9" t="s">
        <v>4115</v>
      </c>
      <c r="W1153">
        <v>5.1260808603562005E+43</v>
      </c>
      <c r="X1153" t="s">
        <v>46</v>
      </c>
      <c r="Y1153" s="2" t="s">
        <v>717</v>
      </c>
      <c r="Z1153" s="2" t="s">
        <v>718</v>
      </c>
      <c r="AA1153" s="9" t="s">
        <v>715</v>
      </c>
      <c r="AC1153" s="2"/>
      <c r="AD1153" t="s">
        <v>7</v>
      </c>
      <c r="AE1153" t="s">
        <v>4116</v>
      </c>
    </row>
    <row r="1154" spans="1:31" x14ac:dyDescent="0.3">
      <c r="A1154" s="17">
        <v>90739624000118</v>
      </c>
      <c r="B1154" t="s">
        <v>58</v>
      </c>
      <c r="C1154">
        <v>25078</v>
      </c>
      <c r="D1154" t="s">
        <v>612</v>
      </c>
      <c r="E1154" t="s">
        <v>2</v>
      </c>
      <c r="F1154">
        <v>269308</v>
      </c>
      <c r="G1154" s="1" t="s">
        <v>4117</v>
      </c>
      <c r="H1154">
        <v>24746878</v>
      </c>
      <c r="I1154">
        <v>73733</v>
      </c>
      <c r="J1154" t="s">
        <v>60</v>
      </c>
      <c r="K1154" s="17">
        <v>7473735018200</v>
      </c>
      <c r="L1154" s="17">
        <v>90739624002323</v>
      </c>
      <c r="M1154" s="9">
        <v>303.33999999999997</v>
      </c>
      <c r="N1154" t="s">
        <v>43</v>
      </c>
      <c r="Q1154" s="2"/>
      <c r="R1154" s="9"/>
      <c r="S1154" t="s">
        <v>44</v>
      </c>
      <c r="T1154" t="s">
        <v>45</v>
      </c>
      <c r="U1154" s="2" t="s">
        <v>584</v>
      </c>
      <c r="V1154" s="9" t="s">
        <v>4118</v>
      </c>
      <c r="W1154">
        <v>4.3260807473734999E+43</v>
      </c>
      <c r="X1154" t="s">
        <v>46</v>
      </c>
      <c r="Y1154" s="2" t="s">
        <v>717</v>
      </c>
      <c r="Z1154" s="2" t="s">
        <v>718</v>
      </c>
      <c r="AA1154" s="9" t="s">
        <v>715</v>
      </c>
      <c r="AC1154" s="2"/>
      <c r="AD1154" t="s">
        <v>7</v>
      </c>
      <c r="AE1154" t="s">
        <v>4119</v>
      </c>
    </row>
    <row r="1155" spans="1:31" x14ac:dyDescent="0.3">
      <c r="A1155" s="17">
        <v>90739624000118</v>
      </c>
      <c r="B1155" t="s">
        <v>120</v>
      </c>
      <c r="C1155">
        <v>23838</v>
      </c>
      <c r="D1155" t="s">
        <v>121</v>
      </c>
      <c r="E1155" t="s">
        <v>2</v>
      </c>
      <c r="F1155">
        <v>269308</v>
      </c>
      <c r="G1155" s="1" t="s">
        <v>4120</v>
      </c>
      <c r="H1155">
        <v>24746876</v>
      </c>
      <c r="I1155">
        <v>38013</v>
      </c>
      <c r="J1155" t="s">
        <v>157</v>
      </c>
      <c r="K1155" s="17">
        <v>78253424000155</v>
      </c>
      <c r="L1155" s="17">
        <v>90739624001432</v>
      </c>
      <c r="M1155" s="9">
        <v>249.87</v>
      </c>
      <c r="N1155" t="s">
        <v>43</v>
      </c>
      <c r="Q1155" s="2"/>
      <c r="R1155" s="9"/>
      <c r="S1155" t="s">
        <v>44</v>
      </c>
      <c r="T1155" t="s">
        <v>45</v>
      </c>
      <c r="U1155" s="2" t="s">
        <v>584</v>
      </c>
      <c r="V1155" s="9" t="s">
        <v>4121</v>
      </c>
      <c r="W1155">
        <v>4.2260878253423998E+43</v>
      </c>
      <c r="X1155" t="s">
        <v>46</v>
      </c>
      <c r="Y1155" s="2" t="s">
        <v>717</v>
      </c>
      <c r="Z1155" s="2" t="s">
        <v>718</v>
      </c>
      <c r="AA1155" s="9" t="s">
        <v>715</v>
      </c>
      <c r="AC1155" s="2"/>
      <c r="AD1155" t="s">
        <v>7</v>
      </c>
      <c r="AE1155" t="s">
        <v>4122</v>
      </c>
    </row>
    <row r="1156" spans="1:31" x14ac:dyDescent="0.3">
      <c r="A1156" s="17">
        <v>90739624000118</v>
      </c>
      <c r="B1156" t="s">
        <v>40</v>
      </c>
      <c r="D1156" t="s">
        <v>147</v>
      </c>
      <c r="E1156" t="s">
        <v>17</v>
      </c>
      <c r="F1156">
        <v>269308</v>
      </c>
      <c r="G1156" s="1" t="s">
        <v>4123</v>
      </c>
      <c r="H1156">
        <v>24746834</v>
      </c>
      <c r="I1156">
        <v>168100</v>
      </c>
      <c r="J1156" t="s">
        <v>42</v>
      </c>
      <c r="K1156" s="17">
        <v>82156977000248</v>
      </c>
      <c r="L1156" s="17">
        <v>90739624001432</v>
      </c>
      <c r="M1156" s="9">
        <v>80.17</v>
      </c>
      <c r="N1156" t="s">
        <v>43</v>
      </c>
      <c r="Q1156" s="2"/>
      <c r="R1156" s="9"/>
      <c r="S1156" t="s">
        <v>44</v>
      </c>
      <c r="T1156" t="s">
        <v>45</v>
      </c>
      <c r="U1156" s="2" t="s">
        <v>584</v>
      </c>
      <c r="V1156" s="9" t="s">
        <v>4124</v>
      </c>
      <c r="W1156">
        <v>4.2260882156977001E+43</v>
      </c>
      <c r="X1156" t="s">
        <v>46</v>
      </c>
      <c r="Y1156" s="2" t="s">
        <v>717</v>
      </c>
      <c r="Z1156" s="2" t="s">
        <v>718</v>
      </c>
      <c r="AA1156" s="9" t="s">
        <v>715</v>
      </c>
      <c r="AC1156" s="2"/>
      <c r="AD1156" t="s">
        <v>7</v>
      </c>
      <c r="AE1156" t="s">
        <v>4125</v>
      </c>
    </row>
    <row r="1157" spans="1:31" x14ac:dyDescent="0.3">
      <c r="A1157" s="17">
        <v>90739624000118</v>
      </c>
      <c r="B1157" t="s">
        <v>40</v>
      </c>
      <c r="D1157" t="s">
        <v>147</v>
      </c>
      <c r="E1157" t="s">
        <v>2</v>
      </c>
      <c r="F1157">
        <v>269308</v>
      </c>
      <c r="G1157" s="1" t="s">
        <v>4126</v>
      </c>
      <c r="H1157">
        <v>24746817</v>
      </c>
      <c r="I1157">
        <v>168099</v>
      </c>
      <c r="J1157" t="s">
        <v>42</v>
      </c>
      <c r="K1157" s="17">
        <v>82156977000248</v>
      </c>
      <c r="L1157" s="17">
        <v>90739624001432</v>
      </c>
      <c r="M1157" s="9">
        <v>1359.11</v>
      </c>
      <c r="N1157" t="s">
        <v>43</v>
      </c>
      <c r="Q1157" s="2"/>
      <c r="R1157" s="9"/>
      <c r="S1157" t="s">
        <v>44</v>
      </c>
      <c r="T1157" t="s">
        <v>45</v>
      </c>
      <c r="U1157" s="2" t="s">
        <v>584</v>
      </c>
      <c r="V1157" s="9" t="s">
        <v>4127</v>
      </c>
      <c r="W1157">
        <v>4.2260882156977001E+43</v>
      </c>
      <c r="X1157" t="s">
        <v>46</v>
      </c>
      <c r="Y1157" s="2" t="s">
        <v>717</v>
      </c>
      <c r="Z1157" s="2" t="s">
        <v>718</v>
      </c>
      <c r="AA1157" s="9" t="s">
        <v>715</v>
      </c>
      <c r="AC1157" s="2"/>
      <c r="AD1157" t="s">
        <v>7</v>
      </c>
      <c r="AE1157" t="s">
        <v>4128</v>
      </c>
    </row>
    <row r="1158" spans="1:31" x14ac:dyDescent="0.3">
      <c r="A1158" s="17">
        <v>90739624000118</v>
      </c>
      <c r="B1158" t="s">
        <v>25</v>
      </c>
      <c r="D1158" t="s">
        <v>108</v>
      </c>
      <c r="E1158" t="s">
        <v>2</v>
      </c>
      <c r="F1158">
        <v>269308</v>
      </c>
      <c r="G1158" s="1" t="s">
        <v>4129</v>
      </c>
      <c r="H1158">
        <v>24746664</v>
      </c>
      <c r="I1158">
        <v>297709</v>
      </c>
      <c r="J1158" t="s">
        <v>109</v>
      </c>
      <c r="K1158" s="17">
        <v>5218335000102</v>
      </c>
      <c r="L1158" s="17">
        <v>90739624001866</v>
      </c>
      <c r="M1158" s="9">
        <v>167.91</v>
      </c>
      <c r="N1158" t="s">
        <v>43</v>
      </c>
      <c r="Q1158" s="2"/>
      <c r="R1158" s="9"/>
      <c r="S1158" t="s">
        <v>44</v>
      </c>
      <c r="T1158" t="s">
        <v>45</v>
      </c>
      <c r="U1158" s="2" t="s">
        <v>584</v>
      </c>
      <c r="V1158" s="9" t="s">
        <v>4130</v>
      </c>
      <c r="W1158">
        <v>5.1260805218334996E+43</v>
      </c>
      <c r="X1158" t="s">
        <v>46</v>
      </c>
      <c r="Y1158" s="2" t="s">
        <v>717</v>
      </c>
      <c r="Z1158" s="2" t="s">
        <v>718</v>
      </c>
      <c r="AA1158" s="9" t="s">
        <v>715</v>
      </c>
      <c r="AC1158" s="2"/>
      <c r="AD1158" t="s">
        <v>7</v>
      </c>
      <c r="AE1158" t="s">
        <v>4131</v>
      </c>
    </row>
    <row r="1159" spans="1:31" x14ac:dyDescent="0.3">
      <c r="A1159" s="17">
        <v>90739624000118</v>
      </c>
      <c r="B1159" t="s">
        <v>73</v>
      </c>
      <c r="D1159" t="s">
        <v>159</v>
      </c>
      <c r="E1159" t="s">
        <v>2</v>
      </c>
      <c r="F1159">
        <v>269308</v>
      </c>
      <c r="G1159" s="1" t="s">
        <v>4132</v>
      </c>
      <c r="H1159">
        <v>24746049</v>
      </c>
      <c r="J1159" t="s">
        <v>694</v>
      </c>
      <c r="K1159" s="17">
        <v>7473735020026</v>
      </c>
      <c r="L1159" s="17"/>
      <c r="M1159" s="9">
        <v>273.10000000000002</v>
      </c>
      <c r="N1159" t="s">
        <v>43</v>
      </c>
      <c r="Q1159" s="2"/>
      <c r="R1159" s="9"/>
      <c r="S1159" t="s">
        <v>87</v>
      </c>
      <c r="U1159" s="2"/>
      <c r="V1159" s="9"/>
      <c r="X1159" t="s">
        <v>88</v>
      </c>
      <c r="Y1159" s="2" t="s">
        <v>717</v>
      </c>
      <c r="Z1159" s="2" t="s">
        <v>718</v>
      </c>
      <c r="AA1159" s="9" t="s">
        <v>715</v>
      </c>
      <c r="AC1159" s="2"/>
      <c r="AD1159" t="s">
        <v>7</v>
      </c>
    </row>
    <row r="1160" spans="1:31" x14ac:dyDescent="0.3">
      <c r="A1160" s="17">
        <v>90739624000118</v>
      </c>
      <c r="B1160" t="s">
        <v>174</v>
      </c>
      <c r="D1160" t="s">
        <v>256</v>
      </c>
      <c r="E1160" t="s">
        <v>2</v>
      </c>
      <c r="F1160">
        <v>269308</v>
      </c>
      <c r="G1160" s="1" t="s">
        <v>4134</v>
      </c>
      <c r="H1160">
        <v>24745914</v>
      </c>
      <c r="I1160">
        <v>695991</v>
      </c>
      <c r="J1160" t="s">
        <v>257</v>
      </c>
      <c r="K1160" s="17">
        <v>16823762000128</v>
      </c>
      <c r="L1160" s="17">
        <v>90739624000118</v>
      </c>
      <c r="M1160" s="9">
        <v>124.08</v>
      </c>
      <c r="N1160" t="s">
        <v>43</v>
      </c>
      <c r="Q1160" s="2"/>
      <c r="R1160" s="9"/>
      <c r="S1160" t="s">
        <v>44</v>
      </c>
      <c r="T1160" t="s">
        <v>45</v>
      </c>
      <c r="U1160" s="2" t="s">
        <v>584</v>
      </c>
      <c r="V1160" s="9" t="s">
        <v>4135</v>
      </c>
      <c r="W1160">
        <v>1.7260816823762E+43</v>
      </c>
      <c r="X1160" t="s">
        <v>46</v>
      </c>
      <c r="Y1160" s="2" t="s">
        <v>717</v>
      </c>
      <c r="Z1160" s="2" t="s">
        <v>718</v>
      </c>
      <c r="AA1160" s="9" t="s">
        <v>715</v>
      </c>
      <c r="AC1160" s="2"/>
      <c r="AD1160" t="s">
        <v>7</v>
      </c>
      <c r="AE1160" t="s">
        <v>4136</v>
      </c>
    </row>
    <row r="1161" spans="1:31" x14ac:dyDescent="0.3">
      <c r="A1161" s="17">
        <v>90739624000118</v>
      </c>
      <c r="B1161" t="s">
        <v>126</v>
      </c>
      <c r="D1161" t="s">
        <v>533</v>
      </c>
      <c r="E1161" t="s">
        <v>2</v>
      </c>
      <c r="F1161">
        <v>269308</v>
      </c>
      <c r="G1161" s="1" t="s">
        <v>4137</v>
      </c>
      <c r="H1161">
        <v>24745754</v>
      </c>
      <c r="I1161">
        <v>819682</v>
      </c>
      <c r="J1161" t="s">
        <v>62</v>
      </c>
      <c r="K1161" s="17">
        <v>79964177000591</v>
      </c>
      <c r="L1161" s="17">
        <v>9576274000106</v>
      </c>
      <c r="M1161" s="9">
        <v>796.9</v>
      </c>
      <c r="N1161" t="s">
        <v>43</v>
      </c>
      <c r="Q1161" s="2"/>
      <c r="R1161" s="9"/>
      <c r="S1161" t="s">
        <v>44</v>
      </c>
      <c r="T1161" t="s">
        <v>45</v>
      </c>
      <c r="U1161" s="2" t="s">
        <v>584</v>
      </c>
      <c r="V1161" s="9" t="s">
        <v>4138</v>
      </c>
      <c r="W1161">
        <v>4.1260879964176998E+43</v>
      </c>
      <c r="X1161" t="s">
        <v>46</v>
      </c>
      <c r="Y1161" s="2" t="s">
        <v>717</v>
      </c>
      <c r="Z1161" s="2" t="s">
        <v>718</v>
      </c>
      <c r="AA1161" s="9" t="s">
        <v>715</v>
      </c>
      <c r="AC1161" s="2"/>
      <c r="AD1161" t="s">
        <v>7</v>
      </c>
      <c r="AE1161" t="s">
        <v>4139</v>
      </c>
    </row>
    <row r="1162" spans="1:31" x14ac:dyDescent="0.3">
      <c r="A1162" s="17">
        <v>90739624000118</v>
      </c>
      <c r="B1162" t="s">
        <v>8</v>
      </c>
      <c r="D1162" t="s">
        <v>568</v>
      </c>
      <c r="E1162" t="s">
        <v>17</v>
      </c>
      <c r="F1162">
        <v>269308</v>
      </c>
      <c r="G1162" s="1" t="s">
        <v>4140</v>
      </c>
      <c r="H1162">
        <v>24745654</v>
      </c>
      <c r="I1162">
        <v>6435</v>
      </c>
      <c r="J1162" t="s">
        <v>221</v>
      </c>
      <c r="K1162" s="17">
        <v>8810726000100</v>
      </c>
      <c r="L1162" s="17">
        <v>9576274000106</v>
      </c>
      <c r="M1162" s="9">
        <v>71.23</v>
      </c>
      <c r="N1162" t="s">
        <v>43</v>
      </c>
      <c r="Q1162" s="2"/>
      <c r="R1162" s="9"/>
      <c r="S1162" t="s">
        <v>44</v>
      </c>
      <c r="T1162" t="s">
        <v>45</v>
      </c>
      <c r="U1162" s="2" t="s">
        <v>581</v>
      </c>
      <c r="V1162" s="9" t="s">
        <v>593</v>
      </c>
      <c r="W1162">
        <v>4.1260808810725998E+43</v>
      </c>
      <c r="X1162" t="s">
        <v>46</v>
      </c>
      <c r="Y1162" s="2" t="s">
        <v>717</v>
      </c>
      <c r="Z1162" s="2" t="s">
        <v>718</v>
      </c>
      <c r="AA1162" s="9" t="s">
        <v>715</v>
      </c>
      <c r="AC1162" s="2"/>
      <c r="AD1162" t="s">
        <v>7</v>
      </c>
      <c r="AE1162" t="s">
        <v>4141</v>
      </c>
    </row>
    <row r="1163" spans="1:31" x14ac:dyDescent="0.3">
      <c r="A1163" s="17">
        <v>90739624000118</v>
      </c>
      <c r="B1163" t="s">
        <v>8</v>
      </c>
      <c r="D1163" t="s">
        <v>568</v>
      </c>
      <c r="E1163" t="s">
        <v>2</v>
      </c>
      <c r="F1163">
        <v>269308</v>
      </c>
      <c r="G1163" s="1" t="s">
        <v>4142</v>
      </c>
      <c r="H1163">
        <v>24745593</v>
      </c>
      <c r="I1163">
        <v>6434</v>
      </c>
      <c r="J1163" t="s">
        <v>221</v>
      </c>
      <c r="K1163" s="17">
        <v>8810726000100</v>
      </c>
      <c r="L1163" s="17">
        <v>9576274000106</v>
      </c>
      <c r="M1163" s="9">
        <v>408.03</v>
      </c>
      <c r="N1163" t="s">
        <v>43</v>
      </c>
      <c r="Q1163" s="2"/>
      <c r="R1163" s="9"/>
      <c r="S1163" t="s">
        <v>44</v>
      </c>
      <c r="T1163" t="s">
        <v>45</v>
      </c>
      <c r="U1163" s="2" t="s">
        <v>581</v>
      </c>
      <c r="V1163" s="9" t="s">
        <v>4143</v>
      </c>
      <c r="W1163">
        <v>4.1260808810725998E+43</v>
      </c>
      <c r="X1163" t="s">
        <v>46</v>
      </c>
      <c r="Y1163" s="2" t="s">
        <v>717</v>
      </c>
      <c r="Z1163" s="2" t="s">
        <v>718</v>
      </c>
      <c r="AA1163" s="9" t="s">
        <v>715</v>
      </c>
      <c r="AC1163" s="2"/>
      <c r="AD1163" t="s">
        <v>7</v>
      </c>
      <c r="AE1163" t="s">
        <v>4144</v>
      </c>
    </row>
    <row r="1164" spans="1:31" x14ac:dyDescent="0.3">
      <c r="A1164" s="17">
        <v>90739624000118</v>
      </c>
      <c r="B1164" t="s">
        <v>25</v>
      </c>
      <c r="D1164" t="s">
        <v>235</v>
      </c>
      <c r="E1164" t="s">
        <v>2</v>
      </c>
      <c r="F1164">
        <v>269308</v>
      </c>
      <c r="G1164" s="1" t="s">
        <v>4145</v>
      </c>
      <c r="H1164">
        <v>24745585</v>
      </c>
      <c r="J1164" t="s">
        <v>132</v>
      </c>
      <c r="K1164" s="17">
        <v>10588554000105</v>
      </c>
      <c r="L1164" s="17"/>
      <c r="M1164" s="9">
        <v>126.82</v>
      </c>
      <c r="N1164" t="s">
        <v>43</v>
      </c>
      <c r="Q1164" s="2"/>
      <c r="R1164" s="9"/>
      <c r="S1164" t="s">
        <v>87</v>
      </c>
      <c r="U1164" s="2"/>
      <c r="V1164" s="9"/>
      <c r="X1164" t="s">
        <v>88</v>
      </c>
      <c r="Y1164" s="2" t="s">
        <v>717</v>
      </c>
      <c r="Z1164" s="2" t="s">
        <v>718</v>
      </c>
      <c r="AA1164" s="9" t="s">
        <v>715</v>
      </c>
      <c r="AC1164" s="2"/>
      <c r="AD1164" t="s">
        <v>7</v>
      </c>
    </row>
    <row r="1165" spans="1:31" x14ac:dyDescent="0.3">
      <c r="A1165" s="17">
        <v>90739624000118</v>
      </c>
      <c r="B1165" t="s">
        <v>28</v>
      </c>
      <c r="C1165">
        <v>22480</v>
      </c>
      <c r="D1165" t="s">
        <v>322</v>
      </c>
      <c r="E1165" t="s">
        <v>2</v>
      </c>
      <c r="F1165">
        <v>269308</v>
      </c>
      <c r="G1165" s="1" t="s">
        <v>4147</v>
      </c>
      <c r="H1165">
        <v>24745332</v>
      </c>
      <c r="I1165">
        <v>120779</v>
      </c>
      <c r="J1165" t="s">
        <v>487</v>
      </c>
      <c r="K1165" s="17">
        <v>148072000180</v>
      </c>
      <c r="L1165" s="17">
        <v>90739624001947</v>
      </c>
      <c r="M1165" s="9">
        <v>281.13</v>
      </c>
      <c r="N1165" t="s">
        <v>43</v>
      </c>
      <c r="Q1165" s="2"/>
      <c r="R1165" s="9"/>
      <c r="S1165" t="s">
        <v>44</v>
      </c>
      <c r="T1165" t="s">
        <v>45</v>
      </c>
      <c r="U1165" s="2" t="s">
        <v>584</v>
      </c>
      <c r="V1165" s="9" t="s">
        <v>4148</v>
      </c>
      <c r="W1165">
        <v>5.2260800148072004E+43</v>
      </c>
      <c r="X1165" t="s">
        <v>46</v>
      </c>
      <c r="Y1165" s="2" t="s">
        <v>717</v>
      </c>
      <c r="Z1165" s="2" t="s">
        <v>718</v>
      </c>
      <c r="AA1165" s="9" t="s">
        <v>715</v>
      </c>
      <c r="AC1165" s="2"/>
      <c r="AD1165" t="s">
        <v>7</v>
      </c>
      <c r="AE1165" t="s">
        <v>4149</v>
      </c>
    </row>
    <row r="1166" spans="1:31" x14ac:dyDescent="0.3">
      <c r="A1166" s="17">
        <v>90739624000118</v>
      </c>
      <c r="B1166" t="s">
        <v>170</v>
      </c>
      <c r="D1166" t="s">
        <v>177</v>
      </c>
      <c r="E1166" t="s">
        <v>2</v>
      </c>
      <c r="F1166">
        <v>269308</v>
      </c>
      <c r="G1166" s="1" t="s">
        <v>4150</v>
      </c>
      <c r="H1166">
        <v>24744814</v>
      </c>
      <c r="I1166">
        <v>128884</v>
      </c>
      <c r="J1166" t="s">
        <v>178</v>
      </c>
      <c r="K1166" s="17">
        <v>83392050000199</v>
      </c>
      <c r="L1166" s="17">
        <v>90739624001432</v>
      </c>
      <c r="M1166" s="9">
        <v>191.72</v>
      </c>
      <c r="N1166" t="s">
        <v>43</v>
      </c>
      <c r="Q1166" s="2"/>
      <c r="R1166" s="9"/>
      <c r="S1166" t="s">
        <v>44</v>
      </c>
      <c r="T1166" t="s">
        <v>45</v>
      </c>
      <c r="U1166" s="2" t="s">
        <v>584</v>
      </c>
      <c r="V1166" s="9" t="s">
        <v>4151</v>
      </c>
      <c r="W1166">
        <v>4.2260883392050001E+43</v>
      </c>
      <c r="X1166" t="s">
        <v>46</v>
      </c>
      <c r="Y1166" s="2" t="s">
        <v>717</v>
      </c>
      <c r="Z1166" s="2" t="s">
        <v>718</v>
      </c>
      <c r="AA1166" s="9" t="s">
        <v>715</v>
      </c>
      <c r="AC1166" s="2"/>
      <c r="AD1166" t="s">
        <v>7</v>
      </c>
      <c r="AE1166" t="s">
        <v>4152</v>
      </c>
    </row>
    <row r="1167" spans="1:31" x14ac:dyDescent="0.3">
      <c r="A1167" s="17">
        <v>90739624000118</v>
      </c>
      <c r="B1167" t="s">
        <v>61</v>
      </c>
      <c r="D1167" t="s">
        <v>459</v>
      </c>
      <c r="E1167" t="s">
        <v>2</v>
      </c>
      <c r="F1167">
        <v>269308</v>
      </c>
      <c r="G1167" s="1" t="s">
        <v>4153</v>
      </c>
      <c r="H1167">
        <v>24744439</v>
      </c>
      <c r="I1167">
        <v>2488</v>
      </c>
      <c r="J1167" t="s">
        <v>85</v>
      </c>
      <c r="K1167" s="17">
        <v>1975878000105</v>
      </c>
      <c r="L1167" s="17">
        <v>9576274000106</v>
      </c>
      <c r="M1167" s="9">
        <v>463.29</v>
      </c>
      <c r="N1167" t="s">
        <v>43</v>
      </c>
      <c r="Q1167" s="2"/>
      <c r="R1167" s="9"/>
      <c r="S1167" t="s">
        <v>44</v>
      </c>
      <c r="T1167" t="s">
        <v>45</v>
      </c>
      <c r="U1167" s="2" t="s">
        <v>584</v>
      </c>
      <c r="V1167" s="9" t="s">
        <v>4154</v>
      </c>
      <c r="W1167">
        <v>4.1260801975878E+43</v>
      </c>
      <c r="X1167" t="s">
        <v>46</v>
      </c>
      <c r="Y1167" s="2" t="s">
        <v>717</v>
      </c>
      <c r="Z1167" s="2" t="s">
        <v>718</v>
      </c>
      <c r="AA1167" s="9" t="s">
        <v>715</v>
      </c>
      <c r="AC1167" s="2"/>
      <c r="AD1167" t="s">
        <v>7</v>
      </c>
      <c r="AE1167" t="s">
        <v>4155</v>
      </c>
    </row>
    <row r="1168" spans="1:31" x14ac:dyDescent="0.3">
      <c r="A1168" s="17">
        <v>90739624000118</v>
      </c>
      <c r="B1168" t="s">
        <v>36</v>
      </c>
      <c r="D1168" t="s">
        <v>493</v>
      </c>
      <c r="E1168" t="s">
        <v>2</v>
      </c>
      <c r="F1168">
        <v>269308</v>
      </c>
      <c r="G1168" s="1" t="s">
        <v>4156</v>
      </c>
      <c r="H1168">
        <v>24744422</v>
      </c>
      <c r="I1168">
        <v>4093</v>
      </c>
      <c r="J1168" t="s">
        <v>186</v>
      </c>
      <c r="K1168" s="17">
        <v>7822636000168</v>
      </c>
      <c r="L1168" s="17">
        <v>90739624004458</v>
      </c>
      <c r="M1168" s="9">
        <v>278.70999999999998</v>
      </c>
      <c r="N1168" t="s">
        <v>43</v>
      </c>
      <c r="Q1168" s="2"/>
      <c r="R1168" s="9"/>
      <c r="S1168" t="s">
        <v>44</v>
      </c>
      <c r="T1168" t="s">
        <v>45</v>
      </c>
      <c r="U1168" s="2" t="s">
        <v>584</v>
      </c>
      <c r="V1168" s="9" t="s">
        <v>4157</v>
      </c>
      <c r="W1168">
        <v>5.3260807822636003E+43</v>
      </c>
      <c r="X1168" t="s">
        <v>46</v>
      </c>
      <c r="Y1168" s="2" t="s">
        <v>717</v>
      </c>
      <c r="Z1168" s="2" t="s">
        <v>718</v>
      </c>
      <c r="AA1168" s="9" t="s">
        <v>715</v>
      </c>
      <c r="AC1168" s="2"/>
      <c r="AD1168" t="s">
        <v>7</v>
      </c>
      <c r="AE1168" t="s">
        <v>4158</v>
      </c>
    </row>
    <row r="1169" spans="1:31" x14ac:dyDescent="0.3">
      <c r="A1169" s="17">
        <v>90739624000118</v>
      </c>
      <c r="B1169" t="s">
        <v>58</v>
      </c>
      <c r="D1169" t="s">
        <v>387</v>
      </c>
      <c r="E1169" t="s">
        <v>2</v>
      </c>
      <c r="F1169">
        <v>269308</v>
      </c>
      <c r="G1169" s="1" t="s">
        <v>4159</v>
      </c>
      <c r="H1169">
        <v>24744279</v>
      </c>
      <c r="I1169">
        <v>57460</v>
      </c>
      <c r="J1169" t="s">
        <v>480</v>
      </c>
      <c r="K1169" s="17">
        <v>7473735019877</v>
      </c>
      <c r="L1169" s="17">
        <v>90739624002323</v>
      </c>
      <c r="M1169" s="9">
        <v>137.65</v>
      </c>
      <c r="N1169" t="s">
        <v>43</v>
      </c>
      <c r="Q1169" s="2"/>
      <c r="R1169" s="9"/>
      <c r="S1169" t="s">
        <v>44</v>
      </c>
      <c r="T1169" t="s">
        <v>45</v>
      </c>
      <c r="U1169" s="2" t="s">
        <v>584</v>
      </c>
      <c r="V1169" s="9" t="s">
        <v>4160</v>
      </c>
      <c r="W1169">
        <v>4.3260807473734999E+43</v>
      </c>
      <c r="X1169" t="s">
        <v>46</v>
      </c>
      <c r="Y1169" s="2" t="s">
        <v>717</v>
      </c>
      <c r="Z1169" s="2" t="s">
        <v>718</v>
      </c>
      <c r="AA1169" s="9" t="s">
        <v>715</v>
      </c>
      <c r="AC1169" s="2"/>
      <c r="AD1169" t="s">
        <v>7</v>
      </c>
      <c r="AE1169" t="s">
        <v>4161</v>
      </c>
    </row>
    <row r="1170" spans="1:31" x14ac:dyDescent="0.3">
      <c r="A1170" s="17">
        <v>90739624000118</v>
      </c>
      <c r="B1170" t="s">
        <v>49</v>
      </c>
      <c r="C1170">
        <v>23846</v>
      </c>
      <c r="D1170" t="s">
        <v>597</v>
      </c>
      <c r="E1170" t="s">
        <v>2</v>
      </c>
      <c r="F1170">
        <v>269308</v>
      </c>
      <c r="G1170" s="1" t="s">
        <v>4162</v>
      </c>
      <c r="H1170">
        <v>24744270</v>
      </c>
      <c r="I1170">
        <v>162693</v>
      </c>
      <c r="J1170" t="s">
        <v>51</v>
      </c>
      <c r="K1170" s="17">
        <v>2763612000161</v>
      </c>
      <c r="L1170" s="17">
        <v>90739624003133</v>
      </c>
      <c r="M1170" s="9">
        <v>107.94</v>
      </c>
      <c r="N1170" t="s">
        <v>43</v>
      </c>
      <c r="Q1170" s="2"/>
      <c r="R1170" s="9"/>
      <c r="S1170" t="s">
        <v>44</v>
      </c>
      <c r="T1170" t="s">
        <v>45</v>
      </c>
      <c r="U1170" s="2" t="s">
        <v>584</v>
      </c>
      <c r="V1170" s="9" t="s">
        <v>4163</v>
      </c>
      <c r="W1170">
        <v>4.1260802763612002E+43</v>
      </c>
      <c r="X1170" t="s">
        <v>46</v>
      </c>
      <c r="Y1170" s="2" t="s">
        <v>717</v>
      </c>
      <c r="Z1170" s="2" t="s">
        <v>718</v>
      </c>
      <c r="AA1170" s="9" t="s">
        <v>715</v>
      </c>
      <c r="AC1170" s="2"/>
      <c r="AD1170" t="s">
        <v>7</v>
      </c>
      <c r="AE1170" t="s">
        <v>4164</v>
      </c>
    </row>
    <row r="1171" spans="1:31" x14ac:dyDescent="0.3">
      <c r="A1171" s="17">
        <v>90739624000118</v>
      </c>
      <c r="B1171" t="s">
        <v>11</v>
      </c>
      <c r="D1171" t="s">
        <v>138</v>
      </c>
      <c r="E1171" t="s">
        <v>2</v>
      </c>
      <c r="F1171">
        <v>269308</v>
      </c>
      <c r="G1171" s="1" t="s">
        <v>4165</v>
      </c>
      <c r="H1171">
        <v>24743722</v>
      </c>
      <c r="I1171">
        <v>22815</v>
      </c>
      <c r="J1171" t="s">
        <v>24</v>
      </c>
      <c r="K1171" s="17">
        <v>46472822000176</v>
      </c>
      <c r="L1171" s="17">
        <v>90739624000380</v>
      </c>
      <c r="M1171" s="9">
        <v>271.19</v>
      </c>
      <c r="N1171" t="s">
        <v>43</v>
      </c>
      <c r="Q1171" s="2"/>
      <c r="R1171" s="9"/>
      <c r="S1171" t="s">
        <v>44</v>
      </c>
      <c r="T1171" t="s">
        <v>45</v>
      </c>
      <c r="U1171" s="2" t="s">
        <v>584</v>
      </c>
      <c r="V1171" s="9" t="s">
        <v>4166</v>
      </c>
      <c r="W1171">
        <v>3.5260846472822E+43</v>
      </c>
      <c r="X1171" t="s">
        <v>46</v>
      </c>
      <c r="Y1171" s="2" t="s">
        <v>717</v>
      </c>
      <c r="Z1171" s="2" t="s">
        <v>718</v>
      </c>
      <c r="AA1171" s="9" t="s">
        <v>715</v>
      </c>
      <c r="AC1171" s="2"/>
      <c r="AD1171" t="s">
        <v>7</v>
      </c>
      <c r="AE1171" t="s">
        <v>4167</v>
      </c>
    </row>
    <row r="1172" spans="1:31" x14ac:dyDescent="0.3">
      <c r="A1172" s="17">
        <v>90739624000118</v>
      </c>
      <c r="B1172" t="s">
        <v>18</v>
      </c>
      <c r="C1172">
        <v>21142</v>
      </c>
      <c r="D1172" t="s">
        <v>552</v>
      </c>
      <c r="E1172" t="s">
        <v>2</v>
      </c>
      <c r="F1172">
        <v>269308</v>
      </c>
      <c r="G1172" s="1" t="s">
        <v>4168</v>
      </c>
      <c r="H1172">
        <v>24743260</v>
      </c>
      <c r="I1172">
        <v>15519</v>
      </c>
      <c r="J1172" t="s">
        <v>57</v>
      </c>
      <c r="K1172" s="17">
        <v>50206655000199</v>
      </c>
      <c r="L1172" s="17">
        <v>90739624000380</v>
      </c>
      <c r="M1172" s="9">
        <v>375.97</v>
      </c>
      <c r="N1172" t="s">
        <v>43</v>
      </c>
      <c r="Q1172" s="2"/>
      <c r="R1172" s="9"/>
      <c r="S1172" t="s">
        <v>44</v>
      </c>
      <c r="T1172" t="s">
        <v>45</v>
      </c>
      <c r="U1172" s="2" t="s">
        <v>581</v>
      </c>
      <c r="V1172" s="9" t="s">
        <v>4169</v>
      </c>
      <c r="W1172">
        <v>3.5260850206654998E+43</v>
      </c>
      <c r="X1172" t="s">
        <v>46</v>
      </c>
      <c r="Y1172" s="2" t="s">
        <v>717</v>
      </c>
      <c r="Z1172" s="2" t="s">
        <v>718</v>
      </c>
      <c r="AA1172" s="9" t="s">
        <v>715</v>
      </c>
      <c r="AC1172" s="2"/>
      <c r="AD1172" t="s">
        <v>7</v>
      </c>
      <c r="AE1172" t="s">
        <v>4170</v>
      </c>
    </row>
    <row r="1173" spans="1:31" x14ac:dyDescent="0.3">
      <c r="A1173" s="17">
        <v>90739624000118</v>
      </c>
      <c r="B1173" t="s">
        <v>100</v>
      </c>
      <c r="D1173" t="s">
        <v>151</v>
      </c>
      <c r="E1173" t="s">
        <v>2</v>
      </c>
      <c r="F1173">
        <v>269308</v>
      </c>
      <c r="G1173" s="1" t="s">
        <v>4171</v>
      </c>
      <c r="H1173">
        <v>24741907</v>
      </c>
      <c r="I1173">
        <v>92843</v>
      </c>
      <c r="J1173" t="s">
        <v>283</v>
      </c>
      <c r="K1173" s="17">
        <v>9663620000185</v>
      </c>
      <c r="L1173" s="17">
        <v>90739624001866</v>
      </c>
      <c r="M1173" s="9">
        <v>263.14</v>
      </c>
      <c r="N1173" t="s">
        <v>43</v>
      </c>
      <c r="Q1173" s="2"/>
      <c r="R1173" s="9"/>
      <c r="S1173" t="s">
        <v>44</v>
      </c>
      <c r="T1173" t="s">
        <v>45</v>
      </c>
      <c r="U1173" s="2" t="s">
        <v>584</v>
      </c>
      <c r="V1173" s="9" t="s">
        <v>4172</v>
      </c>
      <c r="W1173">
        <v>5.1260809663620003E+43</v>
      </c>
      <c r="X1173" t="s">
        <v>46</v>
      </c>
      <c r="Y1173" s="2" t="s">
        <v>717</v>
      </c>
      <c r="Z1173" s="2" t="s">
        <v>718</v>
      </c>
      <c r="AA1173" s="9" t="s">
        <v>715</v>
      </c>
      <c r="AC1173" s="2"/>
      <c r="AD1173" t="s">
        <v>7</v>
      </c>
      <c r="AE1173" t="s">
        <v>4173</v>
      </c>
    </row>
    <row r="1174" spans="1:31" x14ac:dyDescent="0.3">
      <c r="A1174" s="17">
        <v>90739624000118</v>
      </c>
      <c r="B1174" t="s">
        <v>63</v>
      </c>
      <c r="D1174" t="s">
        <v>743</v>
      </c>
      <c r="E1174" t="s">
        <v>2</v>
      </c>
      <c r="F1174">
        <v>269308</v>
      </c>
      <c r="G1174" s="1" t="s">
        <v>4174</v>
      </c>
      <c r="H1174">
        <v>24741529</v>
      </c>
      <c r="I1174">
        <v>178567</v>
      </c>
      <c r="J1174" t="s">
        <v>64</v>
      </c>
      <c r="K1174" s="17">
        <v>23448964001921</v>
      </c>
      <c r="L1174" s="17">
        <v>90739624001432</v>
      </c>
      <c r="M1174" s="9">
        <v>685.94</v>
      </c>
      <c r="N1174" t="s">
        <v>43</v>
      </c>
      <c r="Q1174" s="2"/>
      <c r="R1174" s="9"/>
      <c r="S1174" t="s">
        <v>44</v>
      </c>
      <c r="T1174" t="s">
        <v>45</v>
      </c>
      <c r="U1174" s="2" t="s">
        <v>584</v>
      </c>
      <c r="V1174" s="9" t="s">
        <v>4175</v>
      </c>
      <c r="W1174">
        <v>4.2260823448963998E+43</v>
      </c>
      <c r="X1174" t="s">
        <v>46</v>
      </c>
      <c r="Y1174" s="2" t="s">
        <v>717</v>
      </c>
      <c r="Z1174" s="2" t="s">
        <v>718</v>
      </c>
      <c r="AA1174" s="9" t="s">
        <v>715</v>
      </c>
      <c r="AC1174" s="2"/>
      <c r="AD1174" t="s">
        <v>7</v>
      </c>
      <c r="AE1174" t="s">
        <v>4176</v>
      </c>
    </row>
    <row r="1175" spans="1:31" x14ac:dyDescent="0.3">
      <c r="A1175" s="17">
        <v>90739624000118</v>
      </c>
      <c r="B1175" t="s">
        <v>120</v>
      </c>
      <c r="C1175">
        <v>22471</v>
      </c>
      <c r="D1175" t="s">
        <v>244</v>
      </c>
      <c r="E1175" t="s">
        <v>2</v>
      </c>
      <c r="F1175">
        <v>269308</v>
      </c>
      <c r="G1175" s="1" t="s">
        <v>4177</v>
      </c>
      <c r="H1175">
        <v>24741025</v>
      </c>
      <c r="I1175">
        <v>60818</v>
      </c>
      <c r="J1175" t="s">
        <v>150</v>
      </c>
      <c r="K1175" s="17">
        <v>27643038000139</v>
      </c>
      <c r="L1175" s="17">
        <v>90739624001432</v>
      </c>
      <c r="M1175" s="9">
        <v>229.14</v>
      </c>
      <c r="N1175" t="s">
        <v>43</v>
      </c>
      <c r="Q1175" s="2"/>
      <c r="R1175" s="9"/>
      <c r="S1175" t="s">
        <v>44</v>
      </c>
      <c r="T1175" t="s">
        <v>45</v>
      </c>
      <c r="U1175" s="2" t="s">
        <v>584</v>
      </c>
      <c r="V1175" s="9" t="s">
        <v>4178</v>
      </c>
      <c r="W1175">
        <v>4.2260827643038002E+43</v>
      </c>
      <c r="X1175" t="s">
        <v>46</v>
      </c>
      <c r="Y1175" s="2" t="s">
        <v>717</v>
      </c>
      <c r="Z1175" s="2" t="s">
        <v>718</v>
      </c>
      <c r="AA1175" s="9" t="s">
        <v>715</v>
      </c>
      <c r="AC1175" s="2"/>
      <c r="AD1175" t="s">
        <v>7</v>
      </c>
      <c r="AE1175" t="s">
        <v>4179</v>
      </c>
    </row>
    <row r="1176" spans="1:31" x14ac:dyDescent="0.3">
      <c r="A1176" s="17">
        <v>90739624000118</v>
      </c>
      <c r="B1176" t="s">
        <v>170</v>
      </c>
      <c r="C1176">
        <v>22329</v>
      </c>
      <c r="D1176" t="s">
        <v>359</v>
      </c>
      <c r="E1176" t="s">
        <v>2</v>
      </c>
      <c r="F1176">
        <v>269308</v>
      </c>
      <c r="G1176" s="1" t="s">
        <v>4180</v>
      </c>
      <c r="H1176">
        <v>24740868</v>
      </c>
      <c r="I1176">
        <v>128869</v>
      </c>
      <c r="J1176" t="s">
        <v>178</v>
      </c>
      <c r="K1176" s="17">
        <v>83392050000199</v>
      </c>
      <c r="L1176" s="17">
        <v>90739624001432</v>
      </c>
      <c r="M1176" s="9">
        <v>244.79</v>
      </c>
      <c r="N1176" t="s">
        <v>43</v>
      </c>
      <c r="Q1176" s="2"/>
      <c r="R1176" s="9"/>
      <c r="S1176" t="s">
        <v>44</v>
      </c>
      <c r="T1176" t="s">
        <v>45</v>
      </c>
      <c r="U1176" s="2" t="s">
        <v>584</v>
      </c>
      <c r="V1176" s="9" t="s">
        <v>4181</v>
      </c>
      <c r="W1176">
        <v>4.2260883392050001E+43</v>
      </c>
      <c r="X1176" t="s">
        <v>46</v>
      </c>
      <c r="Y1176" s="2" t="s">
        <v>717</v>
      </c>
      <c r="Z1176" s="2" t="s">
        <v>718</v>
      </c>
      <c r="AA1176" s="9" t="s">
        <v>715</v>
      </c>
      <c r="AC1176" s="2"/>
      <c r="AD1176" t="s">
        <v>7</v>
      </c>
      <c r="AE1176" t="s">
        <v>4182</v>
      </c>
    </row>
    <row r="1177" spans="1:31" x14ac:dyDescent="0.3">
      <c r="A1177" s="17">
        <v>90739624000118</v>
      </c>
      <c r="B1177" t="s">
        <v>170</v>
      </c>
      <c r="C1177">
        <v>22448</v>
      </c>
      <c r="D1177" t="s">
        <v>381</v>
      </c>
      <c r="E1177" t="s">
        <v>2</v>
      </c>
      <c r="F1177">
        <v>269308</v>
      </c>
      <c r="G1177" s="1" t="s">
        <v>4183</v>
      </c>
      <c r="H1177">
        <v>24740778</v>
      </c>
      <c r="I1177">
        <v>128868</v>
      </c>
      <c r="J1177" t="s">
        <v>178</v>
      </c>
      <c r="K1177" s="17">
        <v>83392050000199</v>
      </c>
      <c r="L1177" s="17">
        <v>90739624001432</v>
      </c>
      <c r="M1177" s="9">
        <v>186.45</v>
      </c>
      <c r="N1177" t="s">
        <v>43</v>
      </c>
      <c r="Q1177" s="2"/>
      <c r="R1177" s="9"/>
      <c r="S1177" t="s">
        <v>44</v>
      </c>
      <c r="T1177" t="s">
        <v>45</v>
      </c>
      <c r="U1177" s="2" t="s">
        <v>584</v>
      </c>
      <c r="V1177" s="9" t="s">
        <v>4184</v>
      </c>
      <c r="W1177">
        <v>4.2260883392050001E+43</v>
      </c>
      <c r="X1177" t="s">
        <v>46</v>
      </c>
      <c r="Y1177" s="2" t="s">
        <v>717</v>
      </c>
      <c r="Z1177" s="2" t="s">
        <v>718</v>
      </c>
      <c r="AA1177" s="9" t="s">
        <v>715</v>
      </c>
      <c r="AC1177" s="2"/>
      <c r="AD1177" t="s">
        <v>7</v>
      </c>
      <c r="AE1177" t="s">
        <v>4185</v>
      </c>
    </row>
    <row r="1178" spans="1:31" x14ac:dyDescent="0.3">
      <c r="A1178" s="17">
        <v>90739624000118</v>
      </c>
      <c r="B1178" t="s">
        <v>28</v>
      </c>
      <c r="D1178" t="s">
        <v>212</v>
      </c>
      <c r="E1178" t="s">
        <v>2</v>
      </c>
      <c r="F1178">
        <v>269308</v>
      </c>
      <c r="G1178" s="1" t="s">
        <v>4186</v>
      </c>
      <c r="H1178">
        <v>24740640</v>
      </c>
      <c r="I1178">
        <v>81098</v>
      </c>
      <c r="J1178" t="s">
        <v>48</v>
      </c>
      <c r="K1178" s="17">
        <v>1272434001002</v>
      </c>
      <c r="L1178" s="17">
        <v>90739624001947</v>
      </c>
      <c r="M1178" s="9">
        <v>122.61</v>
      </c>
      <c r="N1178" t="s">
        <v>43</v>
      </c>
      <c r="Q1178" s="2"/>
      <c r="R1178" s="9"/>
      <c r="S1178" t="s">
        <v>44</v>
      </c>
      <c r="T1178" t="s">
        <v>45</v>
      </c>
      <c r="U1178" s="2" t="s">
        <v>584</v>
      </c>
      <c r="V1178" s="9" t="s">
        <v>4187</v>
      </c>
      <c r="W1178">
        <v>5.2260801272433996E+43</v>
      </c>
      <c r="X1178" t="s">
        <v>46</v>
      </c>
      <c r="Y1178" s="2" t="s">
        <v>717</v>
      </c>
      <c r="Z1178" s="2" t="s">
        <v>718</v>
      </c>
      <c r="AA1178" s="9" t="s">
        <v>715</v>
      </c>
      <c r="AC1178" s="2"/>
      <c r="AD1178" t="s">
        <v>7</v>
      </c>
      <c r="AE1178" t="s">
        <v>4188</v>
      </c>
    </row>
    <row r="1179" spans="1:31" x14ac:dyDescent="0.3">
      <c r="A1179" s="17">
        <v>90739624000118</v>
      </c>
      <c r="B1179" t="s">
        <v>8</v>
      </c>
      <c r="C1179">
        <v>24443</v>
      </c>
      <c r="D1179" t="s">
        <v>155</v>
      </c>
      <c r="E1179" t="s">
        <v>2</v>
      </c>
      <c r="F1179">
        <v>269308</v>
      </c>
      <c r="G1179" s="1" t="s">
        <v>4189</v>
      </c>
      <c r="H1179">
        <v>24740575</v>
      </c>
      <c r="I1179">
        <v>10320</v>
      </c>
      <c r="J1179" t="s">
        <v>10</v>
      </c>
      <c r="K1179" s="17">
        <v>33286065000102</v>
      </c>
      <c r="L1179" s="17">
        <v>9576274000106</v>
      </c>
      <c r="M1179" s="9">
        <v>171.96</v>
      </c>
      <c r="N1179" t="s">
        <v>43</v>
      </c>
      <c r="Q1179" s="2"/>
      <c r="R1179" s="9"/>
      <c r="S1179" t="s">
        <v>44</v>
      </c>
      <c r="T1179" t="s">
        <v>45</v>
      </c>
      <c r="U1179" s="2" t="s">
        <v>584</v>
      </c>
      <c r="V1179" s="9" t="s">
        <v>4190</v>
      </c>
      <c r="W1179">
        <v>4.1260833286065001E+43</v>
      </c>
      <c r="X1179" t="s">
        <v>46</v>
      </c>
      <c r="Y1179" s="2" t="s">
        <v>717</v>
      </c>
      <c r="Z1179" s="2" t="s">
        <v>718</v>
      </c>
      <c r="AA1179" s="9" t="s">
        <v>715</v>
      </c>
      <c r="AC1179" s="2"/>
      <c r="AD1179" t="s">
        <v>7</v>
      </c>
      <c r="AE1179" t="s">
        <v>4191</v>
      </c>
    </row>
    <row r="1180" spans="1:31" x14ac:dyDescent="0.3">
      <c r="A1180" s="17">
        <v>90739624000118</v>
      </c>
      <c r="B1180" t="s">
        <v>63</v>
      </c>
      <c r="C1180">
        <v>22489</v>
      </c>
      <c r="D1180" t="s">
        <v>228</v>
      </c>
      <c r="E1180" t="s">
        <v>2</v>
      </c>
      <c r="F1180">
        <v>269308</v>
      </c>
      <c r="G1180" s="1" t="s">
        <v>4192</v>
      </c>
      <c r="H1180">
        <v>24740520</v>
      </c>
      <c r="I1180">
        <v>178557</v>
      </c>
      <c r="J1180" t="s">
        <v>64</v>
      </c>
      <c r="K1180" s="17">
        <v>23448964001921</v>
      </c>
      <c r="L1180" s="17">
        <v>90739624001432</v>
      </c>
      <c r="M1180" s="9">
        <v>223.68</v>
      </c>
      <c r="N1180" t="s">
        <v>43</v>
      </c>
      <c r="Q1180" s="2"/>
      <c r="R1180" s="9"/>
      <c r="S1180" t="s">
        <v>44</v>
      </c>
      <c r="T1180" t="s">
        <v>45</v>
      </c>
      <c r="U1180" s="2" t="s">
        <v>584</v>
      </c>
      <c r="V1180" s="9" t="s">
        <v>4193</v>
      </c>
      <c r="W1180">
        <v>4.2260823448963998E+43</v>
      </c>
      <c r="X1180" t="s">
        <v>46</v>
      </c>
      <c r="Y1180" s="2" t="s">
        <v>717</v>
      </c>
      <c r="Z1180" s="2" t="s">
        <v>718</v>
      </c>
      <c r="AA1180" s="9" t="s">
        <v>715</v>
      </c>
      <c r="AC1180" s="2"/>
      <c r="AD1180" t="s">
        <v>7</v>
      </c>
      <c r="AE1180" t="s">
        <v>4194</v>
      </c>
    </row>
    <row r="1181" spans="1:31" x14ac:dyDescent="0.3">
      <c r="A1181" s="17">
        <v>90739624000118</v>
      </c>
      <c r="B1181" t="s">
        <v>13</v>
      </c>
      <c r="C1181">
        <v>24495</v>
      </c>
      <c r="D1181" t="s">
        <v>14</v>
      </c>
      <c r="E1181" t="s">
        <v>2</v>
      </c>
      <c r="F1181">
        <v>269308</v>
      </c>
      <c r="G1181" s="1" t="s">
        <v>4195</v>
      </c>
      <c r="H1181">
        <v>24740084</v>
      </c>
      <c r="I1181">
        <v>91528</v>
      </c>
      <c r="J1181" t="s">
        <v>465</v>
      </c>
      <c r="K1181" s="17">
        <v>24601882000109</v>
      </c>
      <c r="L1181" s="17">
        <v>90739624001190</v>
      </c>
      <c r="M1181" s="9">
        <v>309.24</v>
      </c>
      <c r="N1181" t="s">
        <v>43</v>
      </c>
      <c r="Q1181" s="2"/>
      <c r="R1181" s="9"/>
      <c r="S1181" t="s">
        <v>44</v>
      </c>
      <c r="T1181" t="s">
        <v>45</v>
      </c>
      <c r="U1181" s="2" t="s">
        <v>583</v>
      </c>
      <c r="V1181" s="9" t="s">
        <v>4196</v>
      </c>
      <c r="W1181">
        <v>5.0260824601881997E+43</v>
      </c>
      <c r="X1181" t="s">
        <v>46</v>
      </c>
      <c r="Y1181" s="2" t="s">
        <v>717</v>
      </c>
      <c r="Z1181" s="2" t="s">
        <v>718</v>
      </c>
      <c r="AA1181" s="9" t="s">
        <v>715</v>
      </c>
      <c r="AC1181" s="2"/>
      <c r="AD1181" t="s">
        <v>7</v>
      </c>
      <c r="AE1181" t="s">
        <v>4197</v>
      </c>
    </row>
    <row r="1182" spans="1:31" x14ac:dyDescent="0.3">
      <c r="A1182" s="17">
        <v>90739624000118</v>
      </c>
      <c r="B1182" t="s">
        <v>170</v>
      </c>
      <c r="D1182" t="s">
        <v>519</v>
      </c>
      <c r="E1182" t="s">
        <v>2</v>
      </c>
      <c r="F1182">
        <v>269308</v>
      </c>
      <c r="G1182" s="1" t="s">
        <v>4198</v>
      </c>
      <c r="H1182">
        <v>24740073</v>
      </c>
      <c r="I1182">
        <v>128860</v>
      </c>
      <c r="J1182" t="s">
        <v>178</v>
      </c>
      <c r="K1182" s="17">
        <v>83392050000199</v>
      </c>
      <c r="L1182" s="17">
        <v>90739624001432</v>
      </c>
      <c r="M1182" s="9">
        <v>716.67</v>
      </c>
      <c r="N1182" t="s">
        <v>43</v>
      </c>
      <c r="Q1182" s="2"/>
      <c r="R1182" s="9"/>
      <c r="S1182" t="s">
        <v>44</v>
      </c>
      <c r="T1182" t="s">
        <v>45</v>
      </c>
      <c r="U1182" s="2" t="s">
        <v>584</v>
      </c>
      <c r="V1182" s="9" t="s">
        <v>4199</v>
      </c>
      <c r="W1182">
        <v>4.2260883392050001E+43</v>
      </c>
      <c r="X1182" t="s">
        <v>46</v>
      </c>
      <c r="Y1182" s="2" t="s">
        <v>717</v>
      </c>
      <c r="Z1182" s="2" t="s">
        <v>718</v>
      </c>
      <c r="AA1182" s="9" t="s">
        <v>715</v>
      </c>
      <c r="AC1182" s="2"/>
      <c r="AD1182" t="s">
        <v>7</v>
      </c>
      <c r="AE1182" t="s">
        <v>4200</v>
      </c>
    </row>
    <row r="1183" spans="1:31" x14ac:dyDescent="0.3">
      <c r="A1183" s="17">
        <v>90739624000118</v>
      </c>
      <c r="B1183" t="s">
        <v>31</v>
      </c>
      <c r="D1183" t="s">
        <v>273</v>
      </c>
      <c r="E1183" t="s">
        <v>2</v>
      </c>
      <c r="F1183">
        <v>269308</v>
      </c>
      <c r="G1183" s="1" t="s">
        <v>4201</v>
      </c>
      <c r="H1183">
        <v>24740052</v>
      </c>
      <c r="I1183">
        <v>55741</v>
      </c>
      <c r="J1183" t="s">
        <v>504</v>
      </c>
      <c r="K1183" s="17">
        <v>8603562002002</v>
      </c>
      <c r="L1183" s="17">
        <v>90739624001866</v>
      </c>
      <c r="M1183" s="9">
        <v>170.63</v>
      </c>
      <c r="N1183" t="s">
        <v>43</v>
      </c>
      <c r="Q1183" s="2"/>
      <c r="R1183" s="9"/>
      <c r="S1183" t="s">
        <v>44</v>
      </c>
      <c r="T1183" t="s">
        <v>45</v>
      </c>
      <c r="U1183" s="2" t="s">
        <v>584</v>
      </c>
      <c r="V1183" s="9" t="s">
        <v>4202</v>
      </c>
      <c r="W1183">
        <v>5.1260808603562005E+43</v>
      </c>
      <c r="X1183" t="s">
        <v>46</v>
      </c>
      <c r="Y1183" s="2" t="s">
        <v>717</v>
      </c>
      <c r="Z1183" s="2" t="s">
        <v>718</v>
      </c>
      <c r="AA1183" s="9" t="s">
        <v>715</v>
      </c>
      <c r="AC1183" s="2"/>
      <c r="AD1183" t="s">
        <v>7</v>
      </c>
      <c r="AE1183" t="s">
        <v>4203</v>
      </c>
    </row>
    <row r="1184" spans="1:31" x14ac:dyDescent="0.3">
      <c r="A1184" s="17">
        <v>90739624000118</v>
      </c>
      <c r="B1184" t="s">
        <v>73</v>
      </c>
      <c r="D1184" t="s">
        <v>180</v>
      </c>
      <c r="E1184" t="s">
        <v>17</v>
      </c>
      <c r="F1184">
        <v>269308</v>
      </c>
      <c r="G1184" s="1" t="s">
        <v>4204</v>
      </c>
      <c r="H1184">
        <v>24739916</v>
      </c>
      <c r="I1184">
        <v>17282</v>
      </c>
      <c r="J1184" t="s">
        <v>458</v>
      </c>
      <c r="K1184" s="17">
        <v>7473735002800</v>
      </c>
      <c r="L1184" s="17">
        <v>90739624002323</v>
      </c>
      <c r="M1184" s="9">
        <v>13.28</v>
      </c>
      <c r="N1184" t="s">
        <v>43</v>
      </c>
      <c r="Q1184" s="2"/>
      <c r="R1184" s="9"/>
      <c r="S1184" t="s">
        <v>44</v>
      </c>
      <c r="T1184" t="s">
        <v>45</v>
      </c>
      <c r="U1184" s="2" t="s">
        <v>584</v>
      </c>
      <c r="V1184" s="9" t="s">
        <v>4205</v>
      </c>
      <c r="W1184">
        <v>4.3260807473734999E+43</v>
      </c>
      <c r="X1184" t="s">
        <v>46</v>
      </c>
      <c r="Y1184" s="2" t="s">
        <v>717</v>
      </c>
      <c r="Z1184" s="2" t="s">
        <v>718</v>
      </c>
      <c r="AA1184" s="9" t="s">
        <v>715</v>
      </c>
      <c r="AC1184" s="2"/>
      <c r="AD1184" t="s">
        <v>7</v>
      </c>
      <c r="AE1184" t="s">
        <v>4206</v>
      </c>
    </row>
    <row r="1185" spans="1:31" x14ac:dyDescent="0.3">
      <c r="A1185" s="17">
        <v>90739624000118</v>
      </c>
      <c r="B1185" t="s">
        <v>28</v>
      </c>
      <c r="D1185" t="s">
        <v>91</v>
      </c>
      <c r="E1185" t="s">
        <v>2</v>
      </c>
      <c r="F1185">
        <v>269308</v>
      </c>
      <c r="G1185" s="1" t="s">
        <v>4207</v>
      </c>
      <c r="H1185">
        <v>24739850</v>
      </c>
      <c r="I1185">
        <v>112752</v>
      </c>
      <c r="J1185" t="s">
        <v>29</v>
      </c>
      <c r="K1185" s="17">
        <v>47377960000139</v>
      </c>
      <c r="L1185" s="17">
        <v>90739624001947</v>
      </c>
      <c r="M1185" s="9">
        <v>250.72</v>
      </c>
      <c r="N1185" t="s">
        <v>43</v>
      </c>
      <c r="Q1185" s="2"/>
      <c r="R1185" s="9"/>
      <c r="S1185" t="s">
        <v>44</v>
      </c>
      <c r="T1185" t="s">
        <v>45</v>
      </c>
      <c r="U1185" s="2" t="s">
        <v>584</v>
      </c>
      <c r="V1185" s="9" t="s">
        <v>4208</v>
      </c>
      <c r="W1185">
        <v>5.2260847377959996E+43</v>
      </c>
      <c r="X1185" t="s">
        <v>46</v>
      </c>
      <c r="Y1185" s="2" t="s">
        <v>717</v>
      </c>
      <c r="Z1185" s="2" t="s">
        <v>718</v>
      </c>
      <c r="AA1185" s="9" t="s">
        <v>715</v>
      </c>
      <c r="AC1185" s="2"/>
      <c r="AD1185" t="s">
        <v>7</v>
      </c>
      <c r="AE1185" t="s">
        <v>4209</v>
      </c>
    </row>
    <row r="1186" spans="1:31" x14ac:dyDescent="0.3">
      <c r="A1186" s="17">
        <v>90739624000118</v>
      </c>
      <c r="B1186" t="s">
        <v>61</v>
      </c>
      <c r="D1186" t="s">
        <v>243</v>
      </c>
      <c r="E1186" t="s">
        <v>2</v>
      </c>
      <c r="F1186">
        <v>269308</v>
      </c>
      <c r="G1186" s="1" t="s">
        <v>4210</v>
      </c>
      <c r="H1186">
        <v>24739783</v>
      </c>
      <c r="I1186">
        <v>2487</v>
      </c>
      <c r="J1186" t="s">
        <v>85</v>
      </c>
      <c r="K1186" s="17">
        <v>1975878000105</v>
      </c>
      <c r="L1186" s="17">
        <v>9576274000106</v>
      </c>
      <c r="M1186" s="9">
        <v>119</v>
      </c>
      <c r="N1186" t="s">
        <v>43</v>
      </c>
      <c r="Q1186" s="2"/>
      <c r="R1186" s="9"/>
      <c r="S1186" t="s">
        <v>44</v>
      </c>
      <c r="T1186" t="s">
        <v>45</v>
      </c>
      <c r="U1186" s="2" t="s">
        <v>584</v>
      </c>
      <c r="V1186" s="9" t="s">
        <v>4211</v>
      </c>
      <c r="W1186">
        <v>4.1260801975878E+43</v>
      </c>
      <c r="X1186" t="s">
        <v>46</v>
      </c>
      <c r="Y1186" s="2" t="s">
        <v>717</v>
      </c>
      <c r="Z1186" s="2" t="s">
        <v>718</v>
      </c>
      <c r="AA1186" s="9" t="s">
        <v>715</v>
      </c>
      <c r="AC1186" s="2"/>
      <c r="AD1186" t="s">
        <v>7</v>
      </c>
      <c r="AE1186" t="s">
        <v>4212</v>
      </c>
    </row>
    <row r="1187" spans="1:31" x14ac:dyDescent="0.3">
      <c r="A1187" s="17">
        <v>90739624000118</v>
      </c>
      <c r="B1187" t="s">
        <v>63</v>
      </c>
      <c r="D1187" t="s">
        <v>306</v>
      </c>
      <c r="E1187" t="s">
        <v>2</v>
      </c>
      <c r="F1187">
        <v>269308</v>
      </c>
      <c r="G1187" s="1" t="s">
        <v>4213</v>
      </c>
      <c r="H1187">
        <v>24739637</v>
      </c>
      <c r="I1187">
        <v>178546</v>
      </c>
      <c r="J1187" t="s">
        <v>64</v>
      </c>
      <c r="K1187" s="17">
        <v>23448964001921</v>
      </c>
      <c r="L1187" s="17">
        <v>90739624001432</v>
      </c>
      <c r="M1187" s="9">
        <v>242.5</v>
      </c>
      <c r="N1187" t="s">
        <v>43</v>
      </c>
      <c r="Q1187" s="2"/>
      <c r="R1187" s="9"/>
      <c r="S1187" t="s">
        <v>44</v>
      </c>
      <c r="T1187" t="s">
        <v>45</v>
      </c>
      <c r="U1187" s="2" t="s">
        <v>584</v>
      </c>
      <c r="V1187" s="9" t="s">
        <v>4214</v>
      </c>
      <c r="W1187">
        <v>4.2260823448963998E+43</v>
      </c>
      <c r="X1187" t="s">
        <v>46</v>
      </c>
      <c r="Y1187" s="2" t="s">
        <v>717</v>
      </c>
      <c r="Z1187" s="2" t="s">
        <v>718</v>
      </c>
      <c r="AA1187" s="9" t="s">
        <v>715</v>
      </c>
      <c r="AC1187" s="2"/>
      <c r="AD1187" t="s">
        <v>7</v>
      </c>
      <c r="AE1187" t="s">
        <v>4215</v>
      </c>
    </row>
    <row r="1188" spans="1:31" x14ac:dyDescent="0.3">
      <c r="A1188" s="17">
        <v>90739624000118</v>
      </c>
      <c r="B1188" t="s">
        <v>0</v>
      </c>
      <c r="C1188">
        <v>23454</v>
      </c>
      <c r="D1188" t="s">
        <v>362</v>
      </c>
      <c r="E1188" t="s">
        <v>2</v>
      </c>
      <c r="F1188">
        <v>269308</v>
      </c>
      <c r="G1188" s="1" t="s">
        <v>4216</v>
      </c>
      <c r="H1188">
        <v>24739574</v>
      </c>
      <c r="I1188">
        <v>101034</v>
      </c>
      <c r="J1188" t="s">
        <v>134</v>
      </c>
      <c r="K1188" s="17">
        <v>81326258000770</v>
      </c>
      <c r="L1188" s="17">
        <v>90739624001432</v>
      </c>
      <c r="M1188" s="9">
        <v>277.06</v>
      </c>
      <c r="N1188" t="s">
        <v>43</v>
      </c>
      <c r="Q1188" s="2"/>
      <c r="R1188" s="9"/>
      <c r="S1188" t="s">
        <v>44</v>
      </c>
      <c r="T1188" t="s">
        <v>45</v>
      </c>
      <c r="U1188" s="2" t="s">
        <v>584</v>
      </c>
      <c r="V1188" s="9" t="s">
        <v>4217</v>
      </c>
      <c r="W1188">
        <v>4.2260881326258001E+43</v>
      </c>
      <c r="X1188" t="s">
        <v>46</v>
      </c>
      <c r="Y1188" s="2" t="s">
        <v>717</v>
      </c>
      <c r="Z1188" s="2" t="s">
        <v>718</v>
      </c>
      <c r="AA1188" s="9" t="s">
        <v>715</v>
      </c>
      <c r="AC1188" s="2"/>
      <c r="AD1188" t="s">
        <v>7</v>
      </c>
      <c r="AE1188" t="s">
        <v>4218</v>
      </c>
    </row>
    <row r="1189" spans="1:31" x14ac:dyDescent="0.3">
      <c r="A1189" s="17">
        <v>90739624000118</v>
      </c>
      <c r="B1189" t="s">
        <v>36</v>
      </c>
      <c r="C1189">
        <v>22446</v>
      </c>
      <c r="D1189" t="s">
        <v>196</v>
      </c>
      <c r="E1189" t="s">
        <v>2</v>
      </c>
      <c r="F1189">
        <v>269308</v>
      </c>
      <c r="G1189" s="1" t="s">
        <v>4219</v>
      </c>
      <c r="H1189">
        <v>24739453</v>
      </c>
      <c r="I1189">
        <v>4090</v>
      </c>
      <c r="J1189" t="s">
        <v>186</v>
      </c>
      <c r="K1189" s="17">
        <v>7822636000168</v>
      </c>
      <c r="L1189" s="17">
        <v>90739624004458</v>
      </c>
      <c r="M1189" s="9">
        <v>276.72000000000003</v>
      </c>
      <c r="N1189" t="s">
        <v>43</v>
      </c>
      <c r="Q1189" s="2"/>
      <c r="R1189" s="9"/>
      <c r="S1189" t="s">
        <v>44</v>
      </c>
      <c r="T1189" t="s">
        <v>45</v>
      </c>
      <c r="U1189" s="2" t="s">
        <v>584</v>
      </c>
      <c r="V1189" s="9" t="s">
        <v>4220</v>
      </c>
      <c r="W1189">
        <v>5.3260807822636003E+43</v>
      </c>
      <c r="X1189" t="s">
        <v>46</v>
      </c>
      <c r="Y1189" s="2" t="s">
        <v>717</v>
      </c>
      <c r="Z1189" s="2" t="s">
        <v>718</v>
      </c>
      <c r="AA1189" s="9" t="s">
        <v>715</v>
      </c>
      <c r="AC1189" s="2"/>
      <c r="AD1189" t="s">
        <v>7</v>
      </c>
      <c r="AE1189" t="s">
        <v>4221</v>
      </c>
    </row>
    <row r="1190" spans="1:31" x14ac:dyDescent="0.3">
      <c r="A1190" s="17">
        <v>90739624000118</v>
      </c>
      <c r="B1190" t="s">
        <v>65</v>
      </c>
      <c r="C1190">
        <v>26248</v>
      </c>
      <c r="D1190" t="s">
        <v>226</v>
      </c>
      <c r="E1190" t="s">
        <v>2</v>
      </c>
      <c r="F1190">
        <v>269308</v>
      </c>
      <c r="G1190" s="1" t="s">
        <v>4222</v>
      </c>
      <c r="H1190">
        <v>24739075</v>
      </c>
      <c r="I1190">
        <v>76200</v>
      </c>
      <c r="J1190" t="s">
        <v>279</v>
      </c>
      <c r="K1190" s="17">
        <v>7473735014646</v>
      </c>
      <c r="L1190" s="17">
        <v>90739624002323</v>
      </c>
      <c r="M1190" s="9">
        <v>809.17</v>
      </c>
      <c r="N1190" t="s">
        <v>43</v>
      </c>
      <c r="Q1190" s="2"/>
      <c r="R1190" s="9"/>
      <c r="S1190" t="s">
        <v>44</v>
      </c>
      <c r="T1190" t="s">
        <v>45</v>
      </c>
      <c r="U1190" s="2" t="s">
        <v>584</v>
      </c>
      <c r="V1190" s="9" t="s">
        <v>4223</v>
      </c>
      <c r="W1190">
        <v>4.3260807473734999E+43</v>
      </c>
      <c r="X1190" t="s">
        <v>46</v>
      </c>
      <c r="Y1190" s="2" t="s">
        <v>717</v>
      </c>
      <c r="Z1190" s="2" t="s">
        <v>718</v>
      </c>
      <c r="AA1190" s="9" t="s">
        <v>715</v>
      </c>
      <c r="AC1190" s="2"/>
      <c r="AD1190" t="s">
        <v>7</v>
      </c>
      <c r="AE1190" t="s">
        <v>4224</v>
      </c>
    </row>
    <row r="1191" spans="1:31" x14ac:dyDescent="0.3">
      <c r="A1191" s="17">
        <v>90739624000118</v>
      </c>
      <c r="B1191" t="s">
        <v>61</v>
      </c>
      <c r="C1191">
        <v>15984</v>
      </c>
      <c r="D1191" t="s">
        <v>163</v>
      </c>
      <c r="E1191" t="s">
        <v>2</v>
      </c>
      <c r="F1191">
        <v>269308</v>
      </c>
      <c r="G1191" s="1" t="s">
        <v>4225</v>
      </c>
      <c r="H1191">
        <v>24739067</v>
      </c>
      <c r="I1191">
        <v>819656</v>
      </c>
      <c r="J1191" t="s">
        <v>62</v>
      </c>
      <c r="K1191" s="17">
        <v>79964177000591</v>
      </c>
      <c r="L1191" s="17">
        <v>9576274000106</v>
      </c>
      <c r="M1191" s="9">
        <v>1428.29</v>
      </c>
      <c r="N1191" t="s">
        <v>43</v>
      </c>
      <c r="Q1191" s="2"/>
      <c r="R1191" s="9"/>
      <c r="S1191" t="s">
        <v>44</v>
      </c>
      <c r="T1191" t="s">
        <v>45</v>
      </c>
      <c r="U1191" s="2" t="s">
        <v>584</v>
      </c>
      <c r="V1191" s="9" t="s">
        <v>4226</v>
      </c>
      <c r="W1191">
        <v>4.1260879964176998E+43</v>
      </c>
      <c r="X1191" t="s">
        <v>46</v>
      </c>
      <c r="Y1191" s="2" t="s">
        <v>717</v>
      </c>
      <c r="Z1191" s="2" t="s">
        <v>718</v>
      </c>
      <c r="AA1191" s="9" t="s">
        <v>715</v>
      </c>
      <c r="AC1191" s="2"/>
      <c r="AD1191" t="s">
        <v>7</v>
      </c>
      <c r="AE1191" t="s">
        <v>4227</v>
      </c>
    </row>
    <row r="1192" spans="1:31" x14ac:dyDescent="0.3">
      <c r="A1192" s="17">
        <v>90739624000118</v>
      </c>
      <c r="B1192" t="s">
        <v>63</v>
      </c>
      <c r="D1192" t="s">
        <v>466</v>
      </c>
      <c r="E1192" t="s">
        <v>2</v>
      </c>
      <c r="F1192">
        <v>269308</v>
      </c>
      <c r="G1192" s="1" t="s">
        <v>4228</v>
      </c>
      <c r="H1192">
        <v>24739063</v>
      </c>
      <c r="I1192">
        <v>178540</v>
      </c>
      <c r="J1192" t="s">
        <v>64</v>
      </c>
      <c r="K1192" s="17">
        <v>23448964001921</v>
      </c>
      <c r="L1192" s="17">
        <v>90739624001432</v>
      </c>
      <c r="M1192" s="9">
        <v>122</v>
      </c>
      <c r="N1192" t="s">
        <v>43</v>
      </c>
      <c r="Q1192" s="2"/>
      <c r="R1192" s="9"/>
      <c r="S1192" t="s">
        <v>44</v>
      </c>
      <c r="T1192" t="s">
        <v>45</v>
      </c>
      <c r="U1192" s="2" t="s">
        <v>584</v>
      </c>
      <c r="V1192" s="9" t="s">
        <v>4229</v>
      </c>
      <c r="W1192">
        <v>4.2260823448963998E+43</v>
      </c>
      <c r="X1192" t="s">
        <v>46</v>
      </c>
      <c r="Y1192" s="2" t="s">
        <v>717</v>
      </c>
      <c r="Z1192" s="2" t="s">
        <v>718</v>
      </c>
      <c r="AA1192" s="9" t="s">
        <v>715</v>
      </c>
      <c r="AC1192" s="2"/>
      <c r="AD1192" t="s">
        <v>7</v>
      </c>
      <c r="AE1192" t="s">
        <v>4230</v>
      </c>
    </row>
    <row r="1193" spans="1:31" x14ac:dyDescent="0.3">
      <c r="A1193" s="17">
        <v>90739624000118</v>
      </c>
      <c r="B1193" t="s">
        <v>63</v>
      </c>
      <c r="D1193" t="s">
        <v>270</v>
      </c>
      <c r="E1193" t="s">
        <v>2</v>
      </c>
      <c r="F1193">
        <v>269308</v>
      </c>
      <c r="G1193" s="1" t="s">
        <v>4231</v>
      </c>
      <c r="H1193">
        <v>24739047</v>
      </c>
      <c r="I1193">
        <v>178539</v>
      </c>
      <c r="J1193" t="s">
        <v>64</v>
      </c>
      <c r="K1193" s="17">
        <v>23448964001921</v>
      </c>
      <c r="L1193" s="17">
        <v>90739624001432</v>
      </c>
      <c r="M1193" s="9">
        <v>308.92</v>
      </c>
      <c r="N1193" t="s">
        <v>43</v>
      </c>
      <c r="Q1193" s="2"/>
      <c r="R1193" s="9"/>
      <c r="S1193" t="s">
        <v>44</v>
      </c>
      <c r="T1193" t="s">
        <v>45</v>
      </c>
      <c r="U1193" s="2" t="s">
        <v>584</v>
      </c>
      <c r="V1193" s="9" t="s">
        <v>4232</v>
      </c>
      <c r="W1193">
        <v>4.2260823448963998E+43</v>
      </c>
      <c r="X1193" t="s">
        <v>46</v>
      </c>
      <c r="Y1193" s="2" t="s">
        <v>717</v>
      </c>
      <c r="Z1193" s="2" t="s">
        <v>718</v>
      </c>
      <c r="AA1193" s="9" t="s">
        <v>715</v>
      </c>
      <c r="AC1193" s="2"/>
      <c r="AD1193" t="s">
        <v>7</v>
      </c>
      <c r="AE1193" t="s">
        <v>4233</v>
      </c>
    </row>
    <row r="1194" spans="1:31" x14ac:dyDescent="0.3">
      <c r="A1194" s="17">
        <v>90739624000118</v>
      </c>
      <c r="B1194" t="s">
        <v>63</v>
      </c>
      <c r="C1194">
        <v>26140</v>
      </c>
      <c r="D1194" t="s">
        <v>195</v>
      </c>
      <c r="E1194" t="s">
        <v>2</v>
      </c>
      <c r="F1194">
        <v>269308</v>
      </c>
      <c r="G1194" s="1" t="s">
        <v>4234</v>
      </c>
      <c r="H1194">
        <v>24738902</v>
      </c>
      <c r="I1194">
        <v>178537</v>
      </c>
      <c r="J1194" t="s">
        <v>64</v>
      </c>
      <c r="K1194" s="17">
        <v>23448964001921</v>
      </c>
      <c r="L1194" s="17">
        <v>90739624001432</v>
      </c>
      <c r="M1194" s="9">
        <v>203.78</v>
      </c>
      <c r="N1194" t="s">
        <v>43</v>
      </c>
      <c r="Q1194" s="2"/>
      <c r="R1194" s="9"/>
      <c r="S1194" t="s">
        <v>44</v>
      </c>
      <c r="T1194" t="s">
        <v>45</v>
      </c>
      <c r="U1194" s="2" t="s">
        <v>584</v>
      </c>
      <c r="V1194" s="9" t="s">
        <v>596</v>
      </c>
      <c r="W1194">
        <v>4.2260823448963998E+43</v>
      </c>
      <c r="X1194" t="s">
        <v>46</v>
      </c>
      <c r="Y1194" s="2" t="s">
        <v>717</v>
      </c>
      <c r="Z1194" s="2" t="s">
        <v>718</v>
      </c>
      <c r="AA1194" s="9" t="s">
        <v>715</v>
      </c>
      <c r="AC1194" s="2"/>
      <c r="AD1194" t="s">
        <v>7</v>
      </c>
      <c r="AE1194" t="s">
        <v>4235</v>
      </c>
    </row>
    <row r="1195" spans="1:31" x14ac:dyDescent="0.3">
      <c r="A1195" s="17">
        <v>90739624000118</v>
      </c>
      <c r="B1195" t="s">
        <v>61</v>
      </c>
      <c r="D1195" t="s">
        <v>1243</v>
      </c>
      <c r="E1195" t="s">
        <v>2</v>
      </c>
      <c r="F1195">
        <v>269308</v>
      </c>
      <c r="G1195" s="1" t="s">
        <v>4236</v>
      </c>
      <c r="H1195">
        <v>24738884</v>
      </c>
      <c r="I1195">
        <v>2486</v>
      </c>
      <c r="J1195" t="s">
        <v>85</v>
      </c>
      <c r="K1195" s="17">
        <v>1975878000105</v>
      </c>
      <c r="L1195" s="17">
        <v>9576274000106</v>
      </c>
      <c r="M1195" s="9">
        <v>380.17</v>
      </c>
      <c r="N1195" t="s">
        <v>43</v>
      </c>
      <c r="Q1195" s="2"/>
      <c r="R1195" s="9"/>
      <c r="S1195" t="s">
        <v>44</v>
      </c>
      <c r="T1195" t="s">
        <v>45</v>
      </c>
      <c r="U1195" s="2" t="s">
        <v>584</v>
      </c>
      <c r="V1195" s="9" t="s">
        <v>4237</v>
      </c>
      <c r="W1195">
        <v>4.1260801975878E+43</v>
      </c>
      <c r="X1195" t="s">
        <v>46</v>
      </c>
      <c r="Y1195" s="2" t="s">
        <v>717</v>
      </c>
      <c r="Z1195" s="2" t="s">
        <v>718</v>
      </c>
      <c r="AA1195" s="9" t="s">
        <v>715</v>
      </c>
      <c r="AC1195" s="2"/>
      <c r="AD1195" t="s">
        <v>7</v>
      </c>
      <c r="AE1195" t="s">
        <v>4238</v>
      </c>
    </row>
    <row r="1196" spans="1:31" x14ac:dyDescent="0.3">
      <c r="A1196" s="17">
        <v>90739624000118</v>
      </c>
      <c r="B1196" t="s">
        <v>100</v>
      </c>
      <c r="D1196" t="s">
        <v>598</v>
      </c>
      <c r="E1196" t="s">
        <v>2</v>
      </c>
      <c r="F1196">
        <v>269308</v>
      </c>
      <c r="G1196" s="1" t="s">
        <v>4239</v>
      </c>
      <c r="H1196">
        <v>24738689</v>
      </c>
      <c r="I1196">
        <v>44225</v>
      </c>
      <c r="J1196" t="s">
        <v>303</v>
      </c>
      <c r="K1196" s="17">
        <v>9380191000139</v>
      </c>
      <c r="L1196" s="17">
        <v>90739624001866</v>
      </c>
      <c r="M1196" s="9">
        <v>378.21</v>
      </c>
      <c r="N1196" t="s">
        <v>43</v>
      </c>
      <c r="Q1196" s="2"/>
      <c r="R1196" s="9"/>
      <c r="S1196" t="s">
        <v>44</v>
      </c>
      <c r="T1196" t="s">
        <v>45</v>
      </c>
      <c r="U1196" s="2" t="s">
        <v>584</v>
      </c>
      <c r="V1196" s="9" t="s">
        <v>4240</v>
      </c>
      <c r="W1196">
        <v>5.1260809380190997E+43</v>
      </c>
      <c r="X1196" t="s">
        <v>46</v>
      </c>
      <c r="Y1196" s="2" t="s">
        <v>717</v>
      </c>
      <c r="Z1196" s="2" t="s">
        <v>718</v>
      </c>
      <c r="AA1196" s="9" t="s">
        <v>715</v>
      </c>
      <c r="AC1196" s="2"/>
      <c r="AD1196" t="s">
        <v>7</v>
      </c>
      <c r="AE1196" t="s">
        <v>4241</v>
      </c>
    </row>
    <row r="1197" spans="1:31" x14ac:dyDescent="0.3">
      <c r="A1197" s="17">
        <v>90739624000118</v>
      </c>
      <c r="B1197" t="s">
        <v>58</v>
      </c>
      <c r="D1197" t="s">
        <v>391</v>
      </c>
      <c r="E1197" t="s">
        <v>2</v>
      </c>
      <c r="F1197">
        <v>269308</v>
      </c>
      <c r="G1197" s="1" t="s">
        <v>4242</v>
      </c>
      <c r="H1197">
        <v>24738686</v>
      </c>
      <c r="I1197">
        <v>110573</v>
      </c>
      <c r="J1197" t="s">
        <v>106</v>
      </c>
      <c r="K1197" s="17">
        <v>7473735015103</v>
      </c>
      <c r="L1197" s="17">
        <v>90739624002323</v>
      </c>
      <c r="M1197" s="9">
        <v>177.68</v>
      </c>
      <c r="N1197" t="s">
        <v>43</v>
      </c>
      <c r="Q1197" s="2"/>
      <c r="R1197" s="9"/>
      <c r="S1197" t="s">
        <v>44</v>
      </c>
      <c r="T1197" t="s">
        <v>45</v>
      </c>
      <c r="U1197" s="2" t="s">
        <v>584</v>
      </c>
      <c r="V1197" s="9" t="s">
        <v>4243</v>
      </c>
      <c r="W1197">
        <v>4.3260807473734999E+43</v>
      </c>
      <c r="X1197" t="s">
        <v>46</v>
      </c>
      <c r="Y1197" s="2" t="s">
        <v>717</v>
      </c>
      <c r="Z1197" s="2" t="s">
        <v>718</v>
      </c>
      <c r="AA1197" s="9" t="s">
        <v>715</v>
      </c>
      <c r="AC1197" s="2"/>
      <c r="AD1197" t="s">
        <v>7</v>
      </c>
      <c r="AE1197" t="s">
        <v>4244</v>
      </c>
    </row>
    <row r="1198" spans="1:31" x14ac:dyDescent="0.3">
      <c r="A1198" s="17">
        <v>90739624000118</v>
      </c>
      <c r="B1198" t="s">
        <v>13</v>
      </c>
      <c r="D1198" t="s">
        <v>538</v>
      </c>
      <c r="E1198" t="s">
        <v>2</v>
      </c>
      <c r="F1198">
        <v>269308</v>
      </c>
      <c r="G1198" s="1" t="s">
        <v>4245</v>
      </c>
      <c r="H1198">
        <v>24738675</v>
      </c>
      <c r="I1198">
        <v>23851</v>
      </c>
      <c r="J1198" t="s">
        <v>15</v>
      </c>
      <c r="K1198" s="17">
        <v>30432373000100</v>
      </c>
      <c r="L1198" s="17">
        <v>90739624001190</v>
      </c>
      <c r="M1198" s="9">
        <v>299.58999999999997</v>
      </c>
      <c r="N1198" t="s">
        <v>43</v>
      </c>
      <c r="Q1198" s="2"/>
      <c r="R1198" s="9"/>
      <c r="S1198" t="s">
        <v>44</v>
      </c>
      <c r="T1198" t="s">
        <v>45</v>
      </c>
      <c r="U1198" s="2" t="s">
        <v>584</v>
      </c>
      <c r="V1198" s="9" t="s">
        <v>4246</v>
      </c>
      <c r="W1198">
        <v>5.0260830432372995E+43</v>
      </c>
      <c r="X1198" t="s">
        <v>46</v>
      </c>
      <c r="Y1198" s="2" t="s">
        <v>717</v>
      </c>
      <c r="Z1198" s="2" t="s">
        <v>718</v>
      </c>
      <c r="AA1198" s="9" t="s">
        <v>715</v>
      </c>
      <c r="AC1198" s="2"/>
      <c r="AD1198" t="s">
        <v>7</v>
      </c>
      <c r="AE1198" t="s">
        <v>4247</v>
      </c>
    </row>
    <row r="1199" spans="1:31" x14ac:dyDescent="0.3">
      <c r="A1199" s="17">
        <v>90739624000118</v>
      </c>
      <c r="B1199" t="s">
        <v>58</v>
      </c>
      <c r="D1199" t="s">
        <v>318</v>
      </c>
      <c r="E1199" t="s">
        <v>2</v>
      </c>
      <c r="F1199">
        <v>269308</v>
      </c>
      <c r="G1199" s="1" t="s">
        <v>4248</v>
      </c>
      <c r="H1199">
        <v>24738649</v>
      </c>
      <c r="I1199">
        <v>13596</v>
      </c>
      <c r="J1199" t="s">
        <v>192</v>
      </c>
      <c r="K1199" s="17">
        <v>7473735022312</v>
      </c>
      <c r="L1199" s="17">
        <v>90739624002323</v>
      </c>
      <c r="M1199" s="9">
        <v>237.03</v>
      </c>
      <c r="N1199" t="s">
        <v>43</v>
      </c>
      <c r="Q1199" s="2"/>
      <c r="R1199" s="9"/>
      <c r="S1199" t="s">
        <v>44</v>
      </c>
      <c r="T1199" t="s">
        <v>45</v>
      </c>
      <c r="U1199" s="2" t="s">
        <v>584</v>
      </c>
      <c r="V1199" s="9" t="s">
        <v>4249</v>
      </c>
      <c r="W1199">
        <v>4.3260807473734999E+43</v>
      </c>
      <c r="X1199" t="s">
        <v>46</v>
      </c>
      <c r="Y1199" s="2" t="s">
        <v>717</v>
      </c>
      <c r="Z1199" s="2" t="s">
        <v>718</v>
      </c>
      <c r="AA1199" s="9" t="s">
        <v>715</v>
      </c>
      <c r="AC1199" s="2"/>
      <c r="AD1199" t="s">
        <v>7</v>
      </c>
      <c r="AE1199" t="s">
        <v>4250</v>
      </c>
    </row>
    <row r="1200" spans="1:31" x14ac:dyDescent="0.3">
      <c r="A1200" s="17">
        <v>90739624000118</v>
      </c>
      <c r="B1200" t="s">
        <v>100</v>
      </c>
      <c r="D1200" t="s">
        <v>135</v>
      </c>
      <c r="E1200" t="s">
        <v>2</v>
      </c>
      <c r="F1200">
        <v>269308</v>
      </c>
      <c r="G1200" s="1" t="s">
        <v>4251</v>
      </c>
      <c r="H1200">
        <v>24738609</v>
      </c>
      <c r="I1200">
        <v>154659</v>
      </c>
      <c r="J1200" t="s">
        <v>241</v>
      </c>
      <c r="K1200" s="17">
        <v>14948822000103</v>
      </c>
      <c r="L1200" s="17">
        <v>90739624001866</v>
      </c>
      <c r="M1200" s="9">
        <v>224.36</v>
      </c>
      <c r="N1200" t="s">
        <v>43</v>
      </c>
      <c r="Q1200" s="2"/>
      <c r="R1200" s="9"/>
      <c r="S1200" t="s">
        <v>44</v>
      </c>
      <c r="T1200" t="s">
        <v>45</v>
      </c>
      <c r="U1200" s="2" t="s">
        <v>584</v>
      </c>
      <c r="V1200" s="9" t="s">
        <v>4252</v>
      </c>
      <c r="W1200">
        <v>5.1260814948822004E+43</v>
      </c>
      <c r="X1200" t="s">
        <v>46</v>
      </c>
      <c r="Y1200" s="2" t="s">
        <v>717</v>
      </c>
      <c r="Z1200" s="2" t="s">
        <v>718</v>
      </c>
      <c r="AA1200" s="9" t="s">
        <v>715</v>
      </c>
      <c r="AC1200" s="2"/>
      <c r="AD1200" t="s">
        <v>7</v>
      </c>
      <c r="AE1200" t="s">
        <v>4253</v>
      </c>
    </row>
    <row r="1201" spans="1:31" x14ac:dyDescent="0.3">
      <c r="A1201" s="17">
        <v>90739624000118</v>
      </c>
      <c r="B1201" t="s">
        <v>61</v>
      </c>
      <c r="D1201" t="s">
        <v>201</v>
      </c>
      <c r="E1201" t="s">
        <v>2</v>
      </c>
      <c r="F1201">
        <v>269308</v>
      </c>
      <c r="G1201" s="1" t="s">
        <v>4254</v>
      </c>
      <c r="H1201">
        <v>24738558</v>
      </c>
      <c r="I1201">
        <v>28392</v>
      </c>
      <c r="J1201" t="s">
        <v>127</v>
      </c>
      <c r="K1201" s="17">
        <v>76493295000147</v>
      </c>
      <c r="L1201" s="17">
        <v>9576274000106</v>
      </c>
      <c r="M1201" s="9">
        <v>426.11</v>
      </c>
      <c r="N1201" t="s">
        <v>43</v>
      </c>
      <c r="Q1201" s="2"/>
      <c r="R1201" s="9"/>
      <c r="S1201" t="s">
        <v>44</v>
      </c>
      <c r="T1201" t="s">
        <v>45</v>
      </c>
      <c r="U1201" s="2" t="s">
        <v>584</v>
      </c>
      <c r="V1201" s="9" t="s">
        <v>4255</v>
      </c>
      <c r="W1201">
        <v>4.1260876493295002E+43</v>
      </c>
      <c r="X1201" t="s">
        <v>46</v>
      </c>
      <c r="Y1201" s="2" t="s">
        <v>717</v>
      </c>
      <c r="Z1201" s="2" t="s">
        <v>718</v>
      </c>
      <c r="AA1201" s="9" t="s">
        <v>715</v>
      </c>
      <c r="AC1201" s="2"/>
      <c r="AD1201" t="s">
        <v>7</v>
      </c>
      <c r="AE1201" t="s">
        <v>4256</v>
      </c>
    </row>
    <row r="1202" spans="1:31" x14ac:dyDescent="0.3">
      <c r="A1202" s="17">
        <v>90739624000118</v>
      </c>
      <c r="B1202" t="s">
        <v>58</v>
      </c>
      <c r="D1202" t="s">
        <v>153</v>
      </c>
      <c r="E1202" t="s">
        <v>2</v>
      </c>
      <c r="F1202">
        <v>269308</v>
      </c>
      <c r="G1202" s="1" t="s">
        <v>4257</v>
      </c>
      <c r="H1202">
        <v>24738424</v>
      </c>
      <c r="I1202">
        <v>110568</v>
      </c>
      <c r="J1202" t="s">
        <v>106</v>
      </c>
      <c r="K1202" s="17">
        <v>7473735015103</v>
      </c>
      <c r="L1202" s="17">
        <v>90739624002323</v>
      </c>
      <c r="M1202" s="9">
        <v>188.46</v>
      </c>
      <c r="N1202" t="s">
        <v>43</v>
      </c>
      <c r="Q1202" s="2"/>
      <c r="R1202" s="9"/>
      <c r="S1202" t="s">
        <v>44</v>
      </c>
      <c r="T1202" t="s">
        <v>45</v>
      </c>
      <c r="U1202" s="2" t="s">
        <v>584</v>
      </c>
      <c r="V1202" s="9" t="s">
        <v>4258</v>
      </c>
      <c r="W1202">
        <v>4.3260807473734999E+43</v>
      </c>
      <c r="X1202" t="s">
        <v>46</v>
      </c>
      <c r="Y1202" s="2" t="s">
        <v>717</v>
      </c>
      <c r="Z1202" s="2" t="s">
        <v>718</v>
      </c>
      <c r="AA1202" s="9" t="s">
        <v>715</v>
      </c>
      <c r="AC1202" s="2"/>
      <c r="AD1202" t="s">
        <v>7</v>
      </c>
      <c r="AE1202" t="s">
        <v>4259</v>
      </c>
    </row>
    <row r="1203" spans="1:31" x14ac:dyDescent="0.3">
      <c r="A1203" s="17">
        <v>90739624000118</v>
      </c>
      <c r="B1203" t="s">
        <v>170</v>
      </c>
      <c r="C1203">
        <v>24444</v>
      </c>
      <c r="D1203" t="s">
        <v>281</v>
      </c>
      <c r="E1203" t="s">
        <v>2</v>
      </c>
      <c r="F1203">
        <v>269308</v>
      </c>
      <c r="G1203" s="1" t="s">
        <v>4260</v>
      </c>
      <c r="H1203">
        <v>24738423</v>
      </c>
      <c r="I1203">
        <v>47293</v>
      </c>
      <c r="J1203" t="s">
        <v>171</v>
      </c>
      <c r="K1203" s="17">
        <v>14631967000186</v>
      </c>
      <c r="L1203" s="17">
        <v>90739624001432</v>
      </c>
      <c r="M1203" s="9">
        <v>155.28</v>
      </c>
      <c r="N1203" t="s">
        <v>43</v>
      </c>
      <c r="Q1203" s="2"/>
      <c r="R1203" s="9"/>
      <c r="S1203" t="s">
        <v>44</v>
      </c>
      <c r="T1203" t="s">
        <v>45</v>
      </c>
      <c r="U1203" s="2" t="s">
        <v>584</v>
      </c>
      <c r="V1203" s="9" t="s">
        <v>4261</v>
      </c>
      <c r="W1203">
        <v>4.2260814631966998E+43</v>
      </c>
      <c r="X1203" t="s">
        <v>46</v>
      </c>
      <c r="Y1203" s="2" t="s">
        <v>717</v>
      </c>
      <c r="Z1203" s="2" t="s">
        <v>718</v>
      </c>
      <c r="AA1203" s="9" t="s">
        <v>715</v>
      </c>
      <c r="AC1203" s="2"/>
      <c r="AD1203" t="s">
        <v>7</v>
      </c>
      <c r="AE1203" t="s">
        <v>4262</v>
      </c>
    </row>
    <row r="1204" spans="1:31" x14ac:dyDescent="0.3">
      <c r="A1204" s="17">
        <v>90739624000118</v>
      </c>
      <c r="B1204" t="s">
        <v>36</v>
      </c>
      <c r="C1204">
        <v>23192</v>
      </c>
      <c r="D1204" t="s">
        <v>305</v>
      </c>
      <c r="E1204" t="s">
        <v>2</v>
      </c>
      <c r="F1204">
        <v>269308</v>
      </c>
      <c r="G1204" s="1" t="s">
        <v>4263</v>
      </c>
      <c r="H1204">
        <v>24738192</v>
      </c>
      <c r="I1204">
        <v>4087</v>
      </c>
      <c r="J1204" t="s">
        <v>186</v>
      </c>
      <c r="K1204" s="17">
        <v>7822636000168</v>
      </c>
      <c r="L1204" s="17">
        <v>90739624004458</v>
      </c>
      <c r="M1204" s="9">
        <v>242.82</v>
      </c>
      <c r="N1204" t="s">
        <v>43</v>
      </c>
      <c r="Q1204" s="2"/>
      <c r="R1204" s="9"/>
      <c r="S1204" t="s">
        <v>44</v>
      </c>
      <c r="T1204" t="s">
        <v>45</v>
      </c>
      <c r="U1204" s="2" t="s">
        <v>584</v>
      </c>
      <c r="V1204" s="9" t="s">
        <v>4264</v>
      </c>
      <c r="W1204">
        <v>5.3260807822636003E+43</v>
      </c>
      <c r="X1204" t="s">
        <v>46</v>
      </c>
      <c r="Y1204" s="2" t="s">
        <v>717</v>
      </c>
      <c r="Z1204" s="2" t="s">
        <v>718</v>
      </c>
      <c r="AA1204" s="9" t="s">
        <v>715</v>
      </c>
      <c r="AC1204" s="2"/>
      <c r="AD1204" t="s">
        <v>7</v>
      </c>
      <c r="AE1204" t="s">
        <v>4265</v>
      </c>
    </row>
    <row r="1205" spans="1:31" x14ac:dyDescent="0.3">
      <c r="A1205" s="17">
        <v>90739624000118</v>
      </c>
      <c r="B1205" t="s">
        <v>61</v>
      </c>
      <c r="D1205" t="s">
        <v>293</v>
      </c>
      <c r="E1205" t="s">
        <v>2</v>
      </c>
      <c r="F1205">
        <v>269308</v>
      </c>
      <c r="G1205" s="1" t="s">
        <v>4266</v>
      </c>
      <c r="H1205">
        <v>24738176</v>
      </c>
      <c r="I1205">
        <v>819642</v>
      </c>
      <c r="J1205" t="s">
        <v>62</v>
      </c>
      <c r="K1205" s="17">
        <v>79964177000591</v>
      </c>
      <c r="L1205" s="17">
        <v>9576274000106</v>
      </c>
      <c r="M1205" s="9">
        <v>2850.45</v>
      </c>
      <c r="N1205" t="s">
        <v>43</v>
      </c>
      <c r="Q1205" s="2"/>
      <c r="R1205" s="9"/>
      <c r="S1205" t="s">
        <v>44</v>
      </c>
      <c r="T1205" t="s">
        <v>45</v>
      </c>
      <c r="U1205" s="2" t="s">
        <v>584</v>
      </c>
      <c r="V1205" s="9" t="s">
        <v>4267</v>
      </c>
      <c r="W1205">
        <v>4.1260879964176998E+43</v>
      </c>
      <c r="X1205" t="s">
        <v>46</v>
      </c>
      <c r="Y1205" s="2" t="s">
        <v>717</v>
      </c>
      <c r="Z1205" s="2" t="s">
        <v>718</v>
      </c>
      <c r="AA1205" s="9" t="s">
        <v>715</v>
      </c>
      <c r="AC1205" s="2"/>
      <c r="AD1205" t="s">
        <v>7</v>
      </c>
      <c r="AE1205" t="s">
        <v>4268</v>
      </c>
    </row>
    <row r="1206" spans="1:31" x14ac:dyDescent="0.3">
      <c r="A1206" s="17">
        <v>90739624000118</v>
      </c>
      <c r="B1206" t="s">
        <v>61</v>
      </c>
      <c r="D1206" t="s">
        <v>269</v>
      </c>
      <c r="E1206" t="s">
        <v>2</v>
      </c>
      <c r="F1206">
        <v>269308</v>
      </c>
      <c r="G1206" s="1" t="s">
        <v>4269</v>
      </c>
      <c r="H1206">
        <v>24737862</v>
      </c>
      <c r="I1206">
        <v>819637</v>
      </c>
      <c r="J1206" t="s">
        <v>62</v>
      </c>
      <c r="K1206" s="17">
        <v>79964177000591</v>
      </c>
      <c r="L1206" s="17">
        <v>9576274000106</v>
      </c>
      <c r="M1206" s="9">
        <v>1855.67</v>
      </c>
      <c r="N1206" t="s">
        <v>43</v>
      </c>
      <c r="Q1206" s="2"/>
      <c r="R1206" s="9"/>
      <c r="S1206" t="s">
        <v>44</v>
      </c>
      <c r="T1206" t="s">
        <v>45</v>
      </c>
      <c r="U1206" s="2" t="s">
        <v>584</v>
      </c>
      <c r="V1206" s="9" t="s">
        <v>4270</v>
      </c>
      <c r="W1206">
        <v>4.1260879964176998E+43</v>
      </c>
      <c r="X1206" t="s">
        <v>46</v>
      </c>
      <c r="Y1206" s="2" t="s">
        <v>717</v>
      </c>
      <c r="Z1206" s="2" t="s">
        <v>718</v>
      </c>
      <c r="AA1206" s="9" t="s">
        <v>715</v>
      </c>
      <c r="AC1206" s="2"/>
      <c r="AD1206" t="s">
        <v>7</v>
      </c>
      <c r="AE1206" t="s">
        <v>4271</v>
      </c>
    </row>
    <row r="1207" spans="1:31" x14ac:dyDescent="0.3">
      <c r="A1207" s="17">
        <v>90739624000118</v>
      </c>
      <c r="B1207" t="s">
        <v>100</v>
      </c>
      <c r="D1207" t="s">
        <v>112</v>
      </c>
      <c r="E1207" t="s">
        <v>2</v>
      </c>
      <c r="F1207">
        <v>269308</v>
      </c>
      <c r="G1207" s="1" t="s">
        <v>4272</v>
      </c>
      <c r="H1207">
        <v>24737846</v>
      </c>
      <c r="I1207">
        <v>3382597</v>
      </c>
      <c r="J1207" t="s">
        <v>248</v>
      </c>
      <c r="K1207" s="17">
        <v>3623054000282</v>
      </c>
      <c r="L1207" s="17">
        <v>90739624001866</v>
      </c>
      <c r="M1207" s="9">
        <v>284.39999999999998</v>
      </c>
      <c r="N1207" t="s">
        <v>43</v>
      </c>
      <c r="Q1207" s="2"/>
      <c r="R1207" s="9"/>
      <c r="S1207" t="s">
        <v>44</v>
      </c>
      <c r="T1207" t="s">
        <v>45</v>
      </c>
      <c r="U1207" s="2" t="s">
        <v>584</v>
      </c>
      <c r="V1207" s="9" t="s">
        <v>4273</v>
      </c>
      <c r="W1207">
        <v>5.1260803623053998E+43</v>
      </c>
      <c r="X1207" t="s">
        <v>46</v>
      </c>
      <c r="Y1207" s="2" t="s">
        <v>717</v>
      </c>
      <c r="Z1207" s="2" t="s">
        <v>718</v>
      </c>
      <c r="AA1207" s="9" t="s">
        <v>715</v>
      </c>
      <c r="AC1207" s="2"/>
      <c r="AD1207" t="s">
        <v>7</v>
      </c>
      <c r="AE1207" t="s">
        <v>4274</v>
      </c>
    </row>
    <row r="1208" spans="1:31" x14ac:dyDescent="0.3">
      <c r="A1208" s="17">
        <v>90739624000118</v>
      </c>
      <c r="B1208" t="s">
        <v>36</v>
      </c>
      <c r="D1208" t="s">
        <v>197</v>
      </c>
      <c r="E1208" t="s">
        <v>2</v>
      </c>
      <c r="F1208">
        <v>269308</v>
      </c>
      <c r="G1208" s="1" t="s">
        <v>4275</v>
      </c>
      <c r="H1208">
        <v>24737750</v>
      </c>
      <c r="I1208">
        <v>4086</v>
      </c>
      <c r="J1208" t="s">
        <v>186</v>
      </c>
      <c r="K1208" s="17">
        <v>7822636000168</v>
      </c>
      <c r="L1208" s="17">
        <v>90739624004458</v>
      </c>
      <c r="M1208" s="9">
        <v>255.89</v>
      </c>
      <c r="N1208" t="s">
        <v>43</v>
      </c>
      <c r="Q1208" s="2"/>
      <c r="R1208" s="9"/>
      <c r="S1208" t="s">
        <v>44</v>
      </c>
      <c r="T1208" t="s">
        <v>45</v>
      </c>
      <c r="U1208" s="2" t="s">
        <v>584</v>
      </c>
      <c r="V1208" s="9" t="s">
        <v>4276</v>
      </c>
      <c r="W1208">
        <v>5.3260807822636003E+43</v>
      </c>
      <c r="X1208" t="s">
        <v>46</v>
      </c>
      <c r="Y1208" s="2" t="s">
        <v>717</v>
      </c>
      <c r="Z1208" s="2" t="s">
        <v>718</v>
      </c>
      <c r="AA1208" s="9" t="s">
        <v>715</v>
      </c>
      <c r="AC1208" s="2"/>
      <c r="AD1208" t="s">
        <v>7</v>
      </c>
      <c r="AE1208" t="s">
        <v>4277</v>
      </c>
    </row>
    <row r="1209" spans="1:31" x14ac:dyDescent="0.3">
      <c r="A1209" s="17">
        <v>90739624000118</v>
      </c>
      <c r="B1209" t="s">
        <v>58</v>
      </c>
      <c r="D1209" t="s">
        <v>308</v>
      </c>
      <c r="E1209" t="s">
        <v>2</v>
      </c>
      <c r="F1209">
        <v>269308</v>
      </c>
      <c r="G1209" s="1" t="s">
        <v>4278</v>
      </c>
      <c r="H1209">
        <v>24737529</v>
      </c>
      <c r="I1209">
        <v>88103</v>
      </c>
      <c r="J1209" t="s">
        <v>309</v>
      </c>
      <c r="K1209" s="17">
        <v>7473735017661</v>
      </c>
      <c r="L1209" s="17">
        <v>90739624002323</v>
      </c>
      <c r="M1209" s="9">
        <v>526.17999999999995</v>
      </c>
      <c r="N1209" t="s">
        <v>43</v>
      </c>
      <c r="Q1209" s="2"/>
      <c r="R1209" s="9"/>
      <c r="S1209" t="s">
        <v>44</v>
      </c>
      <c r="T1209" t="s">
        <v>45</v>
      </c>
      <c r="U1209" s="2" t="s">
        <v>584</v>
      </c>
      <c r="V1209" s="9" t="s">
        <v>4279</v>
      </c>
      <c r="W1209">
        <v>4.3260807473734999E+43</v>
      </c>
      <c r="X1209" t="s">
        <v>46</v>
      </c>
      <c r="Y1209" s="2" t="s">
        <v>717</v>
      </c>
      <c r="Z1209" s="2" t="s">
        <v>718</v>
      </c>
      <c r="AA1209" s="9" t="s">
        <v>715</v>
      </c>
      <c r="AC1209" s="2"/>
      <c r="AD1209" t="s">
        <v>7</v>
      </c>
      <c r="AE1209" t="s">
        <v>4280</v>
      </c>
    </row>
    <row r="1210" spans="1:31" x14ac:dyDescent="0.3">
      <c r="A1210" s="17">
        <v>90739624000118</v>
      </c>
      <c r="B1210" t="s">
        <v>28</v>
      </c>
      <c r="D1210" t="s">
        <v>205</v>
      </c>
      <c r="E1210" t="s">
        <v>2</v>
      </c>
      <c r="F1210">
        <v>269308</v>
      </c>
      <c r="G1210" s="1" t="s">
        <v>4281</v>
      </c>
      <c r="H1210">
        <v>24737414</v>
      </c>
      <c r="I1210">
        <v>81083</v>
      </c>
      <c r="J1210" t="s">
        <v>48</v>
      </c>
      <c r="K1210" s="17">
        <v>1272434001002</v>
      </c>
      <c r="L1210" s="17">
        <v>90739624001947</v>
      </c>
      <c r="M1210" s="9">
        <v>665.21</v>
      </c>
      <c r="N1210" t="s">
        <v>43</v>
      </c>
      <c r="Q1210" s="2"/>
      <c r="R1210" s="9"/>
      <c r="S1210" t="s">
        <v>44</v>
      </c>
      <c r="T1210" t="s">
        <v>45</v>
      </c>
      <c r="U1210" s="2" t="s">
        <v>584</v>
      </c>
      <c r="V1210" s="9" t="s">
        <v>4282</v>
      </c>
      <c r="W1210">
        <v>5.2260801272433996E+43</v>
      </c>
      <c r="X1210" t="s">
        <v>46</v>
      </c>
      <c r="Y1210" s="2" t="s">
        <v>717</v>
      </c>
      <c r="Z1210" s="2" t="s">
        <v>718</v>
      </c>
      <c r="AA1210" s="9" t="s">
        <v>715</v>
      </c>
      <c r="AC1210" s="2"/>
      <c r="AD1210" t="s">
        <v>7</v>
      </c>
      <c r="AE1210" t="s">
        <v>4283</v>
      </c>
    </row>
    <row r="1211" spans="1:31" x14ac:dyDescent="0.3">
      <c r="A1211" s="17">
        <v>90739624000118</v>
      </c>
      <c r="B1211" t="s">
        <v>18</v>
      </c>
      <c r="D1211" t="s">
        <v>19</v>
      </c>
      <c r="E1211" t="s">
        <v>2</v>
      </c>
      <c r="F1211">
        <v>269308</v>
      </c>
      <c r="G1211" s="1" t="s">
        <v>4284</v>
      </c>
      <c r="H1211">
        <v>24736914</v>
      </c>
      <c r="I1211">
        <v>372713</v>
      </c>
      <c r="J1211" t="s">
        <v>202</v>
      </c>
      <c r="K1211" s="17">
        <v>5065447000162</v>
      </c>
      <c r="L1211" s="17">
        <v>90739624000380</v>
      </c>
      <c r="M1211" s="9">
        <v>231.88</v>
      </c>
      <c r="N1211" t="s">
        <v>43</v>
      </c>
      <c r="Q1211" s="2"/>
      <c r="R1211" s="9"/>
      <c r="S1211" t="s">
        <v>44</v>
      </c>
      <c r="T1211" t="s">
        <v>45</v>
      </c>
      <c r="U1211" s="2" t="s">
        <v>584</v>
      </c>
      <c r="V1211" s="9" t="s">
        <v>4285</v>
      </c>
      <c r="W1211">
        <v>3.5260805065447002E+43</v>
      </c>
      <c r="X1211" t="s">
        <v>46</v>
      </c>
      <c r="Y1211" s="2" t="s">
        <v>717</v>
      </c>
      <c r="Z1211" s="2" t="s">
        <v>718</v>
      </c>
      <c r="AA1211" s="9" t="s">
        <v>715</v>
      </c>
      <c r="AC1211" s="2"/>
      <c r="AD1211" t="s">
        <v>7</v>
      </c>
      <c r="AE1211" t="s">
        <v>4286</v>
      </c>
    </row>
    <row r="1212" spans="1:31" x14ac:dyDescent="0.3">
      <c r="A1212" s="17">
        <v>90739624000118</v>
      </c>
      <c r="B1212" t="s">
        <v>58</v>
      </c>
      <c r="D1212" t="s">
        <v>387</v>
      </c>
      <c r="E1212" t="s">
        <v>2</v>
      </c>
      <c r="F1212">
        <v>269308</v>
      </c>
      <c r="G1212" s="1" t="s">
        <v>4287</v>
      </c>
      <c r="H1212">
        <v>24736887</v>
      </c>
      <c r="I1212">
        <v>110564</v>
      </c>
      <c r="J1212" t="s">
        <v>106</v>
      </c>
      <c r="K1212" s="17">
        <v>7473735015103</v>
      </c>
      <c r="L1212" s="17">
        <v>90739624002323</v>
      </c>
      <c r="M1212" s="9">
        <v>67.56</v>
      </c>
      <c r="N1212" t="s">
        <v>43</v>
      </c>
      <c r="Q1212" s="2"/>
      <c r="R1212" s="9"/>
      <c r="S1212" t="s">
        <v>44</v>
      </c>
      <c r="T1212" t="s">
        <v>45</v>
      </c>
      <c r="U1212" s="2" t="s">
        <v>584</v>
      </c>
      <c r="V1212" s="9" t="s">
        <v>4288</v>
      </c>
      <c r="W1212">
        <v>4.3260807473734999E+43</v>
      </c>
      <c r="X1212" t="s">
        <v>46</v>
      </c>
      <c r="Y1212" s="2" t="s">
        <v>717</v>
      </c>
      <c r="Z1212" s="2" t="s">
        <v>718</v>
      </c>
      <c r="AA1212" s="9" t="s">
        <v>715</v>
      </c>
      <c r="AC1212" s="2"/>
      <c r="AD1212" t="s">
        <v>7</v>
      </c>
      <c r="AE1212" t="s">
        <v>4289</v>
      </c>
    </row>
    <row r="1213" spans="1:31" x14ac:dyDescent="0.3">
      <c r="A1213" s="17">
        <v>90739624000118</v>
      </c>
      <c r="B1213" t="s">
        <v>61</v>
      </c>
      <c r="D1213" t="s">
        <v>198</v>
      </c>
      <c r="E1213" t="s">
        <v>2</v>
      </c>
      <c r="F1213">
        <v>269308</v>
      </c>
      <c r="G1213" s="1" t="s">
        <v>4290</v>
      </c>
      <c r="H1213">
        <v>24736532</v>
      </c>
      <c r="I1213">
        <v>28386</v>
      </c>
      <c r="J1213" t="s">
        <v>127</v>
      </c>
      <c r="K1213" s="17">
        <v>76493295000147</v>
      </c>
      <c r="L1213" s="17">
        <v>9576274000106</v>
      </c>
      <c r="M1213" s="9">
        <v>466.18</v>
      </c>
      <c r="N1213" t="s">
        <v>43</v>
      </c>
      <c r="Q1213" s="2"/>
      <c r="R1213" s="9"/>
      <c r="S1213" t="s">
        <v>44</v>
      </c>
      <c r="T1213" t="s">
        <v>45</v>
      </c>
      <c r="U1213" s="2" t="s">
        <v>584</v>
      </c>
      <c r="V1213" s="9" t="s">
        <v>4291</v>
      </c>
      <c r="W1213">
        <v>4.1260876493295002E+43</v>
      </c>
      <c r="X1213" t="s">
        <v>46</v>
      </c>
      <c r="Y1213" s="2" t="s">
        <v>717</v>
      </c>
      <c r="Z1213" s="2" t="s">
        <v>718</v>
      </c>
      <c r="AA1213" s="9" t="s">
        <v>715</v>
      </c>
      <c r="AC1213" s="2"/>
      <c r="AD1213" t="s">
        <v>7</v>
      </c>
      <c r="AE1213" t="s">
        <v>4292</v>
      </c>
    </row>
    <row r="1214" spans="1:31" x14ac:dyDescent="0.3">
      <c r="A1214" s="17">
        <v>90739624000118</v>
      </c>
      <c r="B1214" t="s">
        <v>13</v>
      </c>
      <c r="C1214">
        <v>26010</v>
      </c>
      <c r="D1214" t="s">
        <v>336</v>
      </c>
      <c r="E1214" t="s">
        <v>2</v>
      </c>
      <c r="F1214">
        <v>269308</v>
      </c>
      <c r="G1214" s="1" t="s">
        <v>4293</v>
      </c>
      <c r="H1214">
        <v>24736388</v>
      </c>
      <c r="I1214">
        <v>48814</v>
      </c>
      <c r="J1214" t="s">
        <v>348</v>
      </c>
      <c r="K1214" s="17">
        <v>26416003000102</v>
      </c>
      <c r="L1214" s="17">
        <v>90739624001190</v>
      </c>
      <c r="M1214" s="9">
        <v>399.17</v>
      </c>
      <c r="N1214" t="s">
        <v>43</v>
      </c>
      <c r="Q1214" s="2"/>
      <c r="R1214" s="9"/>
      <c r="S1214" t="s">
        <v>44</v>
      </c>
      <c r="T1214" t="s">
        <v>45</v>
      </c>
      <c r="U1214" s="2" t="s">
        <v>792</v>
      </c>
      <c r="V1214" s="9" t="s">
        <v>4294</v>
      </c>
      <c r="W1214">
        <v>5.0260826416002996E+43</v>
      </c>
      <c r="X1214" t="s">
        <v>46</v>
      </c>
      <c r="Y1214" s="2" t="s">
        <v>717</v>
      </c>
      <c r="Z1214" s="2" t="s">
        <v>718</v>
      </c>
      <c r="AA1214" s="9" t="s">
        <v>715</v>
      </c>
      <c r="AC1214" s="2"/>
      <c r="AD1214" t="s">
        <v>7</v>
      </c>
      <c r="AE1214" t="s">
        <v>4295</v>
      </c>
    </row>
    <row r="1215" spans="1:31" x14ac:dyDescent="0.3">
      <c r="A1215" s="17">
        <v>90739624000118</v>
      </c>
      <c r="B1215" t="s">
        <v>8</v>
      </c>
      <c r="D1215" t="s">
        <v>238</v>
      </c>
      <c r="E1215" t="s">
        <v>17</v>
      </c>
      <c r="F1215">
        <v>269308</v>
      </c>
      <c r="G1215" s="1" t="s">
        <v>4296</v>
      </c>
      <c r="H1215">
        <v>24732116</v>
      </c>
      <c r="I1215">
        <v>313188</v>
      </c>
      <c r="J1215" t="s">
        <v>4297</v>
      </c>
      <c r="K1215" s="17">
        <v>78793189000104</v>
      </c>
      <c r="L1215" s="17">
        <v>9576274000106</v>
      </c>
      <c r="M1215" s="9">
        <v>5.82</v>
      </c>
      <c r="N1215" t="s">
        <v>43</v>
      </c>
      <c r="Q1215" s="2"/>
      <c r="R1215" s="9"/>
      <c r="S1215" t="s">
        <v>44</v>
      </c>
      <c r="T1215" t="s">
        <v>45</v>
      </c>
      <c r="U1215" s="2" t="s">
        <v>584</v>
      </c>
      <c r="V1215" s="9" t="s">
        <v>4298</v>
      </c>
      <c r="W1215">
        <v>4.1260878793189E+43</v>
      </c>
      <c r="X1215" t="s">
        <v>46</v>
      </c>
      <c r="Y1215" s="2" t="s">
        <v>717</v>
      </c>
      <c r="Z1215" s="2" t="s">
        <v>718</v>
      </c>
      <c r="AA1215" s="9" t="s">
        <v>715</v>
      </c>
      <c r="AC1215" s="2"/>
      <c r="AD1215" t="s">
        <v>7</v>
      </c>
      <c r="AE1215" t="s">
        <v>4299</v>
      </c>
    </row>
    <row r="1216" spans="1:31" x14ac:dyDescent="0.3">
      <c r="A1216" s="17">
        <v>90739624000118</v>
      </c>
      <c r="B1216" t="s">
        <v>8</v>
      </c>
      <c r="D1216" t="s">
        <v>238</v>
      </c>
      <c r="E1216" t="s">
        <v>2</v>
      </c>
      <c r="F1216">
        <v>269308</v>
      </c>
      <c r="G1216" s="1" t="s">
        <v>4300</v>
      </c>
      <c r="H1216">
        <v>24732114</v>
      </c>
      <c r="I1216">
        <v>313187</v>
      </c>
      <c r="J1216" t="s">
        <v>4297</v>
      </c>
      <c r="K1216" s="17">
        <v>78793189000104</v>
      </c>
      <c r="L1216" s="17">
        <v>9576274000106</v>
      </c>
      <c r="M1216" s="9">
        <v>299.38</v>
      </c>
      <c r="N1216" t="s">
        <v>43</v>
      </c>
      <c r="Q1216" s="2"/>
      <c r="R1216" s="9"/>
      <c r="S1216" t="s">
        <v>44</v>
      </c>
      <c r="T1216" t="s">
        <v>45</v>
      </c>
      <c r="U1216" s="2" t="s">
        <v>584</v>
      </c>
      <c r="V1216" s="9" t="s">
        <v>4301</v>
      </c>
      <c r="W1216">
        <v>4.1260878793189E+43</v>
      </c>
      <c r="X1216" t="s">
        <v>46</v>
      </c>
      <c r="Y1216" s="2" t="s">
        <v>717</v>
      </c>
      <c r="Z1216" s="2" t="s">
        <v>718</v>
      </c>
      <c r="AA1216" s="9" t="s">
        <v>715</v>
      </c>
      <c r="AC1216" s="2"/>
      <c r="AD1216" t="s">
        <v>7</v>
      </c>
      <c r="AE1216" t="s">
        <v>4302</v>
      </c>
    </row>
    <row r="1217" spans="1:31" x14ac:dyDescent="0.3">
      <c r="A1217" s="17">
        <v>90739624000118</v>
      </c>
      <c r="B1217" t="s">
        <v>11</v>
      </c>
      <c r="D1217" t="s">
        <v>203</v>
      </c>
      <c r="E1217" t="s">
        <v>2</v>
      </c>
      <c r="F1217">
        <v>269308</v>
      </c>
      <c r="G1217" s="1" t="s">
        <v>4303</v>
      </c>
      <c r="H1217">
        <v>24731609</v>
      </c>
      <c r="I1217">
        <v>310890</v>
      </c>
      <c r="J1217" t="s">
        <v>204</v>
      </c>
      <c r="K1217" s="17">
        <v>24187119000183</v>
      </c>
      <c r="L1217" s="17">
        <v>90739624000118</v>
      </c>
      <c r="M1217" s="9">
        <v>292.23</v>
      </c>
      <c r="N1217" t="s">
        <v>43</v>
      </c>
      <c r="Q1217" s="2"/>
      <c r="R1217" s="9"/>
      <c r="S1217" t="s">
        <v>44</v>
      </c>
      <c r="T1217" t="s">
        <v>45</v>
      </c>
      <c r="U1217" s="2" t="s">
        <v>584</v>
      </c>
      <c r="V1217" s="9" t="s">
        <v>4304</v>
      </c>
      <c r="W1217">
        <v>3.1260824187118999E+43</v>
      </c>
      <c r="X1217" t="s">
        <v>46</v>
      </c>
      <c r="Y1217" s="2" t="s">
        <v>717</v>
      </c>
      <c r="Z1217" s="2" t="s">
        <v>718</v>
      </c>
      <c r="AA1217" s="9" t="s">
        <v>715</v>
      </c>
      <c r="AC1217" s="2"/>
      <c r="AD1217" t="s">
        <v>7</v>
      </c>
      <c r="AE1217" t="s">
        <v>4305</v>
      </c>
    </row>
    <row r="1218" spans="1:31" x14ac:dyDescent="0.3">
      <c r="A1218" s="17">
        <v>90739624000118</v>
      </c>
      <c r="B1218" t="s">
        <v>61</v>
      </c>
      <c r="D1218" t="s">
        <v>158</v>
      </c>
      <c r="E1218" t="s">
        <v>2</v>
      </c>
      <c r="F1218">
        <v>269308</v>
      </c>
      <c r="G1218" s="1" t="s">
        <v>4306</v>
      </c>
      <c r="H1218">
        <v>24731252</v>
      </c>
      <c r="I1218">
        <v>27182</v>
      </c>
      <c r="J1218" t="s">
        <v>452</v>
      </c>
      <c r="K1218" s="17">
        <v>20169844000178</v>
      </c>
      <c r="L1218" s="17">
        <v>9576274000106</v>
      </c>
      <c r="M1218" s="9">
        <v>1800.18</v>
      </c>
      <c r="N1218" t="s">
        <v>43</v>
      </c>
      <c r="Q1218" s="2"/>
      <c r="R1218" s="9"/>
      <c r="S1218" t="s">
        <v>44</v>
      </c>
      <c r="T1218" t="s">
        <v>45</v>
      </c>
      <c r="U1218" s="2" t="s">
        <v>584</v>
      </c>
      <c r="V1218" s="9" t="s">
        <v>4307</v>
      </c>
      <c r="W1218">
        <v>4.1260820169844E+43</v>
      </c>
      <c r="X1218" t="s">
        <v>46</v>
      </c>
      <c r="Y1218" s="2" t="s">
        <v>717</v>
      </c>
      <c r="Z1218" s="2" t="s">
        <v>718</v>
      </c>
      <c r="AA1218" s="9" t="s">
        <v>715</v>
      </c>
      <c r="AC1218" s="2"/>
      <c r="AD1218" t="s">
        <v>7</v>
      </c>
      <c r="AE1218" t="s">
        <v>4308</v>
      </c>
    </row>
    <row r="1219" spans="1:31" x14ac:dyDescent="0.3">
      <c r="A1219" s="17">
        <v>90739624000118</v>
      </c>
      <c r="B1219" t="s">
        <v>25</v>
      </c>
      <c r="C1219">
        <v>24556</v>
      </c>
      <c r="D1219" t="s">
        <v>468</v>
      </c>
      <c r="E1219" t="s">
        <v>2</v>
      </c>
      <c r="F1219">
        <v>269308</v>
      </c>
      <c r="G1219" s="1" t="s">
        <v>4309</v>
      </c>
      <c r="H1219">
        <v>24731248</v>
      </c>
      <c r="I1219">
        <v>144095</v>
      </c>
      <c r="J1219" t="s">
        <v>206</v>
      </c>
      <c r="K1219" s="17">
        <v>50128357000128</v>
      </c>
      <c r="L1219" s="17">
        <v>90739624003486</v>
      </c>
      <c r="M1219" s="9">
        <v>384.26</v>
      </c>
      <c r="N1219" t="s">
        <v>43</v>
      </c>
      <c r="Q1219" s="2"/>
      <c r="R1219" s="9"/>
      <c r="S1219" t="s">
        <v>44</v>
      </c>
      <c r="T1219" t="s">
        <v>45</v>
      </c>
      <c r="U1219" s="2" t="s">
        <v>584</v>
      </c>
      <c r="V1219" s="9" t="s">
        <v>4310</v>
      </c>
      <c r="W1219">
        <v>5.1260850128356998E+43</v>
      </c>
      <c r="X1219" t="s">
        <v>46</v>
      </c>
      <c r="Y1219" s="2" t="s">
        <v>717</v>
      </c>
      <c r="Z1219" s="2" t="s">
        <v>718</v>
      </c>
      <c r="AA1219" s="9" t="s">
        <v>715</v>
      </c>
      <c r="AC1219" s="2"/>
      <c r="AD1219" t="s">
        <v>7</v>
      </c>
      <c r="AE1219" t="s">
        <v>4311</v>
      </c>
    </row>
    <row r="1220" spans="1:31" x14ac:dyDescent="0.3">
      <c r="A1220" s="17">
        <v>90739624000118</v>
      </c>
      <c r="B1220" t="s">
        <v>61</v>
      </c>
      <c r="D1220" t="s">
        <v>677</v>
      </c>
      <c r="E1220" t="s">
        <v>2</v>
      </c>
      <c r="F1220">
        <v>269308</v>
      </c>
      <c r="G1220" s="1" t="s">
        <v>4312</v>
      </c>
      <c r="H1220">
        <v>24731131</v>
      </c>
      <c r="I1220">
        <v>22814</v>
      </c>
      <c r="J1220" t="s">
        <v>24</v>
      </c>
      <c r="K1220" s="17">
        <v>46472822000176</v>
      </c>
      <c r="L1220" s="17">
        <v>90739624000380</v>
      </c>
      <c r="M1220" s="9">
        <v>1684.96</v>
      </c>
      <c r="N1220" t="s">
        <v>43</v>
      </c>
      <c r="Q1220" s="2"/>
      <c r="R1220" s="9"/>
      <c r="S1220" t="s">
        <v>44</v>
      </c>
      <c r="T1220" t="s">
        <v>45</v>
      </c>
      <c r="U1220" s="2" t="s">
        <v>584</v>
      </c>
      <c r="V1220" s="9" t="s">
        <v>4314</v>
      </c>
      <c r="W1220">
        <v>3.5260846472822E+43</v>
      </c>
      <c r="X1220" t="s">
        <v>46</v>
      </c>
      <c r="Y1220" s="2" t="s">
        <v>717</v>
      </c>
      <c r="Z1220" s="2" t="s">
        <v>718</v>
      </c>
      <c r="AA1220" s="9" t="s">
        <v>715</v>
      </c>
      <c r="AC1220" s="2"/>
      <c r="AD1220" t="s">
        <v>7</v>
      </c>
      <c r="AE1220" t="s">
        <v>4315</v>
      </c>
    </row>
    <row r="1221" spans="1:31" x14ac:dyDescent="0.3">
      <c r="A1221" s="17">
        <v>90739624000118</v>
      </c>
      <c r="B1221" t="s">
        <v>18</v>
      </c>
      <c r="C1221">
        <v>26123</v>
      </c>
      <c r="D1221" t="s">
        <v>39</v>
      </c>
      <c r="E1221" t="s">
        <v>2</v>
      </c>
      <c r="F1221">
        <v>269308</v>
      </c>
      <c r="G1221" s="1" t="s">
        <v>4316</v>
      </c>
      <c r="H1221">
        <v>24730357</v>
      </c>
      <c r="I1221">
        <v>699</v>
      </c>
      <c r="J1221" t="s">
        <v>20</v>
      </c>
      <c r="K1221" s="17">
        <v>27751075017640</v>
      </c>
      <c r="L1221" s="17">
        <v>90739624000380</v>
      </c>
      <c r="M1221" s="9">
        <v>215.08</v>
      </c>
      <c r="N1221" t="s">
        <v>43</v>
      </c>
      <c r="Q1221" s="2"/>
      <c r="R1221" s="9"/>
      <c r="S1221" t="s">
        <v>44</v>
      </c>
      <c r="T1221" t="s">
        <v>45</v>
      </c>
      <c r="U1221" s="2" t="s">
        <v>584</v>
      </c>
      <c r="V1221" s="9" t="s">
        <v>4317</v>
      </c>
      <c r="W1221">
        <v>3.5260827751075001E+43</v>
      </c>
      <c r="X1221" t="s">
        <v>46</v>
      </c>
      <c r="Y1221" s="2" t="s">
        <v>717</v>
      </c>
      <c r="Z1221" s="2" t="s">
        <v>718</v>
      </c>
      <c r="AA1221" s="9" t="s">
        <v>715</v>
      </c>
      <c r="AC1221" s="2"/>
      <c r="AD1221" t="s">
        <v>7</v>
      </c>
      <c r="AE1221" t="s">
        <v>4318</v>
      </c>
    </row>
    <row r="1222" spans="1:31" x14ac:dyDescent="0.3">
      <c r="A1222" s="17">
        <v>90739624000118</v>
      </c>
      <c r="B1222" t="s">
        <v>58</v>
      </c>
      <c r="D1222" t="s">
        <v>477</v>
      </c>
      <c r="E1222" t="s">
        <v>2</v>
      </c>
      <c r="F1222">
        <v>269308</v>
      </c>
      <c r="G1222" s="1" t="s">
        <v>4319</v>
      </c>
      <c r="H1222">
        <v>24724958</v>
      </c>
      <c r="J1222" t="s">
        <v>309</v>
      </c>
      <c r="K1222" s="17">
        <v>7473735017661</v>
      </c>
      <c r="L1222" s="17"/>
      <c r="M1222" s="9">
        <v>485.21</v>
      </c>
      <c r="N1222" t="s">
        <v>43</v>
      </c>
      <c r="Q1222" s="2"/>
      <c r="R1222" s="9"/>
      <c r="S1222" t="s">
        <v>87</v>
      </c>
      <c r="U1222" s="2"/>
      <c r="V1222" s="9"/>
      <c r="X1222" t="s">
        <v>88</v>
      </c>
      <c r="Y1222" s="2" t="s">
        <v>717</v>
      </c>
      <c r="Z1222" s="2" t="s">
        <v>718</v>
      </c>
      <c r="AA1222" s="9" t="s">
        <v>715</v>
      </c>
      <c r="AC1222" s="2"/>
      <c r="AD1222" t="s">
        <v>7</v>
      </c>
    </row>
    <row r="1223" spans="1:31" x14ac:dyDescent="0.3">
      <c r="A1223" s="17"/>
      <c r="G1223" s="1"/>
      <c r="K1223" s="17"/>
      <c r="L1223" s="17"/>
      <c r="M1223" s="9"/>
      <c r="Q1223" s="2"/>
      <c r="R1223" s="9"/>
      <c r="U1223" s="2"/>
      <c r="V1223" s="9"/>
      <c r="Y1223" s="2"/>
      <c r="Z1223" s="2"/>
      <c r="AA1223" s="9"/>
      <c r="AC1223" s="2"/>
    </row>
    <row r="1224" spans="1:31" x14ac:dyDescent="0.3">
      <c r="A1224" s="17"/>
      <c r="G1224" s="1"/>
      <c r="K1224" s="17"/>
      <c r="L1224" s="17"/>
      <c r="M1224" s="9"/>
      <c r="Q1224" s="2"/>
      <c r="R1224" s="9"/>
      <c r="U1224" s="2"/>
      <c r="V1224" s="9"/>
      <c r="Y1224" s="2"/>
      <c r="Z1224" s="2"/>
      <c r="AA1224" s="9"/>
      <c r="AC1224" s="2"/>
    </row>
    <row r="1225" spans="1:31" x14ac:dyDescent="0.3">
      <c r="A1225" s="17"/>
      <c r="G1225" s="1"/>
      <c r="K1225" s="17"/>
      <c r="L1225" s="17"/>
      <c r="M1225" s="9"/>
      <c r="Q1225" s="2"/>
      <c r="R1225" s="9"/>
      <c r="U1225" s="2"/>
      <c r="V1225" s="9"/>
      <c r="Y1225" s="2"/>
      <c r="Z1225" s="2"/>
      <c r="AA1225" s="9"/>
      <c r="AC1225" s="2"/>
    </row>
    <row r="1226" spans="1:31" x14ac:dyDescent="0.3">
      <c r="A1226" s="17"/>
      <c r="G1226" s="1"/>
      <c r="K1226" s="17"/>
      <c r="L1226" s="17"/>
      <c r="M1226" s="9"/>
      <c r="Q1226" s="2"/>
      <c r="R1226" s="9"/>
      <c r="U1226" s="2"/>
      <c r="V1226" s="9"/>
      <c r="Y1226" s="2"/>
      <c r="Z1226" s="2"/>
      <c r="AA1226" s="9"/>
      <c r="AC1226" s="2"/>
    </row>
    <row r="1227" spans="1:31" x14ac:dyDescent="0.3">
      <c r="A1227" s="17"/>
      <c r="G1227" s="1"/>
      <c r="K1227" s="17"/>
      <c r="L1227" s="17"/>
      <c r="M1227" s="9"/>
      <c r="Q1227" s="2"/>
      <c r="R1227" s="9"/>
      <c r="U1227" s="2"/>
      <c r="V1227" s="9"/>
      <c r="Y1227" s="2"/>
      <c r="Z1227" s="2"/>
      <c r="AA1227" s="9"/>
      <c r="AC1227" s="2"/>
    </row>
    <row r="1228" spans="1:31" x14ac:dyDescent="0.3">
      <c r="A1228" s="17"/>
      <c r="G1228" s="1"/>
      <c r="K1228" s="17"/>
      <c r="L1228" s="17"/>
      <c r="M1228" s="9"/>
      <c r="Q1228" s="2"/>
      <c r="R1228" s="9"/>
      <c r="U1228" s="2"/>
      <c r="V1228" s="9"/>
      <c r="Y1228" s="2"/>
      <c r="Z1228" s="2"/>
      <c r="AA1228" s="9"/>
      <c r="AC1228" s="2"/>
    </row>
    <row r="1229" spans="1:31" x14ac:dyDescent="0.3">
      <c r="A1229" s="17"/>
      <c r="G1229" s="1"/>
      <c r="K1229" s="17"/>
      <c r="L1229" s="17"/>
      <c r="M1229" s="9"/>
      <c r="Q1229" s="2"/>
      <c r="R1229" s="9"/>
      <c r="U1229" s="2"/>
      <c r="V1229" s="9"/>
      <c r="Y1229" s="2"/>
      <c r="Z1229" s="2"/>
      <c r="AA1229" s="9"/>
      <c r="AC1229" s="2"/>
    </row>
    <row r="1230" spans="1:31" x14ac:dyDescent="0.3">
      <c r="A1230" s="17"/>
      <c r="G1230" s="1"/>
      <c r="K1230" s="17"/>
      <c r="L1230" s="17"/>
      <c r="M1230" s="9"/>
      <c r="Q1230" s="2"/>
      <c r="R1230" s="9"/>
      <c r="U1230" s="2"/>
      <c r="V1230" s="9"/>
      <c r="Y1230" s="2"/>
      <c r="Z1230" s="2"/>
      <c r="AA1230" s="9"/>
      <c r="AC1230" s="2"/>
    </row>
    <row r="1231" spans="1:31" x14ac:dyDescent="0.3">
      <c r="A1231" s="17"/>
      <c r="G1231" s="1"/>
      <c r="K1231" s="17"/>
      <c r="L1231" s="17"/>
      <c r="M1231" s="9"/>
      <c r="Q1231" s="2"/>
      <c r="R1231" s="9"/>
      <c r="U1231" s="2"/>
      <c r="V1231" s="9"/>
      <c r="Y1231" s="2"/>
      <c r="Z1231" s="2"/>
      <c r="AA1231" s="9"/>
      <c r="AC1231" s="2"/>
    </row>
    <row r="1232" spans="1:31" x14ac:dyDescent="0.3">
      <c r="A1232" s="17"/>
      <c r="G1232" s="1"/>
      <c r="K1232" s="17"/>
      <c r="L1232" s="17"/>
      <c r="M1232" s="9"/>
      <c r="Q1232" s="2"/>
      <c r="R1232" s="9"/>
      <c r="U1232" s="2"/>
      <c r="V1232" s="9"/>
      <c r="Y1232" s="2"/>
      <c r="Z1232" s="2"/>
      <c r="AA1232" s="9"/>
      <c r="AC1232" s="2"/>
    </row>
    <row r="1233" spans="1:29" x14ac:dyDescent="0.3">
      <c r="A1233" s="17"/>
      <c r="G1233" s="1"/>
      <c r="K1233" s="17"/>
      <c r="L1233" s="17"/>
      <c r="M1233" s="9"/>
      <c r="Q1233" s="2"/>
      <c r="R1233" s="9"/>
      <c r="U1233" s="2"/>
      <c r="V1233" s="9"/>
      <c r="Y1233" s="2"/>
      <c r="Z1233" s="2"/>
      <c r="AA1233" s="9"/>
      <c r="AC1233" s="2"/>
    </row>
    <row r="1234" spans="1:29" x14ac:dyDescent="0.3">
      <c r="A1234" s="17"/>
      <c r="G1234" s="1"/>
      <c r="K1234" s="17"/>
      <c r="L1234" s="17"/>
      <c r="M1234" s="9"/>
      <c r="Q1234" s="2"/>
      <c r="R1234" s="9"/>
      <c r="U1234" s="2"/>
      <c r="V1234" s="9"/>
      <c r="Y1234" s="2"/>
      <c r="Z1234" s="2"/>
      <c r="AA1234" s="9"/>
      <c r="AC1234" s="2"/>
    </row>
    <row r="1235" spans="1:29" x14ac:dyDescent="0.3">
      <c r="A1235" s="17"/>
      <c r="G1235" s="1"/>
      <c r="K1235" s="17"/>
      <c r="L1235" s="17"/>
      <c r="M1235" s="9"/>
      <c r="Q1235" s="2"/>
      <c r="R1235" s="9"/>
      <c r="U1235" s="2"/>
      <c r="V1235" s="9"/>
      <c r="Y1235" s="2"/>
      <c r="Z1235" s="2"/>
      <c r="AA1235" s="9"/>
      <c r="AC1235" s="2"/>
    </row>
    <row r="1236" spans="1:29" x14ac:dyDescent="0.3">
      <c r="A1236" s="17"/>
      <c r="G1236" s="1"/>
      <c r="K1236" s="17"/>
      <c r="L1236" s="17"/>
      <c r="M1236" s="9"/>
      <c r="Q1236" s="2"/>
      <c r="R1236" s="9"/>
      <c r="U1236" s="2"/>
      <c r="V1236" s="9"/>
      <c r="Y1236" s="2"/>
      <c r="Z1236" s="2"/>
      <c r="AA1236" s="9"/>
      <c r="AC1236" s="2"/>
    </row>
    <row r="1237" spans="1:29" x14ac:dyDescent="0.3">
      <c r="A1237" s="17"/>
      <c r="G1237" s="1"/>
      <c r="K1237" s="17"/>
      <c r="L1237" s="17"/>
      <c r="M1237" s="9"/>
      <c r="Q1237" s="2"/>
      <c r="R1237" s="9"/>
      <c r="U1237" s="2"/>
      <c r="V1237" s="9"/>
      <c r="Y1237" s="2"/>
      <c r="Z1237" s="2"/>
      <c r="AA1237" s="9"/>
      <c r="AC1237" s="2"/>
    </row>
    <row r="1238" spans="1:29" x14ac:dyDescent="0.3">
      <c r="A1238" s="17"/>
      <c r="G1238" s="1"/>
      <c r="K1238" s="17"/>
      <c r="L1238" s="17"/>
      <c r="M1238" s="9"/>
      <c r="Q1238" s="2"/>
      <c r="R1238" s="9"/>
      <c r="U1238" s="2"/>
      <c r="V1238" s="9"/>
      <c r="Y1238" s="2"/>
      <c r="Z1238" s="2"/>
      <c r="AA1238" s="9"/>
      <c r="AC1238" s="2"/>
    </row>
    <row r="1239" spans="1:29" x14ac:dyDescent="0.3">
      <c r="A1239" s="17"/>
      <c r="G1239" s="1"/>
      <c r="K1239" s="17"/>
      <c r="L1239" s="17"/>
      <c r="M1239" s="9"/>
      <c r="Q1239" s="2"/>
      <c r="R1239" s="9"/>
      <c r="U1239" s="2"/>
      <c r="V1239" s="9"/>
      <c r="Y1239" s="2"/>
      <c r="Z1239" s="2"/>
      <c r="AA1239" s="9"/>
      <c r="AC1239" s="2"/>
    </row>
    <row r="1240" spans="1:29" x14ac:dyDescent="0.3">
      <c r="A1240" s="17"/>
      <c r="G1240" s="1"/>
      <c r="K1240" s="17"/>
      <c r="L1240" s="17"/>
      <c r="M1240" s="9"/>
      <c r="Q1240" s="2"/>
      <c r="R1240" s="9"/>
      <c r="U1240" s="2"/>
      <c r="V1240" s="9"/>
      <c r="Y1240" s="2"/>
      <c r="Z1240" s="2"/>
      <c r="AA1240" s="9"/>
      <c r="AC1240" s="2"/>
    </row>
    <row r="1241" spans="1:29" x14ac:dyDescent="0.3">
      <c r="A1241" s="17"/>
      <c r="G1241" s="1"/>
      <c r="K1241" s="17"/>
      <c r="L1241" s="17"/>
      <c r="M1241" s="9"/>
      <c r="Q1241" s="2"/>
      <c r="R1241" s="9"/>
      <c r="U1241" s="2"/>
      <c r="V1241" s="9"/>
      <c r="Y1241" s="2"/>
      <c r="Z1241" s="2"/>
      <c r="AA1241" s="9"/>
      <c r="AC1241" s="2"/>
    </row>
    <row r="1242" spans="1:29" x14ac:dyDescent="0.3">
      <c r="A1242" s="17"/>
      <c r="G1242" s="1"/>
      <c r="K1242" s="17"/>
      <c r="L1242" s="17"/>
      <c r="M1242" s="9"/>
      <c r="Q1242" s="2"/>
      <c r="R1242" s="9"/>
      <c r="U1242" s="2"/>
      <c r="V1242" s="9"/>
      <c r="Y1242" s="2"/>
      <c r="Z1242" s="2"/>
      <c r="AA1242" s="9"/>
      <c r="AC1242" s="2"/>
    </row>
    <row r="1243" spans="1:29" x14ac:dyDescent="0.3">
      <c r="A1243" s="17"/>
      <c r="G1243" s="1"/>
      <c r="K1243" s="17"/>
      <c r="L1243" s="17"/>
      <c r="M1243" s="9"/>
      <c r="Q1243" s="2"/>
      <c r="R1243" s="9"/>
      <c r="U1243" s="2"/>
      <c r="V1243" s="9"/>
      <c r="Y1243" s="2"/>
      <c r="Z1243" s="2"/>
      <c r="AA1243" s="9"/>
      <c r="AC1243" s="2"/>
    </row>
    <row r="1244" spans="1:29" x14ac:dyDescent="0.3">
      <c r="A1244" s="17"/>
      <c r="G1244" s="1"/>
      <c r="K1244" s="17"/>
      <c r="L1244" s="17"/>
      <c r="M1244" s="9"/>
      <c r="Q1244" s="2"/>
      <c r="R1244" s="9"/>
      <c r="U1244" s="2"/>
      <c r="V1244" s="9"/>
      <c r="Y1244" s="2"/>
      <c r="Z1244" s="2"/>
      <c r="AA1244" s="9"/>
      <c r="AC1244" s="2"/>
    </row>
    <row r="1245" spans="1:29" x14ac:dyDescent="0.3">
      <c r="A1245" s="17"/>
      <c r="G1245" s="1"/>
      <c r="K1245" s="17"/>
      <c r="L1245" s="17"/>
      <c r="M1245" s="9"/>
      <c r="Q1245" s="2"/>
      <c r="R1245" s="9"/>
      <c r="U1245" s="2"/>
      <c r="V1245" s="9"/>
      <c r="Y1245" s="2"/>
      <c r="Z1245" s="2"/>
      <c r="AA1245" s="9"/>
      <c r="AC1245" s="2"/>
    </row>
    <row r="1246" spans="1:29" x14ac:dyDescent="0.3">
      <c r="A1246" s="17"/>
      <c r="G1246" s="1"/>
      <c r="K1246" s="17"/>
      <c r="L1246" s="17"/>
      <c r="M1246" s="9"/>
      <c r="Q1246" s="2"/>
      <c r="R1246" s="9"/>
      <c r="U1246" s="2"/>
      <c r="V1246" s="9"/>
      <c r="Y1246" s="2"/>
      <c r="Z1246" s="2"/>
      <c r="AA1246" s="9"/>
      <c r="AC1246" s="2"/>
    </row>
    <row r="1247" spans="1:29" x14ac:dyDescent="0.3">
      <c r="A1247" s="17"/>
      <c r="G1247" s="1"/>
      <c r="K1247" s="17"/>
      <c r="L1247" s="17"/>
      <c r="M1247" s="9"/>
      <c r="Q1247" s="2"/>
      <c r="R1247" s="9"/>
      <c r="U1247" s="2"/>
      <c r="V1247" s="9"/>
      <c r="Y1247" s="2"/>
      <c r="Z1247" s="2"/>
      <c r="AA1247" s="9"/>
      <c r="AC1247" s="2"/>
    </row>
    <row r="1248" spans="1:29" x14ac:dyDescent="0.3">
      <c r="A1248" s="17"/>
      <c r="G1248" s="1"/>
      <c r="K1248" s="17"/>
      <c r="L1248" s="17"/>
      <c r="M1248" s="9"/>
      <c r="Q1248" s="2"/>
      <c r="R1248" s="9"/>
      <c r="U1248" s="2"/>
      <c r="V1248" s="9"/>
      <c r="Y1248" s="2"/>
      <c r="Z1248" s="2"/>
      <c r="AA1248" s="9"/>
      <c r="AC1248" s="2"/>
    </row>
    <row r="1249" spans="1:29" x14ac:dyDescent="0.3">
      <c r="A1249" s="17"/>
      <c r="G1249" s="1"/>
      <c r="K1249" s="17"/>
      <c r="L1249" s="17"/>
      <c r="M1249" s="9"/>
      <c r="Q1249" s="2"/>
      <c r="R1249" s="9"/>
      <c r="U1249" s="2"/>
      <c r="V1249" s="9"/>
      <c r="Y1249" s="2"/>
      <c r="Z1249" s="2"/>
      <c r="AA1249" s="9"/>
      <c r="AC1249" s="2"/>
    </row>
    <row r="1250" spans="1:29" x14ac:dyDescent="0.3">
      <c r="A1250" s="17"/>
      <c r="G1250" s="1"/>
      <c r="K1250" s="17"/>
      <c r="L1250" s="17"/>
      <c r="M1250" s="9"/>
      <c r="Q1250" s="2"/>
      <c r="R1250" s="9"/>
      <c r="U1250" s="2"/>
      <c r="V1250" s="9"/>
      <c r="Y1250" s="2"/>
      <c r="Z1250" s="2"/>
      <c r="AA1250" s="9"/>
      <c r="AC1250" s="2"/>
    </row>
    <row r="1251" spans="1:29" x14ac:dyDescent="0.3">
      <c r="A1251" s="17"/>
      <c r="G1251" s="1"/>
      <c r="K1251" s="17"/>
      <c r="L1251" s="17"/>
      <c r="M1251" s="9"/>
      <c r="Q1251" s="2"/>
      <c r="R1251" s="9"/>
      <c r="U1251" s="2"/>
      <c r="V1251" s="9"/>
      <c r="Y1251" s="2"/>
      <c r="Z1251" s="2"/>
      <c r="AA1251" s="9"/>
      <c r="AC1251" s="2"/>
    </row>
    <row r="1252" spans="1:29" x14ac:dyDescent="0.3">
      <c r="A1252" s="17"/>
      <c r="G1252" s="1"/>
      <c r="K1252" s="17"/>
      <c r="L1252" s="17"/>
      <c r="M1252" s="9"/>
      <c r="Q1252" s="2"/>
      <c r="R1252" s="9"/>
      <c r="U1252" s="2"/>
      <c r="V1252" s="9"/>
      <c r="Y1252" s="2"/>
      <c r="Z1252" s="2"/>
      <c r="AA1252" s="9"/>
      <c r="AC1252" s="2"/>
    </row>
    <row r="1253" spans="1:29" x14ac:dyDescent="0.3">
      <c r="A1253" s="17"/>
      <c r="G1253" s="1"/>
      <c r="K1253" s="17"/>
      <c r="L1253" s="17"/>
      <c r="M1253" s="9"/>
      <c r="Q1253" s="2"/>
      <c r="R1253" s="9"/>
      <c r="U1253" s="2"/>
      <c r="V1253" s="9"/>
      <c r="Y1253" s="2"/>
      <c r="Z1253" s="2"/>
      <c r="AA1253" s="9"/>
      <c r="AC1253" s="2"/>
    </row>
    <row r="1254" spans="1:29" x14ac:dyDescent="0.3">
      <c r="A1254" s="17"/>
      <c r="G1254" s="1"/>
      <c r="K1254" s="17"/>
      <c r="L1254" s="17"/>
      <c r="M1254" s="9"/>
      <c r="Q1254" s="2"/>
      <c r="R1254" s="9"/>
      <c r="U1254" s="2"/>
      <c r="V1254" s="9"/>
      <c r="Y1254" s="2"/>
      <c r="Z1254" s="2"/>
      <c r="AA1254" s="9"/>
      <c r="AC1254" s="2"/>
    </row>
    <row r="1255" spans="1:29" x14ac:dyDescent="0.3">
      <c r="A1255" s="17"/>
      <c r="G1255" s="1"/>
      <c r="K1255" s="17"/>
      <c r="L1255" s="17"/>
      <c r="M1255" s="9"/>
      <c r="Q1255" s="2"/>
      <c r="R1255" s="9"/>
      <c r="U1255" s="2"/>
      <c r="V1255" s="9"/>
      <c r="Y1255" s="2"/>
      <c r="Z1255" s="2"/>
      <c r="AA1255" s="9"/>
      <c r="AC1255" s="2"/>
    </row>
    <row r="1256" spans="1:29" x14ac:dyDescent="0.3">
      <c r="A1256" s="17"/>
      <c r="G1256" s="1"/>
      <c r="K1256" s="17"/>
      <c r="L1256" s="17"/>
      <c r="M1256" s="9"/>
      <c r="Q1256" s="2"/>
      <c r="R1256" s="9"/>
      <c r="U1256" s="2"/>
      <c r="V1256" s="9"/>
      <c r="Y1256" s="2"/>
      <c r="Z1256" s="2"/>
      <c r="AA1256" s="9"/>
      <c r="AC1256" s="2"/>
    </row>
    <row r="1257" spans="1:29" x14ac:dyDescent="0.3">
      <c r="A1257" s="17"/>
      <c r="G1257" s="1"/>
      <c r="K1257" s="17"/>
      <c r="L1257" s="17"/>
      <c r="M1257" s="9"/>
      <c r="Q1257" s="2"/>
      <c r="R1257" s="9"/>
      <c r="U1257" s="2"/>
      <c r="V1257" s="9"/>
      <c r="Y1257" s="2"/>
      <c r="Z1257" s="2"/>
      <c r="AA1257" s="9"/>
      <c r="AC1257" s="2"/>
    </row>
    <row r="1258" spans="1:29" x14ac:dyDescent="0.3">
      <c r="A1258" s="17"/>
      <c r="G1258" s="1"/>
      <c r="K1258" s="17"/>
      <c r="L1258" s="17"/>
      <c r="M1258" s="9"/>
      <c r="Q1258" s="2"/>
      <c r="R1258" s="9"/>
      <c r="U1258" s="2"/>
      <c r="V1258" s="9"/>
      <c r="Y1258" s="2"/>
      <c r="Z1258" s="2"/>
      <c r="AA1258" s="9"/>
      <c r="AC1258" s="2"/>
    </row>
    <row r="1259" spans="1:29" x14ac:dyDescent="0.3">
      <c r="A1259" s="17"/>
      <c r="G1259" s="1"/>
      <c r="K1259" s="17"/>
      <c r="L1259" s="17"/>
      <c r="M1259" s="9"/>
      <c r="Q1259" s="2"/>
      <c r="R1259" s="9"/>
      <c r="U1259" s="2"/>
      <c r="V1259" s="9"/>
      <c r="Y1259" s="2"/>
      <c r="Z1259" s="2"/>
      <c r="AA1259" s="9"/>
      <c r="AC1259" s="2"/>
    </row>
    <row r="1260" spans="1:29" x14ac:dyDescent="0.3">
      <c r="A1260" s="17"/>
      <c r="G1260" s="1"/>
      <c r="K1260" s="17"/>
      <c r="L1260" s="17"/>
      <c r="M1260" s="9"/>
      <c r="Q1260" s="2"/>
      <c r="R1260" s="9"/>
      <c r="U1260" s="2"/>
      <c r="V1260" s="9"/>
      <c r="Y1260" s="2"/>
      <c r="Z1260" s="2"/>
      <c r="AA1260" s="9"/>
      <c r="AC1260" s="2"/>
    </row>
    <row r="1261" spans="1:29" x14ac:dyDescent="0.3">
      <c r="A1261" s="17"/>
      <c r="G1261" s="1"/>
      <c r="K1261" s="17"/>
      <c r="L1261" s="17"/>
      <c r="M1261" s="9"/>
      <c r="Q1261" s="2"/>
      <c r="R1261" s="9"/>
      <c r="U1261" s="2"/>
      <c r="V1261" s="9"/>
      <c r="Y1261" s="2"/>
      <c r="Z1261" s="2"/>
      <c r="AA1261" s="9"/>
      <c r="AC1261" s="2"/>
    </row>
    <row r="1262" spans="1:29" x14ac:dyDescent="0.3">
      <c r="A1262" s="17"/>
      <c r="G1262" s="1"/>
      <c r="K1262" s="17"/>
      <c r="L1262" s="17"/>
      <c r="M1262" s="9"/>
      <c r="Q1262" s="2"/>
      <c r="R1262" s="9"/>
      <c r="U1262" s="2"/>
      <c r="V1262" s="9"/>
      <c r="Y1262" s="2"/>
      <c r="Z1262" s="2"/>
      <c r="AA1262" s="9"/>
      <c r="AC1262" s="2"/>
    </row>
    <row r="1263" spans="1:29" x14ac:dyDescent="0.3">
      <c r="A1263" s="17"/>
      <c r="G1263" s="1"/>
      <c r="K1263" s="17"/>
      <c r="L1263" s="17"/>
      <c r="M1263" s="9"/>
      <c r="Q1263" s="2"/>
      <c r="R1263" s="9"/>
      <c r="U1263" s="2"/>
      <c r="V1263" s="9"/>
      <c r="Y1263" s="2"/>
      <c r="Z1263" s="2"/>
      <c r="AA1263" s="9"/>
      <c r="AC1263" s="2"/>
    </row>
    <row r="1264" spans="1:29" x14ac:dyDescent="0.3">
      <c r="A1264" s="17"/>
      <c r="G1264" s="1"/>
      <c r="K1264" s="17"/>
      <c r="L1264" s="17"/>
      <c r="M1264" s="9"/>
      <c r="Q1264" s="2"/>
      <c r="R1264" s="9"/>
      <c r="U1264" s="2"/>
      <c r="V1264" s="9"/>
      <c r="Y1264" s="2"/>
      <c r="Z1264" s="2"/>
      <c r="AA1264" s="9"/>
      <c r="AC1264" s="2"/>
    </row>
    <row r="1265" spans="1:29" x14ac:dyDescent="0.3">
      <c r="A1265" s="17"/>
      <c r="G1265" s="1"/>
      <c r="K1265" s="17"/>
      <c r="L1265" s="17"/>
      <c r="M1265" s="9"/>
      <c r="Q1265" s="2"/>
      <c r="R1265" s="9"/>
      <c r="U1265" s="2"/>
      <c r="V1265" s="9"/>
      <c r="Y1265" s="2"/>
      <c r="Z1265" s="2"/>
      <c r="AA1265" s="9"/>
      <c r="AC1265" s="2"/>
    </row>
    <row r="1266" spans="1:29" x14ac:dyDescent="0.3">
      <c r="A1266" s="17"/>
      <c r="G1266" s="1"/>
      <c r="K1266" s="17"/>
      <c r="L1266" s="17"/>
      <c r="M1266" s="9"/>
      <c r="Q1266" s="2"/>
      <c r="R1266" s="9"/>
      <c r="U1266" s="2"/>
      <c r="V1266" s="9"/>
      <c r="Y1266" s="2"/>
      <c r="Z1266" s="2"/>
      <c r="AA1266" s="9"/>
      <c r="AC1266" s="2"/>
    </row>
    <row r="1267" spans="1:29" x14ac:dyDescent="0.3">
      <c r="A1267" s="17"/>
      <c r="G1267" s="1"/>
      <c r="K1267" s="17"/>
      <c r="L1267" s="17"/>
      <c r="M1267" s="9"/>
      <c r="Q1267" s="2"/>
      <c r="R1267" s="9"/>
      <c r="U1267" s="2"/>
      <c r="V1267" s="9"/>
      <c r="Y1267" s="2"/>
      <c r="Z1267" s="2"/>
      <c r="AA1267" s="9"/>
      <c r="AC1267" s="2"/>
    </row>
    <row r="1268" spans="1:29" x14ac:dyDescent="0.3">
      <c r="A1268" s="17"/>
      <c r="G1268" s="1"/>
      <c r="K1268" s="17"/>
      <c r="L1268" s="17"/>
      <c r="M1268" s="9"/>
      <c r="Q1268" s="2"/>
      <c r="R1268" s="9"/>
      <c r="U1268" s="2"/>
      <c r="V1268" s="9"/>
      <c r="Y1268" s="2"/>
      <c r="Z1268" s="2"/>
      <c r="AA1268" s="9"/>
      <c r="AC1268" s="2"/>
    </row>
    <row r="1269" spans="1:29" x14ac:dyDescent="0.3">
      <c r="A1269" s="17"/>
      <c r="G1269" s="1"/>
      <c r="K1269" s="17"/>
      <c r="L1269" s="17"/>
      <c r="M1269" s="9"/>
      <c r="Q1269" s="2"/>
      <c r="R1269" s="9"/>
      <c r="U1269" s="2"/>
      <c r="V1269" s="9"/>
      <c r="Y1269" s="2"/>
      <c r="Z1269" s="2"/>
      <c r="AA1269" s="9"/>
      <c r="AC1269" s="2"/>
    </row>
    <row r="1270" spans="1:29" x14ac:dyDescent="0.3">
      <c r="A1270" s="17"/>
      <c r="G1270" s="1"/>
      <c r="K1270" s="17"/>
      <c r="L1270" s="17"/>
      <c r="M1270" s="9"/>
      <c r="Q1270" s="2"/>
      <c r="R1270" s="9"/>
      <c r="U1270" s="2"/>
      <c r="V1270" s="9"/>
      <c r="Y1270" s="2"/>
      <c r="Z1270" s="2"/>
      <c r="AA1270" s="9"/>
      <c r="AC1270" s="2"/>
    </row>
    <row r="1271" spans="1:29" x14ac:dyDescent="0.3">
      <c r="A1271" s="17"/>
      <c r="G1271" s="1"/>
      <c r="K1271" s="17"/>
      <c r="L1271" s="17"/>
      <c r="M1271" s="9"/>
      <c r="Q1271" s="2"/>
      <c r="R1271" s="9"/>
      <c r="U1271" s="2"/>
      <c r="V1271" s="9"/>
      <c r="Y1271" s="2"/>
      <c r="Z1271" s="2"/>
      <c r="AA1271" s="9"/>
      <c r="AC1271" s="2"/>
    </row>
    <row r="1272" spans="1:29" x14ac:dyDescent="0.3">
      <c r="A1272" s="17"/>
      <c r="G1272" s="1"/>
      <c r="K1272" s="17"/>
      <c r="L1272" s="17"/>
      <c r="M1272" s="9"/>
      <c r="Q1272" s="2"/>
      <c r="R1272" s="9"/>
      <c r="U1272" s="2"/>
      <c r="V1272" s="9"/>
      <c r="Y1272" s="2"/>
      <c r="Z1272" s="2"/>
      <c r="AA1272" s="9"/>
      <c r="AC1272" s="2"/>
    </row>
    <row r="1273" spans="1:29" x14ac:dyDescent="0.3">
      <c r="A1273" s="17"/>
      <c r="G1273" s="1"/>
      <c r="K1273" s="17"/>
      <c r="L1273" s="17"/>
      <c r="M1273" s="9"/>
      <c r="Q1273" s="2"/>
      <c r="R1273" s="9"/>
      <c r="U1273" s="2"/>
      <c r="V1273" s="9"/>
      <c r="Y1273" s="2"/>
      <c r="Z1273" s="2"/>
      <c r="AA1273" s="9"/>
      <c r="AC1273" s="2"/>
    </row>
    <row r="1274" spans="1:29" x14ac:dyDescent="0.3">
      <c r="A1274" s="17"/>
      <c r="G1274" s="1"/>
      <c r="K1274" s="17"/>
      <c r="L1274" s="17"/>
      <c r="M1274" s="9"/>
      <c r="Q1274" s="2"/>
      <c r="R1274" s="9"/>
      <c r="U1274" s="2"/>
      <c r="V1274" s="9"/>
      <c r="Y1274" s="2"/>
      <c r="Z1274" s="2"/>
      <c r="AA1274" s="9"/>
      <c r="AC1274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56345-BDEE-489A-8E59-17A7B9B72614}">
  <dimension ref="A1:U129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.109375" customWidth="1"/>
    <col min="2" max="2" width="33.33203125" customWidth="1"/>
    <col min="3" max="3" width="12" customWidth="1"/>
    <col min="4" max="4" width="24.109375" customWidth="1"/>
    <col min="5" max="5" width="19.44140625" customWidth="1"/>
    <col min="6" max="6" width="16.6640625" customWidth="1"/>
    <col min="7" max="7" width="40.77734375" customWidth="1"/>
    <col min="8" max="9" width="21.33203125" customWidth="1"/>
    <col min="10" max="10" width="15.77734375" customWidth="1"/>
    <col min="11" max="11" width="18.5546875" customWidth="1"/>
    <col min="12" max="12" width="20.33203125" customWidth="1"/>
    <col min="13" max="13" width="13.88671875" customWidth="1"/>
    <col min="14" max="14" width="16.6640625" customWidth="1"/>
    <col min="15" max="15" width="17.5546875" customWidth="1"/>
    <col min="20" max="21" width="16.6640625" customWidth="1"/>
  </cols>
  <sheetData>
    <row r="1" spans="1:21" ht="22.05" customHeight="1" x14ac:dyDescent="0.3">
      <c r="A1" s="14" t="s">
        <v>429</v>
      </c>
      <c r="B1" s="14" t="s">
        <v>421</v>
      </c>
      <c r="C1" s="14" t="s">
        <v>401</v>
      </c>
      <c r="D1" s="14" t="s">
        <v>399</v>
      </c>
      <c r="E1" s="14" t="s">
        <v>404</v>
      </c>
      <c r="F1" s="14" t="s">
        <v>405</v>
      </c>
      <c r="G1" s="14" t="s">
        <v>407</v>
      </c>
      <c r="H1" s="14" t="s">
        <v>408</v>
      </c>
      <c r="I1" s="14" t="s">
        <v>409</v>
      </c>
      <c r="J1" s="14" t="s">
        <v>402</v>
      </c>
      <c r="K1" s="14" t="s">
        <v>410</v>
      </c>
      <c r="L1" s="14" t="s">
        <v>416</v>
      </c>
      <c r="M1" s="14" t="s">
        <v>406</v>
      </c>
      <c r="N1" s="14" t="s">
        <v>418</v>
      </c>
      <c r="O1" s="14" t="s">
        <v>419</v>
      </c>
      <c r="P1" s="14" t="s">
        <v>420</v>
      </c>
      <c r="Q1" s="14" t="s">
        <v>412</v>
      </c>
      <c r="R1" s="14" t="s">
        <v>413</v>
      </c>
      <c r="S1" s="14" t="s">
        <v>425</v>
      </c>
      <c r="T1" s="14" t="s">
        <v>426</v>
      </c>
      <c r="U1" s="14" t="s">
        <v>423</v>
      </c>
    </row>
    <row r="2" spans="1:21" x14ac:dyDescent="0.3">
      <c r="A2">
        <v>269308</v>
      </c>
      <c r="B2" t="s">
        <v>6</v>
      </c>
      <c r="C2" t="s">
        <v>118</v>
      </c>
      <c r="D2" t="s">
        <v>31</v>
      </c>
      <c r="E2" s="1" t="s">
        <v>697</v>
      </c>
      <c r="F2">
        <v>25041264</v>
      </c>
      <c r="G2" t="s">
        <v>632</v>
      </c>
      <c r="H2" s="17">
        <v>4903852000140</v>
      </c>
      <c r="I2" s="17"/>
      <c r="J2" t="s">
        <v>2</v>
      </c>
      <c r="K2" s="9" t="s">
        <v>716</v>
      </c>
      <c r="L2" t="s">
        <v>5</v>
      </c>
      <c r="N2" s="2"/>
      <c r="O2" s="9"/>
      <c r="Q2">
        <v>24567446</v>
      </c>
      <c r="R2">
        <v>267384</v>
      </c>
      <c r="T2" s="2"/>
      <c r="U2" s="2" t="s">
        <v>718</v>
      </c>
    </row>
    <row r="3" spans="1:21" x14ac:dyDescent="0.3">
      <c r="A3">
        <v>269308</v>
      </c>
      <c r="B3" t="s">
        <v>6</v>
      </c>
      <c r="C3" t="s">
        <v>387</v>
      </c>
      <c r="D3" t="s">
        <v>58</v>
      </c>
      <c r="E3" s="1" t="s">
        <v>699</v>
      </c>
      <c r="F3">
        <v>25041210</v>
      </c>
      <c r="G3" t="s">
        <v>480</v>
      </c>
      <c r="H3" s="17">
        <v>7473735019877</v>
      </c>
      <c r="I3" s="17"/>
      <c r="J3" t="s">
        <v>2</v>
      </c>
      <c r="K3" s="9" t="s">
        <v>719</v>
      </c>
      <c r="L3" t="s">
        <v>5</v>
      </c>
      <c r="N3" s="2"/>
      <c r="O3" s="9"/>
      <c r="Q3">
        <v>24375893</v>
      </c>
      <c r="R3">
        <v>267384</v>
      </c>
      <c r="T3" s="2"/>
      <c r="U3" s="2" t="s">
        <v>718</v>
      </c>
    </row>
    <row r="4" spans="1:21" x14ac:dyDescent="0.3">
      <c r="A4">
        <v>269308</v>
      </c>
      <c r="B4" t="s">
        <v>6</v>
      </c>
      <c r="C4" t="s">
        <v>644</v>
      </c>
      <c r="D4" t="s">
        <v>65</v>
      </c>
      <c r="E4" s="1" t="s">
        <v>645</v>
      </c>
      <c r="F4">
        <v>25030298</v>
      </c>
      <c r="G4" t="s">
        <v>646</v>
      </c>
      <c r="H4" s="17">
        <v>7473735009308</v>
      </c>
      <c r="I4" s="17"/>
      <c r="J4" t="s">
        <v>2</v>
      </c>
      <c r="K4" s="9" t="s">
        <v>720</v>
      </c>
      <c r="L4" t="s">
        <v>5</v>
      </c>
      <c r="N4" s="2"/>
      <c r="O4" s="9"/>
      <c r="Q4">
        <v>24502758</v>
      </c>
      <c r="R4">
        <v>267384</v>
      </c>
      <c r="T4" s="2"/>
      <c r="U4" s="2" t="s">
        <v>718</v>
      </c>
    </row>
    <row r="5" spans="1:21" x14ac:dyDescent="0.3">
      <c r="A5">
        <v>269308</v>
      </c>
      <c r="B5" t="s">
        <v>6</v>
      </c>
      <c r="C5" t="s">
        <v>12</v>
      </c>
      <c r="D5" t="s">
        <v>11</v>
      </c>
      <c r="E5" s="1" t="s">
        <v>721</v>
      </c>
      <c r="F5">
        <v>24861044</v>
      </c>
      <c r="G5" t="s">
        <v>678</v>
      </c>
      <c r="H5" s="17">
        <v>2651099000117</v>
      </c>
      <c r="I5" s="17"/>
      <c r="J5" t="s">
        <v>2</v>
      </c>
      <c r="K5" s="9" t="s">
        <v>722</v>
      </c>
      <c r="L5" t="s">
        <v>5</v>
      </c>
      <c r="N5" s="2"/>
      <c r="O5" s="9"/>
      <c r="Q5">
        <v>24860705</v>
      </c>
      <c r="R5">
        <v>269308</v>
      </c>
      <c r="T5" s="2"/>
      <c r="U5" s="2" t="s">
        <v>718</v>
      </c>
    </row>
    <row r="6" spans="1:21" x14ac:dyDescent="0.3">
      <c r="A6">
        <v>269308</v>
      </c>
      <c r="B6" t="s">
        <v>6</v>
      </c>
      <c r="C6" t="s">
        <v>91</v>
      </c>
      <c r="D6" t="s">
        <v>28</v>
      </c>
      <c r="E6" s="1" t="s">
        <v>705</v>
      </c>
      <c r="F6">
        <v>25027473</v>
      </c>
      <c r="G6" t="s">
        <v>254</v>
      </c>
      <c r="H6" s="17">
        <v>13759928000104</v>
      </c>
      <c r="I6" s="17"/>
      <c r="J6" t="s">
        <v>2</v>
      </c>
      <c r="K6" s="9" t="s">
        <v>723</v>
      </c>
      <c r="L6" t="s">
        <v>5</v>
      </c>
      <c r="N6" s="2"/>
      <c r="O6" s="9"/>
      <c r="Q6">
        <v>24661956</v>
      </c>
      <c r="R6">
        <v>267384</v>
      </c>
      <c r="T6" s="2"/>
      <c r="U6" s="2" t="s">
        <v>718</v>
      </c>
    </row>
    <row r="7" spans="1:21" x14ac:dyDescent="0.3">
      <c r="A7">
        <v>269308</v>
      </c>
      <c r="B7" t="s">
        <v>6</v>
      </c>
      <c r="C7" t="s">
        <v>91</v>
      </c>
      <c r="D7" t="s">
        <v>28</v>
      </c>
      <c r="E7" s="1" t="s">
        <v>707</v>
      </c>
      <c r="F7">
        <v>25029954</v>
      </c>
      <c r="G7" t="s">
        <v>254</v>
      </c>
      <c r="H7" s="17">
        <v>13759928000104</v>
      </c>
      <c r="I7" s="17"/>
      <c r="J7" t="s">
        <v>2</v>
      </c>
      <c r="K7" s="9" t="s">
        <v>724</v>
      </c>
      <c r="L7" t="s">
        <v>5</v>
      </c>
      <c r="N7" s="2"/>
      <c r="O7" s="9"/>
      <c r="Q7">
        <v>24469630</v>
      </c>
      <c r="R7">
        <v>267384</v>
      </c>
      <c r="T7" s="2"/>
      <c r="U7" s="2" t="s">
        <v>718</v>
      </c>
    </row>
    <row r="8" spans="1:21" x14ac:dyDescent="0.3">
      <c r="A8">
        <v>269308</v>
      </c>
      <c r="B8" t="s">
        <v>46</v>
      </c>
      <c r="C8" t="s">
        <v>605</v>
      </c>
      <c r="D8" t="s">
        <v>126</v>
      </c>
      <c r="E8" s="1" t="s">
        <v>725</v>
      </c>
      <c r="F8">
        <v>25063040</v>
      </c>
      <c r="G8" t="s">
        <v>127</v>
      </c>
      <c r="H8" s="17">
        <v>76493295000147</v>
      </c>
      <c r="I8" s="17">
        <v>9576274000106</v>
      </c>
      <c r="J8" t="s">
        <v>2</v>
      </c>
      <c r="K8" s="9" t="s">
        <v>726</v>
      </c>
      <c r="L8" t="s">
        <v>44</v>
      </c>
      <c r="M8">
        <v>29106</v>
      </c>
      <c r="N8" s="2" t="s">
        <v>583</v>
      </c>
      <c r="O8" s="9" t="s">
        <v>726</v>
      </c>
      <c r="P8" t="s">
        <v>727</v>
      </c>
      <c r="T8" s="2"/>
      <c r="U8" s="2" t="s">
        <v>718</v>
      </c>
    </row>
    <row r="9" spans="1:21" x14ac:dyDescent="0.3">
      <c r="A9">
        <v>269308</v>
      </c>
      <c r="B9" t="s">
        <v>46</v>
      </c>
      <c r="C9" t="s">
        <v>203</v>
      </c>
      <c r="D9" t="s">
        <v>11</v>
      </c>
      <c r="E9" s="1" t="s">
        <v>728</v>
      </c>
      <c r="F9">
        <v>25062781</v>
      </c>
      <c r="G9" t="s">
        <v>310</v>
      </c>
      <c r="H9" s="17">
        <v>42733072000198</v>
      </c>
      <c r="I9" s="17">
        <v>90739624000380</v>
      </c>
      <c r="J9" t="s">
        <v>2</v>
      </c>
      <c r="K9" s="9" t="s">
        <v>689</v>
      </c>
      <c r="L9" t="s">
        <v>44</v>
      </c>
      <c r="M9">
        <v>5325</v>
      </c>
      <c r="N9" s="2" t="s">
        <v>602</v>
      </c>
      <c r="O9" s="9" t="s">
        <v>689</v>
      </c>
      <c r="P9" t="s">
        <v>729</v>
      </c>
      <c r="T9" s="2"/>
      <c r="U9" s="2" t="s">
        <v>718</v>
      </c>
    </row>
    <row r="10" spans="1:21" x14ac:dyDescent="0.3">
      <c r="A10">
        <v>269308</v>
      </c>
      <c r="B10" t="s">
        <v>46</v>
      </c>
      <c r="C10" t="s">
        <v>208</v>
      </c>
      <c r="D10" t="s">
        <v>28</v>
      </c>
      <c r="E10" s="1" t="s">
        <v>730</v>
      </c>
      <c r="F10">
        <v>25062357</v>
      </c>
      <c r="G10" t="s">
        <v>209</v>
      </c>
      <c r="H10" s="17">
        <v>33360405000190</v>
      </c>
      <c r="I10" s="17">
        <v>90739624001947</v>
      </c>
      <c r="J10" t="s">
        <v>2</v>
      </c>
      <c r="K10" s="9" t="s">
        <v>636</v>
      </c>
      <c r="L10" t="s">
        <v>44</v>
      </c>
      <c r="M10">
        <v>38315</v>
      </c>
      <c r="N10" s="2" t="s">
        <v>583</v>
      </c>
      <c r="O10" s="9" t="s">
        <v>636</v>
      </c>
      <c r="P10" t="s">
        <v>731</v>
      </c>
      <c r="T10" s="2"/>
      <c r="U10" s="2" t="s">
        <v>718</v>
      </c>
    </row>
    <row r="11" spans="1:21" x14ac:dyDescent="0.3">
      <c r="A11">
        <v>269308</v>
      </c>
      <c r="B11" t="s">
        <v>46</v>
      </c>
      <c r="C11" t="s">
        <v>168</v>
      </c>
      <c r="D11" t="s">
        <v>18</v>
      </c>
      <c r="E11" s="1" t="s">
        <v>732</v>
      </c>
      <c r="F11">
        <v>25061999</v>
      </c>
      <c r="G11" t="s">
        <v>210</v>
      </c>
      <c r="H11" s="17">
        <v>55973291000196</v>
      </c>
      <c r="I11" s="17">
        <v>90739624000380</v>
      </c>
      <c r="J11" t="s">
        <v>2</v>
      </c>
      <c r="K11" s="9" t="s">
        <v>733</v>
      </c>
      <c r="L11" t="s">
        <v>44</v>
      </c>
      <c r="M11">
        <v>1052949</v>
      </c>
      <c r="N11" s="2" t="s">
        <v>583</v>
      </c>
      <c r="O11" s="9" t="s">
        <v>733</v>
      </c>
      <c r="P11" t="s">
        <v>734</v>
      </c>
      <c r="T11" s="2"/>
      <c r="U11" s="2" t="s">
        <v>718</v>
      </c>
    </row>
    <row r="12" spans="1:21" x14ac:dyDescent="0.3">
      <c r="A12">
        <v>269308</v>
      </c>
      <c r="B12" t="s">
        <v>46</v>
      </c>
      <c r="C12" t="s">
        <v>522</v>
      </c>
      <c r="D12" t="s">
        <v>61</v>
      </c>
      <c r="E12" s="1" t="s">
        <v>735</v>
      </c>
      <c r="F12">
        <v>25061890</v>
      </c>
      <c r="G12" t="s">
        <v>62</v>
      </c>
      <c r="H12" s="17">
        <v>79964177000591</v>
      </c>
      <c r="I12" s="17">
        <v>9576274000106</v>
      </c>
      <c r="J12" t="s">
        <v>2</v>
      </c>
      <c r="K12" s="9" t="s">
        <v>736</v>
      </c>
      <c r="L12" t="s">
        <v>44</v>
      </c>
      <c r="M12">
        <v>820855</v>
      </c>
      <c r="N12" s="2" t="s">
        <v>583</v>
      </c>
      <c r="O12" s="9" t="s">
        <v>736</v>
      </c>
      <c r="P12" t="s">
        <v>737</v>
      </c>
      <c r="T12" s="2"/>
      <c r="U12" s="2" t="s">
        <v>718</v>
      </c>
    </row>
    <row r="13" spans="1:21" x14ac:dyDescent="0.3">
      <c r="A13">
        <v>269308</v>
      </c>
      <c r="B13" t="s">
        <v>46</v>
      </c>
      <c r="C13" t="s">
        <v>543</v>
      </c>
      <c r="D13" t="s">
        <v>174</v>
      </c>
      <c r="E13" s="1" t="s">
        <v>738</v>
      </c>
      <c r="F13">
        <v>25061863</v>
      </c>
      <c r="G13" t="s">
        <v>209</v>
      </c>
      <c r="H13" s="17">
        <v>33360405000190</v>
      </c>
      <c r="I13" s="17">
        <v>90739624001947</v>
      </c>
      <c r="J13" t="s">
        <v>2</v>
      </c>
      <c r="K13" s="9" t="s">
        <v>701</v>
      </c>
      <c r="L13" t="s">
        <v>44</v>
      </c>
      <c r="M13">
        <v>38314</v>
      </c>
      <c r="N13" s="2" t="s">
        <v>583</v>
      </c>
      <c r="O13" s="9" t="s">
        <v>701</v>
      </c>
      <c r="P13" t="s">
        <v>739</v>
      </c>
      <c r="T13" s="2"/>
      <c r="U13" s="2" t="s">
        <v>718</v>
      </c>
    </row>
    <row r="14" spans="1:21" x14ac:dyDescent="0.3">
      <c r="A14">
        <v>269308</v>
      </c>
      <c r="B14" t="s">
        <v>46</v>
      </c>
      <c r="C14" t="s">
        <v>163</v>
      </c>
      <c r="D14" t="s">
        <v>61</v>
      </c>
      <c r="E14" s="1" t="s">
        <v>740</v>
      </c>
      <c r="F14">
        <v>25061415</v>
      </c>
      <c r="G14" t="s">
        <v>62</v>
      </c>
      <c r="H14" s="17">
        <v>79964177000591</v>
      </c>
      <c r="I14" s="17">
        <v>9576274000106</v>
      </c>
      <c r="J14" t="s">
        <v>2</v>
      </c>
      <c r="K14" s="9" t="s">
        <v>741</v>
      </c>
      <c r="L14" t="s">
        <v>44</v>
      </c>
      <c r="M14">
        <v>820852</v>
      </c>
      <c r="N14" s="2" t="s">
        <v>583</v>
      </c>
      <c r="O14" s="9" t="s">
        <v>741</v>
      </c>
      <c r="P14" t="s">
        <v>742</v>
      </c>
      <c r="T14" s="2"/>
      <c r="U14" s="2" t="s">
        <v>718</v>
      </c>
    </row>
    <row r="15" spans="1:21" x14ac:dyDescent="0.3">
      <c r="A15">
        <v>269308</v>
      </c>
      <c r="B15" t="s">
        <v>46</v>
      </c>
      <c r="C15" t="s">
        <v>743</v>
      </c>
      <c r="D15" t="s">
        <v>63</v>
      </c>
      <c r="E15" s="1" t="s">
        <v>744</v>
      </c>
      <c r="F15">
        <v>25061399</v>
      </c>
      <c r="G15" t="s">
        <v>482</v>
      </c>
      <c r="H15" s="17">
        <v>93489243007471</v>
      </c>
      <c r="I15" s="17">
        <v>90739624002323</v>
      </c>
      <c r="J15" t="s">
        <v>2</v>
      </c>
      <c r="K15" s="9" t="s">
        <v>745</v>
      </c>
      <c r="L15" t="s">
        <v>44</v>
      </c>
      <c r="M15">
        <v>4439</v>
      </c>
      <c r="N15" s="2" t="s">
        <v>583</v>
      </c>
      <c r="O15" s="9" t="s">
        <v>745</v>
      </c>
      <c r="P15" t="s">
        <v>746</v>
      </c>
      <c r="T15" s="2"/>
      <c r="U15" s="2" t="s">
        <v>718</v>
      </c>
    </row>
    <row r="16" spans="1:21" x14ac:dyDescent="0.3">
      <c r="A16">
        <v>269308</v>
      </c>
      <c r="B16" t="s">
        <v>46</v>
      </c>
      <c r="C16" t="s">
        <v>214</v>
      </c>
      <c r="D16" t="s">
        <v>28</v>
      </c>
      <c r="E16" s="1" t="s">
        <v>747</v>
      </c>
      <c r="F16">
        <v>25056047</v>
      </c>
      <c r="G16" t="s">
        <v>48</v>
      </c>
      <c r="H16" s="17">
        <v>1272434001002</v>
      </c>
      <c r="I16" s="17">
        <v>90739624001947</v>
      </c>
      <c r="J16" t="s">
        <v>2</v>
      </c>
      <c r="K16" s="9" t="s">
        <v>655</v>
      </c>
      <c r="L16" t="s">
        <v>44</v>
      </c>
      <c r="M16">
        <v>81440</v>
      </c>
      <c r="N16" s="2" t="s">
        <v>583</v>
      </c>
      <c r="O16" s="9" t="s">
        <v>655</v>
      </c>
      <c r="P16" t="s">
        <v>748</v>
      </c>
      <c r="T16" s="2"/>
      <c r="U16" s="2" t="s">
        <v>718</v>
      </c>
    </row>
    <row r="17" spans="1:21" x14ac:dyDescent="0.3">
      <c r="A17">
        <v>269308</v>
      </c>
      <c r="B17" t="s">
        <v>46</v>
      </c>
      <c r="C17" t="s">
        <v>39</v>
      </c>
      <c r="D17" t="s">
        <v>18</v>
      </c>
      <c r="E17" s="1" t="s">
        <v>749</v>
      </c>
      <c r="F17">
        <v>25055879</v>
      </c>
      <c r="G17" t="s">
        <v>202</v>
      </c>
      <c r="H17" s="17">
        <v>5065447000162</v>
      </c>
      <c r="I17" s="17">
        <v>90739624000380</v>
      </c>
      <c r="J17" t="s">
        <v>2</v>
      </c>
      <c r="K17" s="9" t="s">
        <v>750</v>
      </c>
      <c r="L17" t="s">
        <v>44</v>
      </c>
      <c r="M17">
        <v>374251</v>
      </c>
      <c r="N17" s="2" t="s">
        <v>583</v>
      </c>
      <c r="O17" s="9" t="s">
        <v>750</v>
      </c>
      <c r="P17" t="s">
        <v>751</v>
      </c>
      <c r="T17" s="2"/>
      <c r="U17" s="2" t="s">
        <v>718</v>
      </c>
    </row>
    <row r="18" spans="1:21" x14ac:dyDescent="0.3">
      <c r="A18">
        <v>269308</v>
      </c>
      <c r="B18" t="s">
        <v>46</v>
      </c>
      <c r="C18" t="s">
        <v>188</v>
      </c>
      <c r="D18" t="s">
        <v>100</v>
      </c>
      <c r="E18" s="1" t="s">
        <v>752</v>
      </c>
      <c r="F18">
        <v>25055759</v>
      </c>
      <c r="G18" t="s">
        <v>189</v>
      </c>
      <c r="H18" s="17">
        <v>50128357000551</v>
      </c>
      <c r="I18" s="17">
        <v>90739624001866</v>
      </c>
      <c r="J18" t="s">
        <v>2</v>
      </c>
      <c r="K18" s="9" t="s">
        <v>753</v>
      </c>
      <c r="L18" t="s">
        <v>44</v>
      </c>
      <c r="M18">
        <v>10286</v>
      </c>
      <c r="N18" s="2" t="s">
        <v>583</v>
      </c>
      <c r="O18" s="9" t="s">
        <v>754</v>
      </c>
      <c r="P18" t="s">
        <v>755</v>
      </c>
      <c r="T18" s="2"/>
      <c r="U18" s="2" t="s">
        <v>718</v>
      </c>
    </row>
    <row r="19" spans="1:21" x14ac:dyDescent="0.3">
      <c r="A19">
        <v>269308</v>
      </c>
      <c r="B19" t="s">
        <v>46</v>
      </c>
      <c r="C19" t="s">
        <v>481</v>
      </c>
      <c r="D19" t="s">
        <v>58</v>
      </c>
      <c r="E19" s="1" t="s">
        <v>756</v>
      </c>
      <c r="F19">
        <v>25055716</v>
      </c>
      <c r="G19" t="s">
        <v>480</v>
      </c>
      <c r="H19" s="17">
        <v>7473735019877</v>
      </c>
      <c r="I19" s="17">
        <v>90739624002323</v>
      </c>
      <c r="J19" t="s">
        <v>2</v>
      </c>
      <c r="K19" s="9" t="s">
        <v>757</v>
      </c>
      <c r="L19" t="s">
        <v>44</v>
      </c>
      <c r="M19">
        <v>58070</v>
      </c>
      <c r="N19" s="2" t="s">
        <v>583</v>
      </c>
      <c r="O19" s="9" t="s">
        <v>757</v>
      </c>
      <c r="P19" t="s">
        <v>758</v>
      </c>
      <c r="T19" s="2"/>
      <c r="U19" s="2" t="s">
        <v>718</v>
      </c>
    </row>
    <row r="20" spans="1:21" x14ac:dyDescent="0.3">
      <c r="A20">
        <v>269308</v>
      </c>
      <c r="B20" t="s">
        <v>46</v>
      </c>
      <c r="C20" t="s">
        <v>521</v>
      </c>
      <c r="D20" t="s">
        <v>61</v>
      </c>
      <c r="E20" s="1" t="s">
        <v>759</v>
      </c>
      <c r="F20">
        <v>25055585</v>
      </c>
      <c r="G20" t="s">
        <v>127</v>
      </c>
      <c r="H20" s="17">
        <v>76493295000147</v>
      </c>
      <c r="I20" s="17">
        <v>9576274000106</v>
      </c>
      <c r="J20" t="s">
        <v>2</v>
      </c>
      <c r="K20" s="9" t="s">
        <v>760</v>
      </c>
      <c r="L20" t="s">
        <v>44</v>
      </c>
      <c r="M20">
        <v>29103</v>
      </c>
      <c r="N20" s="2" t="s">
        <v>583</v>
      </c>
      <c r="O20" s="9" t="s">
        <v>760</v>
      </c>
      <c r="P20" t="s">
        <v>761</v>
      </c>
      <c r="T20" s="2"/>
      <c r="U20" s="2" t="s">
        <v>718</v>
      </c>
    </row>
    <row r="21" spans="1:21" x14ac:dyDescent="0.3">
      <c r="A21">
        <v>269308</v>
      </c>
      <c r="B21" t="s">
        <v>46</v>
      </c>
      <c r="C21" t="s">
        <v>205</v>
      </c>
      <c r="D21" t="s">
        <v>28</v>
      </c>
      <c r="E21" s="1" t="s">
        <v>762</v>
      </c>
      <c r="F21">
        <v>25055573</v>
      </c>
      <c r="G21" t="s">
        <v>683</v>
      </c>
      <c r="H21" s="17">
        <v>1272434000618</v>
      </c>
      <c r="I21" s="17">
        <v>90739624001947</v>
      </c>
      <c r="J21" t="s">
        <v>17</v>
      </c>
      <c r="K21" s="9" t="s">
        <v>763</v>
      </c>
      <c r="L21" t="s">
        <v>44</v>
      </c>
      <c r="M21">
        <v>90596</v>
      </c>
      <c r="N21" s="2" t="s">
        <v>583</v>
      </c>
      <c r="O21" s="9" t="s">
        <v>763</v>
      </c>
      <c r="P21" t="s">
        <v>764</v>
      </c>
      <c r="T21" s="2"/>
      <c r="U21" s="2" t="s">
        <v>718</v>
      </c>
    </row>
    <row r="22" spans="1:21" x14ac:dyDescent="0.3">
      <c r="A22">
        <v>269308</v>
      </c>
      <c r="B22" t="s">
        <v>46</v>
      </c>
      <c r="C22" t="s">
        <v>86</v>
      </c>
      <c r="D22" t="s">
        <v>49</v>
      </c>
      <c r="E22" s="1" t="s">
        <v>765</v>
      </c>
      <c r="F22">
        <v>25055555</v>
      </c>
      <c r="G22" t="s">
        <v>51</v>
      </c>
      <c r="H22" s="17">
        <v>2763612000161</v>
      </c>
      <c r="I22" s="17">
        <v>90739624003133</v>
      </c>
      <c r="J22" t="s">
        <v>2</v>
      </c>
      <c r="K22" s="9" t="s">
        <v>766</v>
      </c>
      <c r="L22" t="s">
        <v>44</v>
      </c>
      <c r="M22">
        <v>163227</v>
      </c>
      <c r="N22" s="2" t="s">
        <v>583</v>
      </c>
      <c r="O22" s="9" t="s">
        <v>766</v>
      </c>
      <c r="P22" t="s">
        <v>767</v>
      </c>
      <c r="T22" s="2"/>
      <c r="U22" s="2" t="s">
        <v>718</v>
      </c>
    </row>
    <row r="23" spans="1:21" x14ac:dyDescent="0.3">
      <c r="A23">
        <v>269308</v>
      </c>
      <c r="B23" t="s">
        <v>46</v>
      </c>
      <c r="C23" t="s">
        <v>222</v>
      </c>
      <c r="D23" t="s">
        <v>174</v>
      </c>
      <c r="E23" s="1" t="s">
        <v>768</v>
      </c>
      <c r="F23">
        <v>25055420</v>
      </c>
      <c r="G23" t="s">
        <v>176</v>
      </c>
      <c r="H23" s="17">
        <v>4219621000111</v>
      </c>
      <c r="I23" s="17">
        <v>90739624000118</v>
      </c>
      <c r="J23" t="s">
        <v>2</v>
      </c>
      <c r="K23" s="9" t="s">
        <v>769</v>
      </c>
      <c r="L23" t="s">
        <v>44</v>
      </c>
      <c r="M23">
        <v>99280</v>
      </c>
      <c r="N23" s="2" t="s">
        <v>602</v>
      </c>
      <c r="O23" s="9" t="s">
        <v>769</v>
      </c>
      <c r="P23" t="s">
        <v>770</v>
      </c>
      <c r="T23" s="2"/>
      <c r="U23" s="2" t="s">
        <v>718</v>
      </c>
    </row>
    <row r="24" spans="1:21" x14ac:dyDescent="0.3">
      <c r="A24">
        <v>269308</v>
      </c>
      <c r="B24" t="s">
        <v>46</v>
      </c>
      <c r="C24" t="s">
        <v>771</v>
      </c>
      <c r="D24" t="s">
        <v>40</v>
      </c>
      <c r="E24" s="1" t="s">
        <v>772</v>
      </c>
      <c r="F24">
        <v>25055367</v>
      </c>
      <c r="G24" t="s">
        <v>42</v>
      </c>
      <c r="H24" s="17">
        <v>82156977000248</v>
      </c>
      <c r="I24" s="17">
        <v>90739624001432</v>
      </c>
      <c r="J24" t="s">
        <v>2</v>
      </c>
      <c r="K24" s="9" t="s">
        <v>773</v>
      </c>
      <c r="L24" t="s">
        <v>44</v>
      </c>
      <c r="M24">
        <v>168726</v>
      </c>
      <c r="N24" s="2" t="s">
        <v>583</v>
      </c>
      <c r="O24" s="9" t="s">
        <v>773</v>
      </c>
      <c r="P24" t="s">
        <v>774</v>
      </c>
      <c r="T24" s="2"/>
      <c r="U24" s="2" t="s">
        <v>718</v>
      </c>
    </row>
    <row r="25" spans="1:21" x14ac:dyDescent="0.3">
      <c r="A25">
        <v>269308</v>
      </c>
      <c r="B25" t="s">
        <v>46</v>
      </c>
      <c r="C25" t="s">
        <v>118</v>
      </c>
      <c r="D25" t="s">
        <v>31</v>
      </c>
      <c r="E25" s="1" t="s">
        <v>775</v>
      </c>
      <c r="F25">
        <v>25055190</v>
      </c>
      <c r="G25" t="s">
        <v>233</v>
      </c>
      <c r="H25" s="17">
        <v>22611652000103</v>
      </c>
      <c r="I25" s="17">
        <v>90739624001866</v>
      </c>
      <c r="J25" t="s">
        <v>2</v>
      </c>
      <c r="K25" s="9" t="s">
        <v>776</v>
      </c>
      <c r="L25" t="s">
        <v>44</v>
      </c>
      <c r="M25">
        <v>171981</v>
      </c>
      <c r="N25" s="2" t="s">
        <v>583</v>
      </c>
      <c r="O25" s="9" t="s">
        <v>776</v>
      </c>
      <c r="P25" t="s">
        <v>777</v>
      </c>
      <c r="T25" s="2"/>
      <c r="U25" s="2" t="s">
        <v>718</v>
      </c>
    </row>
    <row r="26" spans="1:21" x14ac:dyDescent="0.3">
      <c r="A26">
        <v>269308</v>
      </c>
      <c r="B26" t="s">
        <v>46</v>
      </c>
      <c r="C26" t="s">
        <v>563</v>
      </c>
      <c r="D26" t="s">
        <v>25</v>
      </c>
      <c r="E26" s="1" t="s">
        <v>778</v>
      </c>
      <c r="F26">
        <v>25054973</v>
      </c>
      <c r="G26" t="s">
        <v>236</v>
      </c>
      <c r="H26" s="17">
        <v>17084739000121</v>
      </c>
      <c r="I26" s="17">
        <v>90739624001866</v>
      </c>
      <c r="J26" t="s">
        <v>2</v>
      </c>
      <c r="K26" s="9" t="s">
        <v>779</v>
      </c>
      <c r="L26" t="s">
        <v>44</v>
      </c>
      <c r="M26">
        <v>342733</v>
      </c>
      <c r="N26" s="2" t="s">
        <v>583</v>
      </c>
      <c r="O26" s="9" t="s">
        <v>779</v>
      </c>
      <c r="P26" t="s">
        <v>780</v>
      </c>
      <c r="T26" s="2"/>
      <c r="U26" s="2" t="s">
        <v>718</v>
      </c>
    </row>
    <row r="27" spans="1:21" x14ac:dyDescent="0.3">
      <c r="A27">
        <v>269308</v>
      </c>
      <c r="B27" t="s">
        <v>46</v>
      </c>
      <c r="C27" t="s">
        <v>377</v>
      </c>
      <c r="D27" t="s">
        <v>170</v>
      </c>
      <c r="E27" s="1" t="s">
        <v>781</v>
      </c>
      <c r="F27">
        <v>25054931</v>
      </c>
      <c r="G27" t="s">
        <v>178</v>
      </c>
      <c r="H27" s="17">
        <v>83392050000199</v>
      </c>
      <c r="I27" s="17">
        <v>90739624001432</v>
      </c>
      <c r="J27" t="s">
        <v>2</v>
      </c>
      <c r="K27" s="9" t="s">
        <v>782</v>
      </c>
      <c r="L27" t="s">
        <v>44</v>
      </c>
      <c r="M27">
        <v>130148</v>
      </c>
      <c r="N27" s="2" t="s">
        <v>583</v>
      </c>
      <c r="O27" s="9" t="s">
        <v>782</v>
      </c>
      <c r="P27" t="s">
        <v>783</v>
      </c>
      <c r="T27" s="2"/>
      <c r="U27" s="2" t="s">
        <v>718</v>
      </c>
    </row>
    <row r="28" spans="1:21" x14ac:dyDescent="0.3">
      <c r="A28">
        <v>269308</v>
      </c>
      <c r="B28" t="s">
        <v>46</v>
      </c>
      <c r="C28" t="s">
        <v>313</v>
      </c>
      <c r="D28" t="s">
        <v>8</v>
      </c>
      <c r="E28" s="1" t="s">
        <v>784</v>
      </c>
      <c r="F28">
        <v>25054905</v>
      </c>
      <c r="G28" t="s">
        <v>10</v>
      </c>
      <c r="H28" s="17">
        <v>33286065000102</v>
      </c>
      <c r="I28" s="17">
        <v>9576274000106</v>
      </c>
      <c r="J28" t="s">
        <v>2</v>
      </c>
      <c r="K28" s="9" t="s">
        <v>785</v>
      </c>
      <c r="L28" t="s">
        <v>44</v>
      </c>
      <c r="M28">
        <v>10524</v>
      </c>
      <c r="N28" s="2" t="s">
        <v>583</v>
      </c>
      <c r="O28" s="9" t="s">
        <v>785</v>
      </c>
      <c r="P28" t="s">
        <v>786</v>
      </c>
      <c r="T28" s="2"/>
      <c r="U28" s="2" t="s">
        <v>718</v>
      </c>
    </row>
    <row r="29" spans="1:21" x14ac:dyDescent="0.3">
      <c r="A29">
        <v>269308</v>
      </c>
      <c r="B29" t="s">
        <v>46</v>
      </c>
      <c r="C29" t="s">
        <v>597</v>
      </c>
      <c r="D29" t="s">
        <v>49</v>
      </c>
      <c r="E29" s="1" t="s">
        <v>787</v>
      </c>
      <c r="F29">
        <v>25054777</v>
      </c>
      <c r="G29" t="s">
        <v>51</v>
      </c>
      <c r="H29" s="17">
        <v>2763612000161</v>
      </c>
      <c r="I29" s="17">
        <v>90739624003133</v>
      </c>
      <c r="J29" t="s">
        <v>2</v>
      </c>
      <c r="K29" s="9" t="s">
        <v>788</v>
      </c>
      <c r="L29" t="s">
        <v>44</v>
      </c>
      <c r="M29">
        <v>163223</v>
      </c>
      <c r="N29" s="2" t="s">
        <v>583</v>
      </c>
      <c r="O29" s="9" t="s">
        <v>788</v>
      </c>
      <c r="P29" t="s">
        <v>789</v>
      </c>
      <c r="T29" s="2"/>
      <c r="U29" s="2" t="s">
        <v>718</v>
      </c>
    </row>
    <row r="30" spans="1:21" x14ac:dyDescent="0.3">
      <c r="A30">
        <v>269308</v>
      </c>
      <c r="B30" t="s">
        <v>46</v>
      </c>
      <c r="C30" t="s">
        <v>26</v>
      </c>
      <c r="D30" t="s">
        <v>11</v>
      </c>
      <c r="E30" s="1" t="s">
        <v>790</v>
      </c>
      <c r="F30">
        <v>25054776</v>
      </c>
      <c r="G30" t="s">
        <v>152</v>
      </c>
      <c r="H30" s="17">
        <v>23891404000118</v>
      </c>
      <c r="I30" s="17">
        <v>90739624001866</v>
      </c>
      <c r="J30" t="s">
        <v>2</v>
      </c>
      <c r="K30" s="9" t="s">
        <v>791</v>
      </c>
      <c r="L30" t="s">
        <v>44</v>
      </c>
      <c r="M30">
        <v>6749</v>
      </c>
      <c r="N30" s="2" t="s">
        <v>792</v>
      </c>
      <c r="O30" s="9" t="s">
        <v>791</v>
      </c>
      <c r="P30" t="s">
        <v>793</v>
      </c>
      <c r="T30" s="2"/>
      <c r="U30" s="2" t="s">
        <v>718</v>
      </c>
    </row>
    <row r="31" spans="1:21" x14ac:dyDescent="0.3">
      <c r="A31">
        <v>269308</v>
      </c>
      <c r="B31" t="s">
        <v>46</v>
      </c>
      <c r="C31" t="s">
        <v>336</v>
      </c>
      <c r="D31" t="s">
        <v>13</v>
      </c>
      <c r="E31" s="1" t="s">
        <v>794</v>
      </c>
      <c r="F31">
        <v>25054770</v>
      </c>
      <c r="G31" t="s">
        <v>513</v>
      </c>
      <c r="H31" s="17">
        <v>1550726000160</v>
      </c>
      <c r="I31" s="17">
        <v>90739624001190</v>
      </c>
      <c r="J31" t="s">
        <v>2</v>
      </c>
      <c r="K31" s="9" t="s">
        <v>795</v>
      </c>
      <c r="L31" t="s">
        <v>44</v>
      </c>
      <c r="M31">
        <v>16711</v>
      </c>
      <c r="N31" s="2" t="s">
        <v>796</v>
      </c>
      <c r="O31" s="9" t="s">
        <v>795</v>
      </c>
      <c r="P31" t="s">
        <v>797</v>
      </c>
      <c r="T31" s="2"/>
      <c r="U31" s="2" t="s">
        <v>718</v>
      </c>
    </row>
    <row r="32" spans="1:21" x14ac:dyDescent="0.3">
      <c r="A32">
        <v>269308</v>
      </c>
      <c r="B32" t="s">
        <v>46</v>
      </c>
      <c r="C32" t="s">
        <v>231</v>
      </c>
      <c r="D32" t="s">
        <v>52</v>
      </c>
      <c r="E32" s="1" t="s">
        <v>798</v>
      </c>
      <c r="F32">
        <v>25054603</v>
      </c>
      <c r="G32" t="s">
        <v>545</v>
      </c>
      <c r="H32" s="17">
        <v>30429333000282</v>
      </c>
      <c r="I32" s="17">
        <v>9576274000106</v>
      </c>
      <c r="J32" t="s">
        <v>2</v>
      </c>
      <c r="K32" s="9" t="s">
        <v>799</v>
      </c>
      <c r="L32" t="s">
        <v>44</v>
      </c>
      <c r="M32">
        <v>41275</v>
      </c>
      <c r="N32" s="2" t="s">
        <v>583</v>
      </c>
      <c r="O32" s="9" t="s">
        <v>799</v>
      </c>
      <c r="P32" t="s">
        <v>800</v>
      </c>
      <c r="T32" s="2"/>
      <c r="U32" s="2" t="s">
        <v>718</v>
      </c>
    </row>
    <row r="33" spans="1:21" x14ac:dyDescent="0.3">
      <c r="A33">
        <v>269308</v>
      </c>
      <c r="B33" t="s">
        <v>46</v>
      </c>
      <c r="C33" t="s">
        <v>246</v>
      </c>
      <c r="D33" t="s">
        <v>40</v>
      </c>
      <c r="E33" s="1" t="s">
        <v>801</v>
      </c>
      <c r="F33">
        <v>25054240</v>
      </c>
      <c r="G33" t="s">
        <v>42</v>
      </c>
      <c r="H33" s="17">
        <v>82156977000248</v>
      </c>
      <c r="I33" s="17">
        <v>90739624001432</v>
      </c>
      <c r="J33" t="s">
        <v>17</v>
      </c>
      <c r="K33" s="9" t="s">
        <v>802</v>
      </c>
      <c r="L33" t="s">
        <v>44</v>
      </c>
      <c r="M33">
        <v>168722</v>
      </c>
      <c r="N33" s="2" t="s">
        <v>583</v>
      </c>
      <c r="O33" s="9" t="s">
        <v>802</v>
      </c>
      <c r="P33" t="s">
        <v>803</v>
      </c>
      <c r="T33" s="2"/>
      <c r="U33" s="2" t="s">
        <v>718</v>
      </c>
    </row>
    <row r="34" spans="1:21" x14ac:dyDescent="0.3">
      <c r="A34">
        <v>269308</v>
      </c>
      <c r="B34" t="s">
        <v>46</v>
      </c>
      <c r="C34" t="s">
        <v>246</v>
      </c>
      <c r="D34" t="s">
        <v>40</v>
      </c>
      <c r="E34" s="1" t="s">
        <v>804</v>
      </c>
      <c r="F34">
        <v>25054226</v>
      </c>
      <c r="G34" t="s">
        <v>42</v>
      </c>
      <c r="H34" s="17">
        <v>82156977000248</v>
      </c>
      <c r="I34" s="17">
        <v>90739624001432</v>
      </c>
      <c r="J34" t="s">
        <v>2</v>
      </c>
      <c r="K34" s="9" t="s">
        <v>805</v>
      </c>
      <c r="L34" t="s">
        <v>44</v>
      </c>
      <c r="M34">
        <v>168721</v>
      </c>
      <c r="N34" s="2" t="s">
        <v>583</v>
      </c>
      <c r="O34" s="9" t="s">
        <v>805</v>
      </c>
      <c r="P34" t="s">
        <v>806</v>
      </c>
      <c r="T34" s="2"/>
      <c r="U34" s="2" t="s">
        <v>718</v>
      </c>
    </row>
    <row r="35" spans="1:21" x14ac:dyDescent="0.3">
      <c r="A35">
        <v>269308</v>
      </c>
      <c r="B35" t="s">
        <v>46</v>
      </c>
      <c r="C35" t="s">
        <v>218</v>
      </c>
      <c r="D35" t="s">
        <v>61</v>
      </c>
      <c r="E35" s="1" t="s">
        <v>807</v>
      </c>
      <c r="F35">
        <v>25054214</v>
      </c>
      <c r="G35" t="s">
        <v>385</v>
      </c>
      <c r="H35" s="17">
        <v>75176859000155</v>
      </c>
      <c r="I35" s="17">
        <v>9576274000106</v>
      </c>
      <c r="J35" t="s">
        <v>2</v>
      </c>
      <c r="K35" s="9" t="s">
        <v>808</v>
      </c>
      <c r="L35" t="s">
        <v>44</v>
      </c>
      <c r="M35">
        <v>389635</v>
      </c>
      <c r="N35" s="2" t="s">
        <v>583</v>
      </c>
      <c r="O35" s="9" t="s">
        <v>808</v>
      </c>
      <c r="P35" t="s">
        <v>809</v>
      </c>
      <c r="T35" s="2"/>
      <c r="U35" s="2" t="s">
        <v>718</v>
      </c>
    </row>
    <row r="36" spans="1:21" x14ac:dyDescent="0.3">
      <c r="A36">
        <v>269308</v>
      </c>
      <c r="B36" t="s">
        <v>46</v>
      </c>
      <c r="C36" t="s">
        <v>129</v>
      </c>
      <c r="D36" t="s">
        <v>25</v>
      </c>
      <c r="E36" s="1" t="s">
        <v>810</v>
      </c>
      <c r="F36">
        <v>25054174</v>
      </c>
      <c r="G36" t="s">
        <v>130</v>
      </c>
      <c r="H36" s="17">
        <v>1594553000182</v>
      </c>
      <c r="I36" s="17">
        <v>90739624001866</v>
      </c>
      <c r="J36" t="s">
        <v>2</v>
      </c>
      <c r="K36" s="9" t="s">
        <v>811</v>
      </c>
      <c r="L36" t="s">
        <v>44</v>
      </c>
      <c r="M36">
        <v>74996</v>
      </c>
      <c r="N36" s="2" t="s">
        <v>583</v>
      </c>
      <c r="O36" s="9" t="s">
        <v>811</v>
      </c>
      <c r="P36" t="s">
        <v>812</v>
      </c>
      <c r="T36" s="2"/>
      <c r="U36" s="2" t="s">
        <v>718</v>
      </c>
    </row>
    <row r="37" spans="1:21" x14ac:dyDescent="0.3">
      <c r="A37">
        <v>269308</v>
      </c>
      <c r="B37" t="s">
        <v>46</v>
      </c>
      <c r="C37" t="s">
        <v>317</v>
      </c>
      <c r="D37" t="s">
        <v>49</v>
      </c>
      <c r="E37" s="1" t="s">
        <v>813</v>
      </c>
      <c r="F37">
        <v>25054149</v>
      </c>
      <c r="G37" t="s">
        <v>51</v>
      </c>
      <c r="H37" s="17">
        <v>2763612000161</v>
      </c>
      <c r="I37" s="17">
        <v>90739624003133</v>
      </c>
      <c r="J37" t="s">
        <v>2</v>
      </c>
      <c r="K37" s="9" t="s">
        <v>814</v>
      </c>
      <c r="L37" t="s">
        <v>44</v>
      </c>
      <c r="M37">
        <v>163217</v>
      </c>
      <c r="N37" s="2" t="s">
        <v>583</v>
      </c>
      <c r="O37" s="9" t="s">
        <v>814</v>
      </c>
      <c r="P37" t="s">
        <v>815</v>
      </c>
      <c r="T37" s="2"/>
      <c r="U37" s="2" t="s">
        <v>718</v>
      </c>
    </row>
    <row r="38" spans="1:21" x14ac:dyDescent="0.3">
      <c r="A38">
        <v>269308</v>
      </c>
      <c r="B38" t="s">
        <v>46</v>
      </c>
      <c r="C38" t="s">
        <v>41</v>
      </c>
      <c r="D38" t="s">
        <v>40</v>
      </c>
      <c r="E38" s="1" t="s">
        <v>816</v>
      </c>
      <c r="F38">
        <v>25054114</v>
      </c>
      <c r="G38" t="s">
        <v>42</v>
      </c>
      <c r="H38" s="17">
        <v>82156977000248</v>
      </c>
      <c r="I38" s="17">
        <v>90739624001432</v>
      </c>
      <c r="J38" t="s">
        <v>2</v>
      </c>
      <c r="K38" s="9" t="s">
        <v>817</v>
      </c>
      <c r="L38" t="s">
        <v>44</v>
      </c>
      <c r="M38">
        <v>168719</v>
      </c>
      <c r="N38" s="2" t="s">
        <v>583</v>
      </c>
      <c r="O38" s="9" t="s">
        <v>817</v>
      </c>
      <c r="P38" t="s">
        <v>818</v>
      </c>
      <c r="T38" s="2"/>
      <c r="U38" s="2" t="s">
        <v>718</v>
      </c>
    </row>
    <row r="39" spans="1:21" x14ac:dyDescent="0.3">
      <c r="A39">
        <v>269308</v>
      </c>
      <c r="B39" t="s">
        <v>46</v>
      </c>
      <c r="C39" t="s">
        <v>316</v>
      </c>
      <c r="D39" t="s">
        <v>49</v>
      </c>
      <c r="E39" s="1" t="s">
        <v>819</v>
      </c>
      <c r="F39">
        <v>25053900</v>
      </c>
      <c r="G39" t="s">
        <v>51</v>
      </c>
      <c r="H39" s="17">
        <v>2763612000161</v>
      </c>
      <c r="I39" s="17">
        <v>90739624003133</v>
      </c>
      <c r="J39" t="s">
        <v>2</v>
      </c>
      <c r="K39" s="9" t="s">
        <v>820</v>
      </c>
      <c r="L39" t="s">
        <v>44</v>
      </c>
      <c r="M39">
        <v>163214</v>
      </c>
      <c r="N39" s="2" t="s">
        <v>583</v>
      </c>
      <c r="O39" s="9" t="s">
        <v>820</v>
      </c>
      <c r="P39" t="s">
        <v>821</v>
      </c>
      <c r="T39" s="2"/>
      <c r="U39" s="2" t="s">
        <v>718</v>
      </c>
    </row>
    <row r="40" spans="1:21" x14ac:dyDescent="0.3">
      <c r="A40">
        <v>269308</v>
      </c>
      <c r="B40" t="s">
        <v>46</v>
      </c>
      <c r="C40" t="s">
        <v>224</v>
      </c>
      <c r="D40" t="s">
        <v>28</v>
      </c>
      <c r="E40" s="1" t="s">
        <v>822</v>
      </c>
      <c r="F40">
        <v>25053865</v>
      </c>
      <c r="G40" t="s">
        <v>48</v>
      </c>
      <c r="H40" s="17">
        <v>1272434001002</v>
      </c>
      <c r="I40" s="17">
        <v>90739624001947</v>
      </c>
      <c r="J40" t="s">
        <v>2</v>
      </c>
      <c r="K40" s="9" t="s">
        <v>823</v>
      </c>
      <c r="L40" t="s">
        <v>44</v>
      </c>
      <c r="M40">
        <v>81438</v>
      </c>
      <c r="N40" s="2" t="s">
        <v>583</v>
      </c>
      <c r="O40" s="9" t="s">
        <v>823</v>
      </c>
      <c r="P40" t="s">
        <v>824</v>
      </c>
      <c r="T40" s="2"/>
      <c r="U40" s="2" t="s">
        <v>718</v>
      </c>
    </row>
    <row r="41" spans="1:21" x14ac:dyDescent="0.3">
      <c r="A41">
        <v>269308</v>
      </c>
      <c r="B41" t="s">
        <v>46</v>
      </c>
      <c r="C41" t="s">
        <v>227</v>
      </c>
      <c r="D41" t="s">
        <v>40</v>
      </c>
      <c r="E41" s="1" t="s">
        <v>825</v>
      </c>
      <c r="F41">
        <v>25053852</v>
      </c>
      <c r="G41" t="s">
        <v>42</v>
      </c>
      <c r="H41" s="17">
        <v>82156977000248</v>
      </c>
      <c r="I41" s="17">
        <v>90739624001432</v>
      </c>
      <c r="J41" t="s">
        <v>2</v>
      </c>
      <c r="K41" s="9" t="s">
        <v>826</v>
      </c>
      <c r="L41" t="s">
        <v>44</v>
      </c>
      <c r="M41">
        <v>168717</v>
      </c>
      <c r="N41" s="2" t="s">
        <v>583</v>
      </c>
      <c r="O41" s="9" t="s">
        <v>826</v>
      </c>
      <c r="P41" t="s">
        <v>827</v>
      </c>
      <c r="T41" s="2"/>
      <c r="U41" s="2" t="s">
        <v>718</v>
      </c>
    </row>
    <row r="42" spans="1:21" x14ac:dyDescent="0.3">
      <c r="A42">
        <v>269308</v>
      </c>
      <c r="B42" t="s">
        <v>46</v>
      </c>
      <c r="C42" t="s">
        <v>168</v>
      </c>
      <c r="D42" t="s">
        <v>18</v>
      </c>
      <c r="E42" s="1" t="s">
        <v>828</v>
      </c>
      <c r="F42">
        <v>25053843</v>
      </c>
      <c r="G42" t="s">
        <v>24</v>
      </c>
      <c r="H42" s="17">
        <v>46472822000176</v>
      </c>
      <c r="I42" s="17">
        <v>90739624000380</v>
      </c>
      <c r="J42" t="s">
        <v>2</v>
      </c>
      <c r="K42" s="9" t="s">
        <v>829</v>
      </c>
      <c r="L42" t="s">
        <v>44</v>
      </c>
      <c r="M42">
        <v>23369</v>
      </c>
      <c r="N42" s="2" t="s">
        <v>796</v>
      </c>
      <c r="O42" s="9" t="s">
        <v>829</v>
      </c>
      <c r="P42" t="s">
        <v>830</v>
      </c>
      <c r="T42" s="2"/>
      <c r="U42" s="2" t="s">
        <v>718</v>
      </c>
    </row>
    <row r="43" spans="1:21" x14ac:dyDescent="0.3">
      <c r="A43">
        <v>269308</v>
      </c>
      <c r="B43" t="s">
        <v>46</v>
      </c>
      <c r="C43" t="s">
        <v>491</v>
      </c>
      <c r="D43" t="s">
        <v>40</v>
      </c>
      <c r="E43" s="1" t="s">
        <v>831</v>
      </c>
      <c r="F43">
        <v>25053685</v>
      </c>
      <c r="G43" t="s">
        <v>42</v>
      </c>
      <c r="H43" s="17">
        <v>82156977000248</v>
      </c>
      <c r="I43" s="17">
        <v>90739624001432</v>
      </c>
      <c r="J43" t="s">
        <v>17</v>
      </c>
      <c r="K43" s="9" t="s">
        <v>832</v>
      </c>
      <c r="L43" t="s">
        <v>44</v>
      </c>
      <c r="M43">
        <v>168716</v>
      </c>
      <c r="N43" s="2" t="s">
        <v>583</v>
      </c>
      <c r="O43" s="9" t="s">
        <v>832</v>
      </c>
      <c r="P43" t="s">
        <v>833</v>
      </c>
      <c r="T43" s="2"/>
      <c r="U43" s="2" t="s">
        <v>718</v>
      </c>
    </row>
    <row r="44" spans="1:21" x14ac:dyDescent="0.3">
      <c r="A44">
        <v>269308</v>
      </c>
      <c r="B44" t="s">
        <v>46</v>
      </c>
      <c r="C44" t="s">
        <v>491</v>
      </c>
      <c r="D44" t="s">
        <v>40</v>
      </c>
      <c r="E44" s="1" t="s">
        <v>834</v>
      </c>
      <c r="F44">
        <v>25053662</v>
      </c>
      <c r="G44" t="s">
        <v>42</v>
      </c>
      <c r="H44" s="17">
        <v>82156977000248</v>
      </c>
      <c r="I44" s="17">
        <v>90739624001432</v>
      </c>
      <c r="J44" t="s">
        <v>2</v>
      </c>
      <c r="K44" s="9" t="s">
        <v>835</v>
      </c>
      <c r="L44" t="s">
        <v>44</v>
      </c>
      <c r="M44">
        <v>168714</v>
      </c>
      <c r="N44" s="2" t="s">
        <v>583</v>
      </c>
      <c r="O44" s="9" t="s">
        <v>835</v>
      </c>
      <c r="P44" t="s">
        <v>836</v>
      </c>
      <c r="T44" s="2"/>
      <c r="U44" s="2" t="s">
        <v>718</v>
      </c>
    </row>
    <row r="45" spans="1:21" x14ac:dyDescent="0.3">
      <c r="A45">
        <v>269308</v>
      </c>
      <c r="B45" t="s">
        <v>46</v>
      </c>
      <c r="C45" t="s">
        <v>511</v>
      </c>
      <c r="D45" t="s">
        <v>28</v>
      </c>
      <c r="E45" s="1" t="s">
        <v>837</v>
      </c>
      <c r="F45">
        <v>25053634</v>
      </c>
      <c r="G45" t="s">
        <v>29</v>
      </c>
      <c r="H45" s="17">
        <v>47377960000139</v>
      </c>
      <c r="I45" s="17">
        <v>90739624001947</v>
      </c>
      <c r="J45" t="s">
        <v>2</v>
      </c>
      <c r="K45" s="9" t="s">
        <v>838</v>
      </c>
      <c r="L45" t="s">
        <v>44</v>
      </c>
      <c r="M45">
        <v>113417</v>
      </c>
      <c r="N45" s="2" t="s">
        <v>583</v>
      </c>
      <c r="O45" s="9" t="s">
        <v>839</v>
      </c>
      <c r="P45" t="s">
        <v>840</v>
      </c>
      <c r="T45" s="2"/>
      <c r="U45" s="2" t="s">
        <v>718</v>
      </c>
    </row>
    <row r="46" spans="1:21" x14ac:dyDescent="0.3">
      <c r="A46">
        <v>269308</v>
      </c>
      <c r="B46" t="s">
        <v>88</v>
      </c>
      <c r="C46" t="s">
        <v>390</v>
      </c>
      <c r="D46" t="s">
        <v>58</v>
      </c>
      <c r="E46" s="1" t="s">
        <v>841</v>
      </c>
      <c r="F46">
        <v>25053621</v>
      </c>
      <c r="G46" t="s">
        <v>640</v>
      </c>
      <c r="H46" s="17">
        <v>7473735015294</v>
      </c>
      <c r="I46" s="17"/>
      <c r="J46" t="s">
        <v>2</v>
      </c>
      <c r="K46" s="9" t="s">
        <v>842</v>
      </c>
      <c r="L46" t="s">
        <v>87</v>
      </c>
      <c r="N46" s="2"/>
      <c r="O46" s="9"/>
      <c r="T46" s="2"/>
      <c r="U46" s="2" t="s">
        <v>718</v>
      </c>
    </row>
    <row r="47" spans="1:21" x14ac:dyDescent="0.3">
      <c r="A47">
        <v>269308</v>
      </c>
      <c r="B47" t="s">
        <v>46</v>
      </c>
      <c r="C47" t="s">
        <v>307</v>
      </c>
      <c r="D47" t="s">
        <v>61</v>
      </c>
      <c r="E47" s="1" t="s">
        <v>843</v>
      </c>
      <c r="F47">
        <v>25053293</v>
      </c>
      <c r="G47" t="s">
        <v>85</v>
      </c>
      <c r="H47" s="17">
        <v>1975878000105</v>
      </c>
      <c r="I47" s="17">
        <v>9576274000106</v>
      </c>
      <c r="J47" t="s">
        <v>2</v>
      </c>
      <c r="K47" s="9" t="s">
        <v>844</v>
      </c>
      <c r="L47" t="s">
        <v>44</v>
      </c>
      <c r="M47">
        <v>2544</v>
      </c>
      <c r="N47" s="2" t="s">
        <v>583</v>
      </c>
      <c r="O47" s="9" t="s">
        <v>844</v>
      </c>
      <c r="P47" t="s">
        <v>845</v>
      </c>
      <c r="T47" s="2"/>
      <c r="U47" s="2" t="s">
        <v>718</v>
      </c>
    </row>
    <row r="48" spans="1:21" x14ac:dyDescent="0.3">
      <c r="A48">
        <v>269308</v>
      </c>
      <c r="B48" t="s">
        <v>46</v>
      </c>
      <c r="C48" t="s">
        <v>577</v>
      </c>
      <c r="D48" t="s">
        <v>174</v>
      </c>
      <c r="E48" s="1" t="s">
        <v>846</v>
      </c>
      <c r="F48">
        <v>25053265</v>
      </c>
      <c r="G48" t="s">
        <v>176</v>
      </c>
      <c r="H48" s="17">
        <v>4219621000111</v>
      </c>
      <c r="I48" s="17">
        <v>90739624000118</v>
      </c>
      <c r="J48" t="s">
        <v>2</v>
      </c>
      <c r="K48" s="9" t="s">
        <v>847</v>
      </c>
      <c r="L48" t="s">
        <v>44</v>
      </c>
      <c r="M48">
        <v>99279</v>
      </c>
      <c r="N48" s="2" t="s">
        <v>602</v>
      </c>
      <c r="O48" s="9" t="s">
        <v>847</v>
      </c>
      <c r="P48" t="s">
        <v>848</v>
      </c>
      <c r="T48" s="2"/>
      <c r="U48" s="2" t="s">
        <v>718</v>
      </c>
    </row>
    <row r="49" spans="1:21" x14ac:dyDescent="0.3">
      <c r="A49">
        <v>269308</v>
      </c>
      <c r="B49" t="s">
        <v>88</v>
      </c>
      <c r="C49" t="s">
        <v>226</v>
      </c>
      <c r="D49" t="s">
        <v>65</v>
      </c>
      <c r="E49" s="1" t="s">
        <v>849</v>
      </c>
      <c r="F49">
        <v>25053242</v>
      </c>
      <c r="G49" t="s">
        <v>67</v>
      </c>
      <c r="H49" s="17">
        <v>7473735006031</v>
      </c>
      <c r="I49" s="17"/>
      <c r="J49" t="s">
        <v>17</v>
      </c>
      <c r="K49" s="9" t="s">
        <v>850</v>
      </c>
      <c r="L49" t="s">
        <v>87</v>
      </c>
      <c r="N49" s="2"/>
      <c r="O49" s="9"/>
      <c r="T49" s="2"/>
      <c r="U49" s="2" t="s">
        <v>718</v>
      </c>
    </row>
    <row r="50" spans="1:21" x14ac:dyDescent="0.3">
      <c r="A50">
        <v>269308</v>
      </c>
      <c r="B50" t="s">
        <v>46</v>
      </c>
      <c r="C50" t="s">
        <v>101</v>
      </c>
      <c r="D50" t="s">
        <v>100</v>
      </c>
      <c r="E50" s="1" t="s">
        <v>851</v>
      </c>
      <c r="F50">
        <v>25053230</v>
      </c>
      <c r="G50" t="s">
        <v>486</v>
      </c>
      <c r="H50" s="17">
        <v>58446194000133</v>
      </c>
      <c r="I50" s="17">
        <v>90739624001947</v>
      </c>
      <c r="J50" t="s">
        <v>2</v>
      </c>
      <c r="K50" s="9" t="s">
        <v>852</v>
      </c>
      <c r="L50" t="s">
        <v>44</v>
      </c>
      <c r="M50">
        <v>53347</v>
      </c>
      <c r="N50" s="2" t="s">
        <v>583</v>
      </c>
      <c r="O50" s="9" t="s">
        <v>852</v>
      </c>
      <c r="P50" t="s">
        <v>853</v>
      </c>
      <c r="T50" s="2"/>
      <c r="U50" s="2" t="s">
        <v>718</v>
      </c>
    </row>
    <row r="51" spans="1:21" x14ac:dyDescent="0.3">
      <c r="A51">
        <v>269308</v>
      </c>
      <c r="B51" t="s">
        <v>88</v>
      </c>
      <c r="C51" t="s">
        <v>226</v>
      </c>
      <c r="D51" t="s">
        <v>65</v>
      </c>
      <c r="E51" s="1" t="s">
        <v>854</v>
      </c>
      <c r="F51">
        <v>25053221</v>
      </c>
      <c r="G51" t="s">
        <v>67</v>
      </c>
      <c r="H51" s="17">
        <v>7473735006031</v>
      </c>
      <c r="I51" s="17"/>
      <c r="J51" t="s">
        <v>2</v>
      </c>
      <c r="K51" s="9" t="s">
        <v>855</v>
      </c>
      <c r="L51" t="s">
        <v>87</v>
      </c>
      <c r="N51" s="2"/>
      <c r="O51" s="9"/>
      <c r="T51" s="2"/>
      <c r="U51" s="2" t="s">
        <v>718</v>
      </c>
    </row>
    <row r="52" spans="1:21" x14ac:dyDescent="0.3">
      <c r="A52">
        <v>269308</v>
      </c>
      <c r="B52" t="s">
        <v>46</v>
      </c>
      <c r="C52" t="s">
        <v>856</v>
      </c>
      <c r="D52" t="s">
        <v>100</v>
      </c>
      <c r="E52" s="1" t="s">
        <v>857</v>
      </c>
      <c r="F52">
        <v>25053220</v>
      </c>
      <c r="G52" t="s">
        <v>152</v>
      </c>
      <c r="H52" s="17">
        <v>23891404000118</v>
      </c>
      <c r="I52" s="17">
        <v>90739624001866</v>
      </c>
      <c r="J52" t="s">
        <v>17</v>
      </c>
      <c r="K52" s="9" t="s">
        <v>858</v>
      </c>
      <c r="L52" t="s">
        <v>44</v>
      </c>
      <c r="M52">
        <v>131912</v>
      </c>
      <c r="N52" s="2" t="s">
        <v>583</v>
      </c>
      <c r="O52" s="9" t="s">
        <v>858</v>
      </c>
      <c r="P52" t="s">
        <v>859</v>
      </c>
      <c r="T52" s="2"/>
      <c r="U52" s="2" t="s">
        <v>718</v>
      </c>
    </row>
    <row r="53" spans="1:21" x14ac:dyDescent="0.3">
      <c r="A53">
        <v>269308</v>
      </c>
      <c r="B53" t="s">
        <v>46</v>
      </c>
      <c r="C53" t="s">
        <v>856</v>
      </c>
      <c r="D53" t="s">
        <v>100</v>
      </c>
      <c r="E53" s="1" t="s">
        <v>860</v>
      </c>
      <c r="F53">
        <v>25053155</v>
      </c>
      <c r="G53" t="s">
        <v>152</v>
      </c>
      <c r="H53" s="17">
        <v>23891404000118</v>
      </c>
      <c r="I53" s="17">
        <v>90739624001866</v>
      </c>
      <c r="J53" t="s">
        <v>2</v>
      </c>
      <c r="K53" s="9" t="s">
        <v>861</v>
      </c>
      <c r="L53" t="s">
        <v>44</v>
      </c>
      <c r="M53">
        <v>131911</v>
      </c>
      <c r="N53" s="2" t="s">
        <v>583</v>
      </c>
      <c r="O53" s="9" t="s">
        <v>861</v>
      </c>
      <c r="P53" t="s">
        <v>862</v>
      </c>
      <c r="T53" s="2"/>
      <c r="U53" s="2" t="s">
        <v>718</v>
      </c>
    </row>
    <row r="54" spans="1:21" x14ac:dyDescent="0.3">
      <c r="A54">
        <v>269308</v>
      </c>
      <c r="B54" t="s">
        <v>46</v>
      </c>
      <c r="C54" t="s">
        <v>225</v>
      </c>
      <c r="D54" t="s">
        <v>49</v>
      </c>
      <c r="E54" s="1" t="s">
        <v>863</v>
      </c>
      <c r="F54">
        <v>25053095</v>
      </c>
      <c r="G54" t="s">
        <v>51</v>
      </c>
      <c r="H54" s="17">
        <v>2763612000161</v>
      </c>
      <c r="I54" s="17">
        <v>90739624003133</v>
      </c>
      <c r="J54" t="s">
        <v>2</v>
      </c>
      <c r="K54" s="9" t="s">
        <v>864</v>
      </c>
      <c r="L54" t="s">
        <v>44</v>
      </c>
      <c r="M54">
        <v>163210</v>
      </c>
      <c r="N54" s="2" t="s">
        <v>583</v>
      </c>
      <c r="O54" s="9" t="s">
        <v>864</v>
      </c>
      <c r="P54" t="s">
        <v>865</v>
      </c>
      <c r="T54" s="2"/>
      <c r="U54" s="2" t="s">
        <v>718</v>
      </c>
    </row>
    <row r="55" spans="1:21" x14ac:dyDescent="0.3">
      <c r="A55">
        <v>269308</v>
      </c>
      <c r="B55" t="s">
        <v>46</v>
      </c>
      <c r="C55" t="s">
        <v>356</v>
      </c>
      <c r="D55" t="s">
        <v>61</v>
      </c>
      <c r="E55" s="1" t="s">
        <v>866</v>
      </c>
      <c r="F55">
        <v>25052856</v>
      </c>
      <c r="G55" t="s">
        <v>385</v>
      </c>
      <c r="H55" s="17">
        <v>75176859000155</v>
      </c>
      <c r="I55" s="17">
        <v>9576274000106</v>
      </c>
      <c r="J55" t="s">
        <v>2</v>
      </c>
      <c r="K55" s="9" t="s">
        <v>867</v>
      </c>
      <c r="L55" t="s">
        <v>44</v>
      </c>
      <c r="M55">
        <v>389606</v>
      </c>
      <c r="N55" s="2" t="s">
        <v>583</v>
      </c>
      <c r="O55" s="9" t="s">
        <v>867</v>
      </c>
      <c r="P55" t="s">
        <v>868</v>
      </c>
      <c r="T55" s="2"/>
      <c r="U55" s="2" t="s">
        <v>718</v>
      </c>
    </row>
    <row r="56" spans="1:21" x14ac:dyDescent="0.3">
      <c r="A56">
        <v>269308</v>
      </c>
      <c r="B56" t="s">
        <v>46</v>
      </c>
      <c r="C56" t="s">
        <v>182</v>
      </c>
      <c r="D56" t="s">
        <v>181</v>
      </c>
      <c r="E56" s="1" t="s">
        <v>869</v>
      </c>
      <c r="F56">
        <v>25051437</v>
      </c>
      <c r="G56" t="s">
        <v>183</v>
      </c>
      <c r="H56" s="17">
        <v>84711084000161</v>
      </c>
      <c r="I56" s="17">
        <v>90739624001432</v>
      </c>
      <c r="J56" t="s">
        <v>2</v>
      </c>
      <c r="K56" s="9" t="s">
        <v>870</v>
      </c>
      <c r="L56" t="s">
        <v>44</v>
      </c>
      <c r="M56">
        <v>119563</v>
      </c>
      <c r="N56" s="2" t="s">
        <v>583</v>
      </c>
      <c r="O56" s="9" t="s">
        <v>870</v>
      </c>
      <c r="P56" t="s">
        <v>871</v>
      </c>
      <c r="T56" s="2"/>
      <c r="U56" s="2" t="s">
        <v>718</v>
      </c>
    </row>
    <row r="57" spans="1:21" x14ac:dyDescent="0.3">
      <c r="A57">
        <v>269308</v>
      </c>
      <c r="B57" t="s">
        <v>88</v>
      </c>
      <c r="C57" t="s">
        <v>368</v>
      </c>
      <c r="D57" t="s">
        <v>31</v>
      </c>
      <c r="E57" s="1" t="s">
        <v>872</v>
      </c>
      <c r="F57">
        <v>25051004</v>
      </c>
      <c r="G57" t="s">
        <v>32</v>
      </c>
      <c r="H57" s="17">
        <v>9001879002619</v>
      </c>
      <c r="I57" s="17"/>
      <c r="J57" t="s">
        <v>2</v>
      </c>
      <c r="K57" s="9" t="s">
        <v>873</v>
      </c>
      <c r="L57" t="s">
        <v>87</v>
      </c>
      <c r="N57" s="2"/>
      <c r="O57" s="9"/>
      <c r="T57" s="2"/>
      <c r="U57" s="2" t="s">
        <v>718</v>
      </c>
    </row>
    <row r="58" spans="1:21" x14ac:dyDescent="0.3">
      <c r="A58">
        <v>269308</v>
      </c>
      <c r="B58" t="s">
        <v>46</v>
      </c>
      <c r="C58" t="s">
        <v>297</v>
      </c>
      <c r="D58" t="s">
        <v>8</v>
      </c>
      <c r="E58" s="1" t="s">
        <v>874</v>
      </c>
      <c r="F58">
        <v>25050039</v>
      </c>
      <c r="G58" t="s">
        <v>10</v>
      </c>
      <c r="H58" s="17">
        <v>33286065000102</v>
      </c>
      <c r="I58" s="17">
        <v>9576274000106</v>
      </c>
      <c r="J58" t="s">
        <v>17</v>
      </c>
      <c r="K58" s="9" t="s">
        <v>875</v>
      </c>
      <c r="L58" t="s">
        <v>44</v>
      </c>
      <c r="M58">
        <v>4450</v>
      </c>
      <c r="N58" s="2" t="s">
        <v>583</v>
      </c>
      <c r="O58" s="9" t="s">
        <v>875</v>
      </c>
      <c r="P58" t="s">
        <v>876</v>
      </c>
      <c r="T58" s="2"/>
      <c r="U58" s="2" t="s">
        <v>718</v>
      </c>
    </row>
    <row r="59" spans="1:21" x14ac:dyDescent="0.3">
      <c r="A59">
        <v>269308</v>
      </c>
      <c r="B59" t="s">
        <v>46</v>
      </c>
      <c r="C59" t="s">
        <v>320</v>
      </c>
      <c r="D59" t="s">
        <v>33</v>
      </c>
      <c r="E59" s="1" t="s">
        <v>877</v>
      </c>
      <c r="F59">
        <v>25050026</v>
      </c>
      <c r="G59" t="s">
        <v>35</v>
      </c>
      <c r="H59" s="17">
        <v>27933025000102</v>
      </c>
      <c r="I59" s="17">
        <v>9576274000106</v>
      </c>
      <c r="J59" t="s">
        <v>2</v>
      </c>
      <c r="K59" s="9" t="s">
        <v>878</v>
      </c>
      <c r="L59" t="s">
        <v>44</v>
      </c>
      <c r="M59">
        <v>1150</v>
      </c>
      <c r="N59" s="2" t="s">
        <v>792</v>
      </c>
      <c r="O59" s="9" t="s">
        <v>878</v>
      </c>
      <c r="P59" t="s">
        <v>879</v>
      </c>
      <c r="T59" s="2"/>
      <c r="U59" s="2" t="s">
        <v>718</v>
      </c>
    </row>
    <row r="60" spans="1:21" x14ac:dyDescent="0.3">
      <c r="A60">
        <v>269308</v>
      </c>
      <c r="B60" t="s">
        <v>46</v>
      </c>
      <c r="C60" t="s">
        <v>297</v>
      </c>
      <c r="D60" t="s">
        <v>8</v>
      </c>
      <c r="E60" s="1" t="s">
        <v>880</v>
      </c>
      <c r="F60">
        <v>25049964</v>
      </c>
      <c r="G60" t="s">
        <v>10</v>
      </c>
      <c r="H60" s="17">
        <v>33286065000102</v>
      </c>
      <c r="I60" s="17">
        <v>9576274000106</v>
      </c>
      <c r="J60" t="s">
        <v>2</v>
      </c>
      <c r="K60" s="9" t="s">
        <v>881</v>
      </c>
      <c r="L60" t="s">
        <v>44</v>
      </c>
      <c r="M60">
        <v>4449</v>
      </c>
      <c r="N60" s="2" t="s">
        <v>583</v>
      </c>
      <c r="O60" s="9" t="s">
        <v>881</v>
      </c>
      <c r="P60" t="s">
        <v>882</v>
      </c>
      <c r="T60" s="2"/>
      <c r="U60" s="2" t="s">
        <v>718</v>
      </c>
    </row>
    <row r="61" spans="1:21" x14ac:dyDescent="0.3">
      <c r="A61">
        <v>269308</v>
      </c>
      <c r="B61" t="s">
        <v>46</v>
      </c>
      <c r="C61" t="s">
        <v>129</v>
      </c>
      <c r="D61" t="s">
        <v>25</v>
      </c>
      <c r="E61" s="1" t="s">
        <v>883</v>
      </c>
      <c r="F61">
        <v>25049882</v>
      </c>
      <c r="G61" t="s">
        <v>258</v>
      </c>
      <c r="H61" s="17">
        <v>26602128000119</v>
      </c>
      <c r="I61" s="17">
        <v>90739624001866</v>
      </c>
      <c r="J61" t="s">
        <v>2</v>
      </c>
      <c r="K61" s="9" t="s">
        <v>884</v>
      </c>
      <c r="L61" t="s">
        <v>44</v>
      </c>
      <c r="M61">
        <v>136247</v>
      </c>
      <c r="N61" s="2" t="s">
        <v>583</v>
      </c>
      <c r="O61" s="9" t="s">
        <v>884</v>
      </c>
      <c r="P61" t="s">
        <v>885</v>
      </c>
      <c r="T61" s="2"/>
      <c r="U61" s="2" t="s">
        <v>718</v>
      </c>
    </row>
    <row r="62" spans="1:21" x14ac:dyDescent="0.3">
      <c r="A62">
        <v>269308</v>
      </c>
      <c r="B62" t="s">
        <v>88</v>
      </c>
      <c r="C62" t="s">
        <v>169</v>
      </c>
      <c r="D62" t="s">
        <v>73</v>
      </c>
      <c r="E62" s="1" t="s">
        <v>886</v>
      </c>
      <c r="F62">
        <v>25049849</v>
      </c>
      <c r="G62" t="s">
        <v>464</v>
      </c>
      <c r="H62" s="17">
        <v>7473735012350</v>
      </c>
      <c r="I62" s="17"/>
      <c r="J62" t="s">
        <v>2</v>
      </c>
      <c r="K62" s="9" t="s">
        <v>887</v>
      </c>
      <c r="L62" t="s">
        <v>87</v>
      </c>
      <c r="N62" s="2"/>
      <c r="O62" s="9"/>
      <c r="T62" s="2"/>
      <c r="U62" s="2" t="s">
        <v>718</v>
      </c>
    </row>
    <row r="63" spans="1:21" x14ac:dyDescent="0.3">
      <c r="A63">
        <v>269308</v>
      </c>
      <c r="B63" t="s">
        <v>46</v>
      </c>
      <c r="C63" t="s">
        <v>232</v>
      </c>
      <c r="D63" t="s">
        <v>40</v>
      </c>
      <c r="E63" s="1" t="s">
        <v>888</v>
      </c>
      <c r="F63">
        <v>25049390</v>
      </c>
      <c r="G63" t="s">
        <v>42</v>
      </c>
      <c r="H63" s="17">
        <v>82156977000248</v>
      </c>
      <c r="I63" s="17">
        <v>90739624001432</v>
      </c>
      <c r="J63" t="s">
        <v>2</v>
      </c>
      <c r="K63" s="9" t="s">
        <v>889</v>
      </c>
      <c r="L63" t="s">
        <v>44</v>
      </c>
      <c r="M63">
        <v>168705</v>
      </c>
      <c r="N63" s="2" t="s">
        <v>583</v>
      </c>
      <c r="O63" s="9" t="s">
        <v>889</v>
      </c>
      <c r="P63" t="s">
        <v>890</v>
      </c>
      <c r="T63" s="2"/>
      <c r="U63" s="2" t="s">
        <v>718</v>
      </c>
    </row>
    <row r="64" spans="1:21" x14ac:dyDescent="0.3">
      <c r="A64">
        <v>269308</v>
      </c>
      <c r="B64" t="s">
        <v>46</v>
      </c>
      <c r="C64" t="s">
        <v>485</v>
      </c>
      <c r="D64" t="s">
        <v>52</v>
      </c>
      <c r="E64" s="1" t="s">
        <v>891</v>
      </c>
      <c r="F64">
        <v>25049333</v>
      </c>
      <c r="G64" t="s">
        <v>54</v>
      </c>
      <c r="H64" s="17">
        <v>79130647000198</v>
      </c>
      <c r="I64" s="17">
        <v>9576274000106</v>
      </c>
      <c r="J64" t="s">
        <v>2</v>
      </c>
      <c r="K64" s="9" t="s">
        <v>892</v>
      </c>
      <c r="L64" t="s">
        <v>44</v>
      </c>
      <c r="M64">
        <v>16856</v>
      </c>
      <c r="N64" s="2" t="s">
        <v>583</v>
      </c>
      <c r="O64" s="9" t="s">
        <v>892</v>
      </c>
      <c r="P64" t="s">
        <v>893</v>
      </c>
      <c r="T64" s="2"/>
      <c r="U64" s="2" t="s">
        <v>718</v>
      </c>
    </row>
    <row r="65" spans="1:21" x14ac:dyDescent="0.3">
      <c r="A65">
        <v>269308</v>
      </c>
      <c r="B65" t="s">
        <v>46</v>
      </c>
      <c r="C65" t="s">
        <v>53</v>
      </c>
      <c r="D65" t="s">
        <v>52</v>
      </c>
      <c r="E65" s="1" t="s">
        <v>894</v>
      </c>
      <c r="F65">
        <v>25049271</v>
      </c>
      <c r="G65" t="s">
        <v>54</v>
      </c>
      <c r="H65" s="17">
        <v>79130647000198</v>
      </c>
      <c r="I65" s="17">
        <v>9576274000106</v>
      </c>
      <c r="J65" t="s">
        <v>2</v>
      </c>
      <c r="K65" s="9" t="s">
        <v>895</v>
      </c>
      <c r="L65" t="s">
        <v>44</v>
      </c>
      <c r="M65">
        <v>3023</v>
      </c>
      <c r="N65" s="2" t="s">
        <v>583</v>
      </c>
      <c r="O65" s="9" t="s">
        <v>895</v>
      </c>
      <c r="P65" t="s">
        <v>896</v>
      </c>
      <c r="T65" s="2"/>
      <c r="U65" s="2" t="s">
        <v>718</v>
      </c>
    </row>
    <row r="66" spans="1:21" x14ac:dyDescent="0.3">
      <c r="A66">
        <v>269308</v>
      </c>
      <c r="B66" t="s">
        <v>46</v>
      </c>
      <c r="C66" t="s">
        <v>560</v>
      </c>
      <c r="D66" t="s">
        <v>28</v>
      </c>
      <c r="E66" s="1" t="s">
        <v>897</v>
      </c>
      <c r="F66">
        <v>25049229</v>
      </c>
      <c r="G66" t="s">
        <v>48</v>
      </c>
      <c r="H66" s="17">
        <v>1272434001002</v>
      </c>
      <c r="I66" s="17">
        <v>90739624001947</v>
      </c>
      <c r="J66" t="s">
        <v>2</v>
      </c>
      <c r="K66" s="9" t="s">
        <v>898</v>
      </c>
      <c r="L66" t="s">
        <v>44</v>
      </c>
      <c r="M66">
        <v>81431</v>
      </c>
      <c r="N66" s="2" t="s">
        <v>583</v>
      </c>
      <c r="O66" s="9" t="s">
        <v>898</v>
      </c>
      <c r="P66" t="s">
        <v>899</v>
      </c>
      <c r="T66" s="2"/>
      <c r="U66" s="2" t="s">
        <v>718</v>
      </c>
    </row>
    <row r="67" spans="1:21" x14ac:dyDescent="0.3">
      <c r="A67">
        <v>269308</v>
      </c>
      <c r="B67" t="s">
        <v>46</v>
      </c>
      <c r="C67" t="s">
        <v>332</v>
      </c>
      <c r="D67" t="s">
        <v>52</v>
      </c>
      <c r="E67" s="1" t="s">
        <v>900</v>
      </c>
      <c r="F67">
        <v>25049113</v>
      </c>
      <c r="G67" t="s">
        <v>54</v>
      </c>
      <c r="H67" s="17">
        <v>79130647000198</v>
      </c>
      <c r="I67" s="17">
        <v>9576274000106</v>
      </c>
      <c r="J67" t="s">
        <v>2</v>
      </c>
      <c r="K67" s="9" t="s">
        <v>901</v>
      </c>
      <c r="L67" t="s">
        <v>44</v>
      </c>
      <c r="M67">
        <v>16855</v>
      </c>
      <c r="N67" s="2" t="s">
        <v>583</v>
      </c>
      <c r="O67" s="9" t="s">
        <v>901</v>
      </c>
      <c r="P67" t="s">
        <v>902</v>
      </c>
      <c r="T67" s="2"/>
      <c r="U67" s="2" t="s">
        <v>718</v>
      </c>
    </row>
    <row r="68" spans="1:21" x14ac:dyDescent="0.3">
      <c r="A68">
        <v>269308</v>
      </c>
      <c r="B68" t="s">
        <v>46</v>
      </c>
      <c r="C68" t="s">
        <v>455</v>
      </c>
      <c r="D68" t="s">
        <v>52</v>
      </c>
      <c r="E68" s="1" t="s">
        <v>903</v>
      </c>
      <c r="F68">
        <v>25048768</v>
      </c>
      <c r="G68" t="s">
        <v>545</v>
      </c>
      <c r="H68" s="17">
        <v>30429333000282</v>
      </c>
      <c r="I68" s="17">
        <v>9576274000106</v>
      </c>
      <c r="J68" t="s">
        <v>2</v>
      </c>
      <c r="K68" s="9" t="s">
        <v>904</v>
      </c>
      <c r="L68" t="s">
        <v>44</v>
      </c>
      <c r="M68">
        <v>41254</v>
      </c>
      <c r="N68" s="2" t="s">
        <v>583</v>
      </c>
      <c r="O68" s="9" t="s">
        <v>904</v>
      </c>
      <c r="P68" t="s">
        <v>905</v>
      </c>
      <c r="T68" s="2"/>
      <c r="U68" s="2" t="s">
        <v>718</v>
      </c>
    </row>
    <row r="69" spans="1:21" x14ac:dyDescent="0.3">
      <c r="A69">
        <v>269308</v>
      </c>
      <c r="B69" t="s">
        <v>46</v>
      </c>
      <c r="C69" t="s">
        <v>238</v>
      </c>
      <c r="D69" t="s">
        <v>8</v>
      </c>
      <c r="E69" s="1" t="s">
        <v>906</v>
      </c>
      <c r="F69">
        <v>25048468</v>
      </c>
      <c r="G69" t="s">
        <v>239</v>
      </c>
      <c r="H69" s="17">
        <v>5291412000141</v>
      </c>
      <c r="I69" s="17">
        <v>9576274000106</v>
      </c>
      <c r="J69" t="s">
        <v>2</v>
      </c>
      <c r="K69" s="9" t="s">
        <v>907</v>
      </c>
      <c r="L69" t="s">
        <v>44</v>
      </c>
      <c r="M69">
        <v>20903</v>
      </c>
      <c r="N69" s="2" t="s">
        <v>583</v>
      </c>
      <c r="O69" s="9" t="s">
        <v>907</v>
      </c>
      <c r="P69" t="s">
        <v>908</v>
      </c>
      <c r="T69" s="2"/>
      <c r="U69" s="2" t="s">
        <v>718</v>
      </c>
    </row>
    <row r="70" spans="1:21" x14ac:dyDescent="0.3">
      <c r="A70">
        <v>269308</v>
      </c>
      <c r="B70" t="s">
        <v>46</v>
      </c>
      <c r="C70" t="s">
        <v>112</v>
      </c>
      <c r="D70" t="s">
        <v>100</v>
      </c>
      <c r="E70" s="1" t="s">
        <v>909</v>
      </c>
      <c r="F70">
        <v>25048434</v>
      </c>
      <c r="G70" t="s">
        <v>248</v>
      </c>
      <c r="H70" s="17">
        <v>3623054000282</v>
      </c>
      <c r="I70" s="17">
        <v>90739624001866</v>
      </c>
      <c r="J70" t="s">
        <v>2</v>
      </c>
      <c r="K70" s="9" t="s">
        <v>910</v>
      </c>
      <c r="L70" t="s">
        <v>44</v>
      </c>
      <c r="M70">
        <v>3383325</v>
      </c>
      <c r="N70" s="2" t="s">
        <v>583</v>
      </c>
      <c r="O70" s="9" t="s">
        <v>910</v>
      </c>
      <c r="P70" t="s">
        <v>911</v>
      </c>
      <c r="T70" s="2"/>
      <c r="U70" s="2" t="s">
        <v>718</v>
      </c>
    </row>
    <row r="71" spans="1:21" x14ac:dyDescent="0.3">
      <c r="A71">
        <v>269308</v>
      </c>
      <c r="B71" t="s">
        <v>46</v>
      </c>
      <c r="C71" t="s">
        <v>97</v>
      </c>
      <c r="D71" t="s">
        <v>28</v>
      </c>
      <c r="E71" s="1" t="s">
        <v>912</v>
      </c>
      <c r="F71">
        <v>25047882</v>
      </c>
      <c r="G71" t="s">
        <v>48</v>
      </c>
      <c r="H71" s="17">
        <v>1272434001002</v>
      </c>
      <c r="I71" s="17">
        <v>90739624001947</v>
      </c>
      <c r="J71" t="s">
        <v>2</v>
      </c>
      <c r="K71" s="9" t="s">
        <v>913</v>
      </c>
      <c r="L71" t="s">
        <v>44</v>
      </c>
      <c r="M71">
        <v>81429</v>
      </c>
      <c r="N71" s="2" t="s">
        <v>583</v>
      </c>
      <c r="O71" s="9" t="s">
        <v>913</v>
      </c>
      <c r="P71" t="s">
        <v>914</v>
      </c>
      <c r="T71" s="2"/>
      <c r="U71" s="2" t="s">
        <v>718</v>
      </c>
    </row>
    <row r="72" spans="1:21" x14ac:dyDescent="0.3">
      <c r="A72">
        <v>269308</v>
      </c>
      <c r="B72" t="s">
        <v>46</v>
      </c>
      <c r="C72" t="s">
        <v>472</v>
      </c>
      <c r="D72" t="s">
        <v>33</v>
      </c>
      <c r="E72" s="1" t="s">
        <v>915</v>
      </c>
      <c r="F72">
        <v>25047875</v>
      </c>
      <c r="G72" t="s">
        <v>35</v>
      </c>
      <c r="H72" s="17">
        <v>27933025000102</v>
      </c>
      <c r="I72" s="17">
        <v>9576274000106</v>
      </c>
      <c r="J72" t="s">
        <v>2</v>
      </c>
      <c r="K72" s="9" t="s">
        <v>916</v>
      </c>
      <c r="L72" t="s">
        <v>44</v>
      </c>
      <c r="M72">
        <v>1149</v>
      </c>
      <c r="N72" s="2" t="s">
        <v>792</v>
      </c>
      <c r="O72" s="9" t="s">
        <v>916</v>
      </c>
      <c r="P72" t="s">
        <v>917</v>
      </c>
      <c r="T72" s="2"/>
      <c r="U72" s="2" t="s">
        <v>718</v>
      </c>
    </row>
    <row r="73" spans="1:21" x14ac:dyDescent="0.3">
      <c r="A73">
        <v>269308</v>
      </c>
      <c r="B73" t="s">
        <v>46</v>
      </c>
      <c r="C73" t="s">
        <v>270</v>
      </c>
      <c r="D73" t="s">
        <v>63</v>
      </c>
      <c r="E73" s="1" t="s">
        <v>918</v>
      </c>
      <c r="F73">
        <v>25047830</v>
      </c>
      <c r="G73" t="s">
        <v>919</v>
      </c>
      <c r="H73" s="17">
        <v>20630766000167</v>
      </c>
      <c r="I73" s="17">
        <v>90739624001432</v>
      </c>
      <c r="J73" t="s">
        <v>2</v>
      </c>
      <c r="K73" s="9" t="s">
        <v>920</v>
      </c>
      <c r="L73" t="s">
        <v>44</v>
      </c>
      <c r="M73">
        <v>59392</v>
      </c>
      <c r="N73" s="2" t="s">
        <v>583</v>
      </c>
      <c r="O73" s="9" t="s">
        <v>920</v>
      </c>
      <c r="P73" t="s">
        <v>921</v>
      </c>
      <c r="T73" s="2"/>
      <c r="U73" s="2" t="s">
        <v>718</v>
      </c>
    </row>
    <row r="74" spans="1:21" x14ac:dyDescent="0.3">
      <c r="A74">
        <v>269308</v>
      </c>
      <c r="B74" t="s">
        <v>46</v>
      </c>
      <c r="C74" t="s">
        <v>91</v>
      </c>
      <c r="D74" t="s">
        <v>28</v>
      </c>
      <c r="E74" s="1" t="s">
        <v>922</v>
      </c>
      <c r="F74">
        <v>25047120</v>
      </c>
      <c r="G74" t="s">
        <v>254</v>
      </c>
      <c r="H74" s="17">
        <v>13759928000104</v>
      </c>
      <c r="I74" s="17">
        <v>90739624001947</v>
      </c>
      <c r="J74" t="s">
        <v>2</v>
      </c>
      <c r="K74" s="9" t="s">
        <v>923</v>
      </c>
      <c r="L74" t="s">
        <v>44</v>
      </c>
      <c r="M74">
        <v>27326</v>
      </c>
      <c r="N74" s="2" t="s">
        <v>583</v>
      </c>
      <c r="O74" s="9" t="s">
        <v>923</v>
      </c>
      <c r="P74" t="s">
        <v>924</v>
      </c>
      <c r="T74" s="2"/>
      <c r="U74" s="2" t="s">
        <v>718</v>
      </c>
    </row>
    <row r="75" spans="1:21" x14ac:dyDescent="0.3">
      <c r="A75">
        <v>269308</v>
      </c>
      <c r="B75" t="s">
        <v>46</v>
      </c>
      <c r="C75" t="s">
        <v>71</v>
      </c>
      <c r="D75" t="s">
        <v>70</v>
      </c>
      <c r="E75" s="1" t="s">
        <v>925</v>
      </c>
      <c r="F75">
        <v>25047087</v>
      </c>
      <c r="G75" t="s">
        <v>72</v>
      </c>
      <c r="H75" s="17">
        <v>79964177000168</v>
      </c>
      <c r="I75" s="17">
        <v>9576274000106</v>
      </c>
      <c r="J75" t="s">
        <v>2</v>
      </c>
      <c r="K75" s="9" t="s">
        <v>926</v>
      </c>
      <c r="L75" t="s">
        <v>44</v>
      </c>
      <c r="M75">
        <v>257432</v>
      </c>
      <c r="N75" s="2" t="s">
        <v>583</v>
      </c>
      <c r="O75" s="9" t="s">
        <v>926</v>
      </c>
      <c r="P75" t="s">
        <v>927</v>
      </c>
      <c r="T75" s="2"/>
      <c r="U75" s="2" t="s">
        <v>718</v>
      </c>
    </row>
    <row r="76" spans="1:21" x14ac:dyDescent="0.3">
      <c r="A76">
        <v>269308</v>
      </c>
      <c r="B76" t="s">
        <v>46</v>
      </c>
      <c r="C76" t="s">
        <v>483</v>
      </c>
      <c r="D76" t="s">
        <v>28</v>
      </c>
      <c r="E76" s="1" t="s">
        <v>928</v>
      </c>
      <c r="F76">
        <v>25047034</v>
      </c>
      <c r="G76" t="s">
        <v>48</v>
      </c>
      <c r="H76" s="17">
        <v>1272434001002</v>
      </c>
      <c r="I76" s="17">
        <v>90739624001947</v>
      </c>
      <c r="J76" t="s">
        <v>2</v>
      </c>
      <c r="K76" s="9" t="s">
        <v>929</v>
      </c>
      <c r="L76" t="s">
        <v>44</v>
      </c>
      <c r="M76">
        <v>81427</v>
      </c>
      <c r="N76" s="2" t="s">
        <v>583</v>
      </c>
      <c r="O76" s="9" t="s">
        <v>929</v>
      </c>
      <c r="P76" t="s">
        <v>930</v>
      </c>
      <c r="T76" s="2"/>
      <c r="U76" s="2" t="s">
        <v>718</v>
      </c>
    </row>
    <row r="77" spans="1:21" x14ac:dyDescent="0.3">
      <c r="A77">
        <v>269308</v>
      </c>
      <c r="B77" t="s">
        <v>46</v>
      </c>
      <c r="C77" t="s">
        <v>179</v>
      </c>
      <c r="D77" t="s">
        <v>33</v>
      </c>
      <c r="E77" s="1" t="s">
        <v>931</v>
      </c>
      <c r="F77">
        <v>25046610</v>
      </c>
      <c r="G77" t="s">
        <v>35</v>
      </c>
      <c r="H77" s="17">
        <v>27933025000102</v>
      </c>
      <c r="I77" s="17">
        <v>9576274000106</v>
      </c>
      <c r="J77" t="s">
        <v>2</v>
      </c>
      <c r="K77" s="9" t="s">
        <v>932</v>
      </c>
      <c r="L77" t="s">
        <v>44</v>
      </c>
      <c r="M77">
        <v>1148</v>
      </c>
      <c r="N77" s="2" t="s">
        <v>792</v>
      </c>
      <c r="O77" s="9" t="s">
        <v>932</v>
      </c>
      <c r="P77" t="s">
        <v>933</v>
      </c>
      <c r="T77" s="2"/>
      <c r="U77" s="2" t="s">
        <v>718</v>
      </c>
    </row>
    <row r="78" spans="1:21" x14ac:dyDescent="0.3">
      <c r="A78">
        <v>269308</v>
      </c>
      <c r="B78" t="s">
        <v>46</v>
      </c>
      <c r="C78" t="s">
        <v>934</v>
      </c>
      <c r="D78" t="s">
        <v>52</v>
      </c>
      <c r="E78" s="1" t="s">
        <v>935</v>
      </c>
      <c r="F78">
        <v>25046499</v>
      </c>
      <c r="G78" t="s">
        <v>545</v>
      </c>
      <c r="H78" s="17">
        <v>30429333000282</v>
      </c>
      <c r="I78" s="17">
        <v>9576274000106</v>
      </c>
      <c r="J78" t="s">
        <v>2</v>
      </c>
      <c r="K78" s="9" t="s">
        <v>936</v>
      </c>
      <c r="L78" t="s">
        <v>44</v>
      </c>
      <c r="M78">
        <v>41248</v>
      </c>
      <c r="N78" s="2" t="s">
        <v>583</v>
      </c>
      <c r="O78" s="9" t="s">
        <v>936</v>
      </c>
      <c r="P78" t="s">
        <v>937</v>
      </c>
      <c r="T78" s="2"/>
      <c r="U78" s="2" t="s">
        <v>718</v>
      </c>
    </row>
    <row r="79" spans="1:21" x14ac:dyDescent="0.3">
      <c r="A79">
        <v>269308</v>
      </c>
      <c r="B79" t="s">
        <v>46</v>
      </c>
      <c r="C79" t="s">
        <v>219</v>
      </c>
      <c r="D79" t="s">
        <v>28</v>
      </c>
      <c r="E79" s="1" t="s">
        <v>938</v>
      </c>
      <c r="F79">
        <v>25046365</v>
      </c>
      <c r="G79" t="s">
        <v>209</v>
      </c>
      <c r="H79" s="17">
        <v>33360405000190</v>
      </c>
      <c r="I79" s="17">
        <v>90739624001947</v>
      </c>
      <c r="J79" t="s">
        <v>2</v>
      </c>
      <c r="K79" s="9" t="s">
        <v>939</v>
      </c>
      <c r="L79" t="s">
        <v>44</v>
      </c>
      <c r="M79">
        <v>38312</v>
      </c>
      <c r="N79" s="2" t="s">
        <v>583</v>
      </c>
      <c r="O79" s="9" t="s">
        <v>939</v>
      </c>
      <c r="P79" t="s">
        <v>940</v>
      </c>
      <c r="T79" s="2"/>
      <c r="U79" s="2" t="s">
        <v>718</v>
      </c>
    </row>
    <row r="80" spans="1:21" x14ac:dyDescent="0.3">
      <c r="A80">
        <v>269308</v>
      </c>
      <c r="B80" t="s">
        <v>46</v>
      </c>
      <c r="C80" t="s">
        <v>263</v>
      </c>
      <c r="D80" t="s">
        <v>28</v>
      </c>
      <c r="E80" s="1" t="s">
        <v>941</v>
      </c>
      <c r="F80">
        <v>25046327</v>
      </c>
      <c r="G80" t="s">
        <v>209</v>
      </c>
      <c r="H80" s="17">
        <v>33360405000190</v>
      </c>
      <c r="I80" s="17">
        <v>90739624001947</v>
      </c>
      <c r="J80" t="s">
        <v>2</v>
      </c>
      <c r="K80" s="9" t="s">
        <v>942</v>
      </c>
      <c r="L80" t="s">
        <v>44</v>
      </c>
      <c r="M80">
        <v>38313</v>
      </c>
      <c r="N80" s="2" t="s">
        <v>583</v>
      </c>
      <c r="O80" s="9" t="s">
        <v>942</v>
      </c>
      <c r="P80" t="s">
        <v>943</v>
      </c>
      <c r="T80" s="2"/>
      <c r="U80" s="2" t="s">
        <v>718</v>
      </c>
    </row>
    <row r="81" spans="1:21" x14ac:dyDescent="0.3">
      <c r="A81">
        <v>269308</v>
      </c>
      <c r="B81" t="s">
        <v>46</v>
      </c>
      <c r="C81" t="s">
        <v>523</v>
      </c>
      <c r="D81" t="s">
        <v>49</v>
      </c>
      <c r="E81" s="1" t="s">
        <v>944</v>
      </c>
      <c r="F81">
        <v>25046278</v>
      </c>
      <c r="G81" t="s">
        <v>51</v>
      </c>
      <c r="H81" s="17">
        <v>2763612000161</v>
      </c>
      <c r="I81" s="17">
        <v>90739624003133</v>
      </c>
      <c r="J81" t="s">
        <v>2</v>
      </c>
      <c r="K81" s="9" t="s">
        <v>945</v>
      </c>
      <c r="L81" t="s">
        <v>44</v>
      </c>
      <c r="M81">
        <v>163199</v>
      </c>
      <c r="N81" s="2" t="s">
        <v>583</v>
      </c>
      <c r="O81" s="9" t="s">
        <v>945</v>
      </c>
      <c r="P81" t="s">
        <v>946</v>
      </c>
      <c r="T81" s="2"/>
      <c r="U81" s="2" t="s">
        <v>718</v>
      </c>
    </row>
    <row r="82" spans="1:21" x14ac:dyDescent="0.3">
      <c r="A82">
        <v>269308</v>
      </c>
      <c r="B82" t="s">
        <v>46</v>
      </c>
      <c r="C82" t="s">
        <v>456</v>
      </c>
      <c r="D82" t="s">
        <v>70</v>
      </c>
      <c r="E82" s="1" t="s">
        <v>947</v>
      </c>
      <c r="F82">
        <v>25045978</v>
      </c>
      <c r="G82" t="s">
        <v>72</v>
      </c>
      <c r="H82" s="17">
        <v>79964177000168</v>
      </c>
      <c r="I82" s="17">
        <v>9576274000106</v>
      </c>
      <c r="J82" t="s">
        <v>2</v>
      </c>
      <c r="K82" s="9" t="s">
        <v>948</v>
      </c>
      <c r="L82" t="s">
        <v>44</v>
      </c>
      <c r="M82">
        <v>257429</v>
      </c>
      <c r="N82" s="2" t="s">
        <v>583</v>
      </c>
      <c r="O82" s="9" t="s">
        <v>948</v>
      </c>
      <c r="P82" t="s">
        <v>949</v>
      </c>
      <c r="T82" s="2"/>
      <c r="U82" s="2" t="s">
        <v>718</v>
      </c>
    </row>
    <row r="83" spans="1:21" x14ac:dyDescent="0.3">
      <c r="A83">
        <v>269308</v>
      </c>
      <c r="B83" t="s">
        <v>46</v>
      </c>
      <c r="C83" t="s">
        <v>108</v>
      </c>
      <c r="D83" t="s">
        <v>25</v>
      </c>
      <c r="E83" s="1" t="s">
        <v>950</v>
      </c>
      <c r="F83">
        <v>25045941</v>
      </c>
      <c r="G83" t="s">
        <v>255</v>
      </c>
      <c r="H83" s="17">
        <v>8512459000690</v>
      </c>
      <c r="I83" s="17">
        <v>90739624001866</v>
      </c>
      <c r="J83" t="s">
        <v>2</v>
      </c>
      <c r="K83" s="9" t="s">
        <v>951</v>
      </c>
      <c r="L83" t="s">
        <v>44</v>
      </c>
      <c r="M83">
        <v>10549</v>
      </c>
      <c r="N83" s="2" t="s">
        <v>583</v>
      </c>
      <c r="O83" s="9" t="s">
        <v>952</v>
      </c>
      <c r="P83" t="s">
        <v>953</v>
      </c>
      <c r="T83" s="2"/>
      <c r="U83" s="2" t="s">
        <v>718</v>
      </c>
    </row>
    <row r="84" spans="1:21" x14ac:dyDescent="0.3">
      <c r="A84">
        <v>269308</v>
      </c>
      <c r="B84" t="s">
        <v>46</v>
      </c>
      <c r="C84" t="s">
        <v>460</v>
      </c>
      <c r="D84" t="s">
        <v>25</v>
      </c>
      <c r="E84" s="1" t="s">
        <v>954</v>
      </c>
      <c r="F84">
        <v>25045849</v>
      </c>
      <c r="G84" t="s">
        <v>80</v>
      </c>
      <c r="H84" s="17">
        <v>8603562001103</v>
      </c>
      <c r="I84" s="17">
        <v>90739624001866</v>
      </c>
      <c r="J84" t="s">
        <v>2</v>
      </c>
      <c r="K84" s="9" t="s">
        <v>955</v>
      </c>
      <c r="L84" t="s">
        <v>44</v>
      </c>
      <c r="M84">
        <v>1817</v>
      </c>
      <c r="N84" s="2" t="s">
        <v>583</v>
      </c>
      <c r="O84" s="9" t="s">
        <v>955</v>
      </c>
      <c r="P84" t="s">
        <v>956</v>
      </c>
      <c r="T84" s="2"/>
      <c r="U84" s="2" t="s">
        <v>718</v>
      </c>
    </row>
    <row r="85" spans="1:21" x14ac:dyDescent="0.3">
      <c r="A85">
        <v>269308</v>
      </c>
      <c r="B85" t="s">
        <v>46</v>
      </c>
      <c r="C85" t="s">
        <v>245</v>
      </c>
      <c r="D85" t="s">
        <v>52</v>
      </c>
      <c r="E85" s="1" t="s">
        <v>957</v>
      </c>
      <c r="F85">
        <v>25045716</v>
      </c>
      <c r="G85" t="s">
        <v>545</v>
      </c>
      <c r="H85" s="17">
        <v>30429333000282</v>
      </c>
      <c r="I85" s="17">
        <v>9576274000106</v>
      </c>
      <c r="J85" t="s">
        <v>2</v>
      </c>
      <c r="K85" s="9" t="s">
        <v>958</v>
      </c>
      <c r="L85" t="s">
        <v>44</v>
      </c>
      <c r="M85">
        <v>41244</v>
      </c>
      <c r="N85" s="2" t="s">
        <v>583</v>
      </c>
      <c r="O85" s="9" t="s">
        <v>958</v>
      </c>
      <c r="P85" t="s">
        <v>959</v>
      </c>
      <c r="T85" s="2"/>
      <c r="U85" s="2" t="s">
        <v>718</v>
      </c>
    </row>
    <row r="86" spans="1:21" x14ac:dyDescent="0.3">
      <c r="A86">
        <v>269308</v>
      </c>
      <c r="B86" t="s">
        <v>46</v>
      </c>
      <c r="C86" t="s">
        <v>276</v>
      </c>
      <c r="D86" t="s">
        <v>63</v>
      </c>
      <c r="E86" s="1" t="s">
        <v>960</v>
      </c>
      <c r="F86">
        <v>25045572</v>
      </c>
      <c r="G86" t="s">
        <v>961</v>
      </c>
      <c r="H86" s="17">
        <v>65580965000146</v>
      </c>
      <c r="I86" s="17">
        <v>90739624001432</v>
      </c>
      <c r="J86" t="s">
        <v>2</v>
      </c>
      <c r="K86" s="9" t="s">
        <v>962</v>
      </c>
      <c r="L86" t="s">
        <v>44</v>
      </c>
      <c r="M86">
        <v>716</v>
      </c>
      <c r="N86" s="2" t="s">
        <v>583</v>
      </c>
      <c r="O86" s="9" t="s">
        <v>962</v>
      </c>
      <c r="P86" t="s">
        <v>963</v>
      </c>
      <c r="T86" s="2"/>
      <c r="U86" s="2" t="s">
        <v>718</v>
      </c>
    </row>
    <row r="87" spans="1:21" x14ac:dyDescent="0.3">
      <c r="A87">
        <v>269308</v>
      </c>
      <c r="B87" t="s">
        <v>46</v>
      </c>
      <c r="C87" t="s">
        <v>538</v>
      </c>
      <c r="D87" t="s">
        <v>13</v>
      </c>
      <c r="E87" s="1" t="s">
        <v>964</v>
      </c>
      <c r="F87">
        <v>25045567</v>
      </c>
      <c r="G87" t="s">
        <v>315</v>
      </c>
      <c r="H87" s="17">
        <v>2322969000104</v>
      </c>
      <c r="I87" s="17">
        <v>90739624001190</v>
      </c>
      <c r="J87" t="s">
        <v>2</v>
      </c>
      <c r="K87" s="9" t="s">
        <v>726</v>
      </c>
      <c r="L87" t="s">
        <v>44</v>
      </c>
      <c r="M87">
        <v>16233</v>
      </c>
      <c r="N87" s="2" t="s">
        <v>583</v>
      </c>
      <c r="O87" s="9" t="s">
        <v>726</v>
      </c>
      <c r="P87" t="s">
        <v>965</v>
      </c>
      <c r="T87" s="2"/>
      <c r="U87" s="2" t="s">
        <v>718</v>
      </c>
    </row>
    <row r="88" spans="1:21" x14ac:dyDescent="0.3">
      <c r="A88">
        <v>269308</v>
      </c>
      <c r="B88" t="s">
        <v>46</v>
      </c>
      <c r="C88" t="s">
        <v>543</v>
      </c>
      <c r="D88" t="s">
        <v>174</v>
      </c>
      <c r="E88" s="1" t="s">
        <v>966</v>
      </c>
      <c r="F88">
        <v>25045522</v>
      </c>
      <c r="G88" t="s">
        <v>176</v>
      </c>
      <c r="H88" s="17">
        <v>4219621000111</v>
      </c>
      <c r="I88" s="17">
        <v>90739624000118</v>
      </c>
      <c r="J88" t="s">
        <v>2</v>
      </c>
      <c r="K88" s="9" t="s">
        <v>967</v>
      </c>
      <c r="L88" t="s">
        <v>44</v>
      </c>
      <c r="M88">
        <v>99278</v>
      </c>
      <c r="N88" s="2" t="s">
        <v>602</v>
      </c>
      <c r="O88" s="9" t="s">
        <v>967</v>
      </c>
      <c r="P88" t="s">
        <v>968</v>
      </c>
      <c r="T88" s="2"/>
      <c r="U88" s="2" t="s">
        <v>718</v>
      </c>
    </row>
    <row r="89" spans="1:21" x14ac:dyDescent="0.3">
      <c r="A89">
        <v>269308</v>
      </c>
      <c r="B89" t="s">
        <v>46</v>
      </c>
      <c r="C89" t="s">
        <v>195</v>
      </c>
      <c r="D89" t="s">
        <v>63</v>
      </c>
      <c r="E89" s="1" t="s">
        <v>969</v>
      </c>
      <c r="F89">
        <v>25045489</v>
      </c>
      <c r="G89" t="s">
        <v>919</v>
      </c>
      <c r="H89" s="17">
        <v>20630766000167</v>
      </c>
      <c r="I89" s="17">
        <v>90739624001432</v>
      </c>
      <c r="J89" t="s">
        <v>2</v>
      </c>
      <c r="K89" s="9" t="s">
        <v>970</v>
      </c>
      <c r="L89" t="s">
        <v>44</v>
      </c>
      <c r="M89">
        <v>59198</v>
      </c>
      <c r="N89" s="2" t="s">
        <v>583</v>
      </c>
      <c r="O89" s="9" t="s">
        <v>970</v>
      </c>
      <c r="P89" t="s">
        <v>971</v>
      </c>
      <c r="T89" s="2"/>
      <c r="U89" s="2" t="s">
        <v>718</v>
      </c>
    </row>
    <row r="90" spans="1:21" x14ac:dyDescent="0.3">
      <c r="A90">
        <v>269308</v>
      </c>
      <c r="B90" t="s">
        <v>46</v>
      </c>
      <c r="C90" t="s">
        <v>562</v>
      </c>
      <c r="D90" t="s">
        <v>33</v>
      </c>
      <c r="E90" s="1" t="s">
        <v>972</v>
      </c>
      <c r="F90">
        <v>25045445</v>
      </c>
      <c r="G90" t="s">
        <v>35</v>
      </c>
      <c r="H90" s="17">
        <v>27933025000102</v>
      </c>
      <c r="I90" s="17">
        <v>9576274000106</v>
      </c>
      <c r="J90" t="s">
        <v>2</v>
      </c>
      <c r="K90" s="9" t="s">
        <v>973</v>
      </c>
      <c r="L90" t="s">
        <v>44</v>
      </c>
      <c r="M90">
        <v>1146</v>
      </c>
      <c r="N90" s="2" t="s">
        <v>792</v>
      </c>
      <c r="O90" s="9" t="s">
        <v>973</v>
      </c>
      <c r="P90" t="s">
        <v>974</v>
      </c>
      <c r="T90" s="2"/>
      <c r="U90" s="2" t="s">
        <v>718</v>
      </c>
    </row>
    <row r="91" spans="1:21" x14ac:dyDescent="0.3">
      <c r="A91">
        <v>269308</v>
      </c>
      <c r="B91" t="s">
        <v>88</v>
      </c>
      <c r="C91" t="s">
        <v>534</v>
      </c>
      <c r="D91" t="s">
        <v>73</v>
      </c>
      <c r="E91" s="1" t="s">
        <v>975</v>
      </c>
      <c r="F91">
        <v>25045427</v>
      </c>
      <c r="G91" t="s">
        <v>262</v>
      </c>
      <c r="H91" s="17">
        <v>7473735001587</v>
      </c>
      <c r="I91" s="17"/>
      <c r="J91" t="s">
        <v>2</v>
      </c>
      <c r="K91" s="9" t="s">
        <v>976</v>
      </c>
      <c r="L91" t="s">
        <v>87</v>
      </c>
      <c r="N91" s="2"/>
      <c r="O91" s="9"/>
      <c r="T91" s="2"/>
      <c r="U91" s="2" t="s">
        <v>718</v>
      </c>
    </row>
    <row r="92" spans="1:21" x14ac:dyDescent="0.3">
      <c r="A92">
        <v>269308</v>
      </c>
      <c r="B92" t="s">
        <v>46</v>
      </c>
      <c r="C92" t="s">
        <v>96</v>
      </c>
      <c r="D92" t="s">
        <v>70</v>
      </c>
      <c r="E92" s="1" t="s">
        <v>977</v>
      </c>
      <c r="F92">
        <v>25045243</v>
      </c>
      <c r="G92" t="s">
        <v>72</v>
      </c>
      <c r="H92" s="17">
        <v>79964177000168</v>
      </c>
      <c r="I92" s="17">
        <v>9576274000106</v>
      </c>
      <c r="J92" t="s">
        <v>2</v>
      </c>
      <c r="K92" s="9" t="s">
        <v>651</v>
      </c>
      <c r="L92" t="s">
        <v>44</v>
      </c>
      <c r="M92">
        <v>257424</v>
      </c>
      <c r="N92" s="2" t="s">
        <v>583</v>
      </c>
      <c r="O92" s="9" t="s">
        <v>651</v>
      </c>
      <c r="P92" t="s">
        <v>978</v>
      </c>
      <c r="T92" s="2"/>
      <c r="U92" s="2" t="s">
        <v>718</v>
      </c>
    </row>
    <row r="93" spans="1:21" x14ac:dyDescent="0.3">
      <c r="A93">
        <v>269308</v>
      </c>
      <c r="B93" t="s">
        <v>46</v>
      </c>
      <c r="C93" t="s">
        <v>281</v>
      </c>
      <c r="D93" t="s">
        <v>170</v>
      </c>
      <c r="E93" s="1" t="s">
        <v>979</v>
      </c>
      <c r="F93">
        <v>25045086</v>
      </c>
      <c r="G93" t="s">
        <v>178</v>
      </c>
      <c r="H93" s="17">
        <v>83392050000199</v>
      </c>
      <c r="I93" s="17">
        <v>90739624001432</v>
      </c>
      <c r="J93" t="s">
        <v>2</v>
      </c>
      <c r="K93" s="9" t="s">
        <v>980</v>
      </c>
      <c r="L93" t="s">
        <v>44</v>
      </c>
      <c r="M93">
        <v>130093</v>
      </c>
      <c r="N93" s="2" t="s">
        <v>583</v>
      </c>
      <c r="O93" s="9" t="s">
        <v>980</v>
      </c>
      <c r="P93" t="s">
        <v>981</v>
      </c>
      <c r="T93" s="2"/>
      <c r="U93" s="2" t="s">
        <v>718</v>
      </c>
    </row>
    <row r="94" spans="1:21" x14ac:dyDescent="0.3">
      <c r="A94">
        <v>269308</v>
      </c>
      <c r="B94" t="s">
        <v>46</v>
      </c>
      <c r="C94" t="s">
        <v>251</v>
      </c>
      <c r="D94" t="s">
        <v>8</v>
      </c>
      <c r="E94" s="1" t="s">
        <v>982</v>
      </c>
      <c r="F94">
        <v>25045007</v>
      </c>
      <c r="G94" t="s">
        <v>252</v>
      </c>
      <c r="H94" s="17">
        <v>3680814000102</v>
      </c>
      <c r="I94" s="17">
        <v>9576274000106</v>
      </c>
      <c r="J94" t="s">
        <v>2</v>
      </c>
      <c r="K94" s="9" t="s">
        <v>983</v>
      </c>
      <c r="L94" t="s">
        <v>44</v>
      </c>
      <c r="M94">
        <v>9441</v>
      </c>
      <c r="N94" s="2" t="s">
        <v>583</v>
      </c>
      <c r="O94" s="9" t="s">
        <v>983</v>
      </c>
      <c r="P94" t="s">
        <v>984</v>
      </c>
      <c r="T94" s="2"/>
      <c r="U94" s="2" t="s">
        <v>718</v>
      </c>
    </row>
    <row r="95" spans="1:21" x14ac:dyDescent="0.3">
      <c r="A95">
        <v>269308</v>
      </c>
      <c r="B95" t="s">
        <v>88</v>
      </c>
      <c r="C95" t="s">
        <v>38</v>
      </c>
      <c r="D95" t="s">
        <v>33</v>
      </c>
      <c r="E95" s="1" t="s">
        <v>985</v>
      </c>
      <c r="F95">
        <v>25044827</v>
      </c>
      <c r="G95" t="s">
        <v>35</v>
      </c>
      <c r="H95" s="17">
        <v>27933025000102</v>
      </c>
      <c r="I95" s="17"/>
      <c r="J95" t="s">
        <v>2</v>
      </c>
      <c r="K95" s="9" t="s">
        <v>986</v>
      </c>
      <c r="L95" t="s">
        <v>87</v>
      </c>
      <c r="N95" s="2"/>
      <c r="O95" s="9"/>
      <c r="T95" s="2"/>
      <c r="U95" s="2" t="s">
        <v>718</v>
      </c>
    </row>
    <row r="96" spans="1:21" x14ac:dyDescent="0.3">
      <c r="A96">
        <v>269308</v>
      </c>
      <c r="B96" t="s">
        <v>46</v>
      </c>
      <c r="C96" t="s">
        <v>396</v>
      </c>
      <c r="D96" t="s">
        <v>58</v>
      </c>
      <c r="E96" s="1" t="s">
        <v>987</v>
      </c>
      <c r="F96">
        <v>25044744</v>
      </c>
      <c r="G96" t="s">
        <v>988</v>
      </c>
      <c r="H96" s="17">
        <v>93489243003050</v>
      </c>
      <c r="I96" s="17">
        <v>90739624002323</v>
      </c>
      <c r="J96" t="s">
        <v>2</v>
      </c>
      <c r="K96" s="9" t="s">
        <v>989</v>
      </c>
      <c r="L96" t="s">
        <v>44</v>
      </c>
      <c r="M96">
        <v>1667</v>
      </c>
      <c r="N96" s="2" t="s">
        <v>583</v>
      </c>
      <c r="O96" s="9" t="s">
        <v>989</v>
      </c>
      <c r="P96" t="s">
        <v>990</v>
      </c>
      <c r="T96" s="2"/>
      <c r="U96" s="2" t="s">
        <v>718</v>
      </c>
    </row>
    <row r="97" spans="1:21" x14ac:dyDescent="0.3">
      <c r="A97">
        <v>269308</v>
      </c>
      <c r="B97" t="s">
        <v>46</v>
      </c>
      <c r="C97" t="s">
        <v>249</v>
      </c>
      <c r="D97" t="s">
        <v>52</v>
      </c>
      <c r="E97" s="1" t="s">
        <v>991</v>
      </c>
      <c r="F97">
        <v>25044738</v>
      </c>
      <c r="G97" t="s">
        <v>545</v>
      </c>
      <c r="H97" s="17">
        <v>30429333000282</v>
      </c>
      <c r="I97" s="17">
        <v>9576274000106</v>
      </c>
      <c r="J97" t="s">
        <v>2</v>
      </c>
      <c r="K97" s="9" t="s">
        <v>992</v>
      </c>
      <c r="L97" t="s">
        <v>44</v>
      </c>
      <c r="M97">
        <v>41235</v>
      </c>
      <c r="N97" s="2" t="s">
        <v>583</v>
      </c>
      <c r="O97" s="9" t="s">
        <v>992</v>
      </c>
      <c r="P97" t="s">
        <v>993</v>
      </c>
      <c r="T97" s="2"/>
      <c r="U97" s="2" t="s">
        <v>718</v>
      </c>
    </row>
    <row r="98" spans="1:21" x14ac:dyDescent="0.3">
      <c r="A98">
        <v>269308</v>
      </c>
      <c r="B98" t="s">
        <v>46</v>
      </c>
      <c r="C98" t="s">
        <v>544</v>
      </c>
      <c r="D98" t="s">
        <v>31</v>
      </c>
      <c r="E98" s="1" t="s">
        <v>994</v>
      </c>
      <c r="F98">
        <v>25044722</v>
      </c>
      <c r="G98" t="s">
        <v>56</v>
      </c>
      <c r="H98" s="17">
        <v>8603562000212</v>
      </c>
      <c r="I98" s="17">
        <v>90739624001866</v>
      </c>
      <c r="J98" t="s">
        <v>2</v>
      </c>
      <c r="K98" s="9" t="s">
        <v>995</v>
      </c>
      <c r="L98" t="s">
        <v>44</v>
      </c>
      <c r="M98">
        <v>54921</v>
      </c>
      <c r="N98" s="2" t="s">
        <v>583</v>
      </c>
      <c r="O98" s="9" t="s">
        <v>995</v>
      </c>
      <c r="P98" t="s">
        <v>996</v>
      </c>
      <c r="T98" s="2"/>
      <c r="U98" s="2" t="s">
        <v>718</v>
      </c>
    </row>
    <row r="99" spans="1:21" x14ac:dyDescent="0.3">
      <c r="A99">
        <v>269308</v>
      </c>
      <c r="B99" t="s">
        <v>88</v>
      </c>
      <c r="C99" t="s">
        <v>261</v>
      </c>
      <c r="D99" t="s">
        <v>73</v>
      </c>
      <c r="E99" s="1" t="s">
        <v>997</v>
      </c>
      <c r="F99">
        <v>25044652</v>
      </c>
      <c r="G99" t="s">
        <v>262</v>
      </c>
      <c r="H99" s="17">
        <v>7473735001587</v>
      </c>
      <c r="I99" s="17"/>
      <c r="J99" t="s">
        <v>2</v>
      </c>
      <c r="K99" s="9" t="s">
        <v>998</v>
      </c>
      <c r="L99" t="s">
        <v>87</v>
      </c>
      <c r="N99" s="2"/>
      <c r="O99" s="9"/>
      <c r="T99" s="2"/>
      <c r="U99" s="2" t="s">
        <v>718</v>
      </c>
    </row>
    <row r="100" spans="1:21" x14ac:dyDescent="0.3">
      <c r="A100">
        <v>269308</v>
      </c>
      <c r="B100" t="s">
        <v>88</v>
      </c>
      <c r="C100" t="s">
        <v>102</v>
      </c>
      <c r="D100" t="s">
        <v>58</v>
      </c>
      <c r="E100" s="1" t="s">
        <v>999</v>
      </c>
      <c r="F100">
        <v>25044538</v>
      </c>
      <c r="G100" t="s">
        <v>360</v>
      </c>
      <c r="H100" s="17">
        <v>7473735006201</v>
      </c>
      <c r="I100" s="17"/>
      <c r="J100" t="s">
        <v>2</v>
      </c>
      <c r="K100" s="9" t="s">
        <v>1000</v>
      </c>
      <c r="L100" t="s">
        <v>87</v>
      </c>
      <c r="N100" s="2"/>
      <c r="O100" s="9"/>
      <c r="T100" s="2"/>
      <c r="U100" s="2" t="s">
        <v>718</v>
      </c>
    </row>
    <row r="101" spans="1:21" x14ac:dyDescent="0.3">
      <c r="A101">
        <v>269308</v>
      </c>
      <c r="B101" t="s">
        <v>88</v>
      </c>
      <c r="C101" t="s">
        <v>107</v>
      </c>
      <c r="D101" t="s">
        <v>65</v>
      </c>
      <c r="E101" s="1" t="s">
        <v>1001</v>
      </c>
      <c r="F101">
        <v>25044500</v>
      </c>
      <c r="G101" t="s">
        <v>67</v>
      </c>
      <c r="H101" s="17">
        <v>7473735006031</v>
      </c>
      <c r="I101" s="17"/>
      <c r="J101" t="s">
        <v>2</v>
      </c>
      <c r="K101" s="9" t="s">
        <v>1002</v>
      </c>
      <c r="L101" t="s">
        <v>87</v>
      </c>
      <c r="N101" s="2"/>
      <c r="O101" s="9"/>
      <c r="T101" s="2"/>
      <c r="U101" s="2" t="s">
        <v>718</v>
      </c>
    </row>
    <row r="102" spans="1:21" x14ac:dyDescent="0.3">
      <c r="A102">
        <v>269308</v>
      </c>
      <c r="B102" t="s">
        <v>46</v>
      </c>
      <c r="C102" t="s">
        <v>84</v>
      </c>
      <c r="D102" t="s">
        <v>61</v>
      </c>
      <c r="E102" s="1" t="s">
        <v>1003</v>
      </c>
      <c r="F102">
        <v>25044312</v>
      </c>
      <c r="G102" t="s">
        <v>85</v>
      </c>
      <c r="H102" s="17">
        <v>1975878000105</v>
      </c>
      <c r="I102" s="17">
        <v>9576274000106</v>
      </c>
      <c r="J102" t="s">
        <v>2</v>
      </c>
      <c r="K102" s="9" t="s">
        <v>1004</v>
      </c>
      <c r="L102" t="s">
        <v>44</v>
      </c>
      <c r="M102">
        <v>2540</v>
      </c>
      <c r="N102" s="2" t="s">
        <v>583</v>
      </c>
      <c r="O102" s="9" t="s">
        <v>1004</v>
      </c>
      <c r="P102" t="s">
        <v>1005</v>
      </c>
      <c r="T102" s="2"/>
      <c r="U102" s="2" t="s">
        <v>718</v>
      </c>
    </row>
    <row r="103" spans="1:21" x14ac:dyDescent="0.3">
      <c r="A103">
        <v>269308</v>
      </c>
      <c r="B103" t="s">
        <v>88</v>
      </c>
      <c r="C103" t="s">
        <v>555</v>
      </c>
      <c r="D103" t="s">
        <v>58</v>
      </c>
      <c r="E103" s="1" t="s">
        <v>1006</v>
      </c>
      <c r="F103">
        <v>25044223</v>
      </c>
      <c r="G103" t="s">
        <v>106</v>
      </c>
      <c r="H103" s="17">
        <v>7473735015103</v>
      </c>
      <c r="I103" s="17"/>
      <c r="J103" t="s">
        <v>2</v>
      </c>
      <c r="K103" s="9" t="s">
        <v>1007</v>
      </c>
      <c r="L103" t="s">
        <v>87</v>
      </c>
      <c r="N103" s="2"/>
      <c r="O103" s="9"/>
      <c r="T103" s="2"/>
      <c r="U103" s="2" t="s">
        <v>718</v>
      </c>
    </row>
    <row r="104" spans="1:21" x14ac:dyDescent="0.3">
      <c r="A104">
        <v>269308</v>
      </c>
      <c r="B104" t="s">
        <v>88</v>
      </c>
      <c r="C104" t="s">
        <v>304</v>
      </c>
      <c r="D104" t="s">
        <v>61</v>
      </c>
      <c r="E104" s="1" t="s">
        <v>1008</v>
      </c>
      <c r="F104">
        <v>25044164</v>
      </c>
      <c r="G104" t="s">
        <v>79</v>
      </c>
      <c r="H104" s="17">
        <v>7473735000777</v>
      </c>
      <c r="I104" s="17"/>
      <c r="J104" t="s">
        <v>2</v>
      </c>
      <c r="K104" s="9" t="s">
        <v>1009</v>
      </c>
      <c r="L104" t="s">
        <v>87</v>
      </c>
      <c r="N104" s="2"/>
      <c r="O104" s="9"/>
      <c r="T104" s="2"/>
      <c r="U104" s="2" t="s">
        <v>718</v>
      </c>
    </row>
    <row r="105" spans="1:21" x14ac:dyDescent="0.3">
      <c r="A105">
        <v>269308</v>
      </c>
      <c r="B105" t="s">
        <v>46</v>
      </c>
      <c r="C105" t="s">
        <v>574</v>
      </c>
      <c r="D105" t="s">
        <v>13</v>
      </c>
      <c r="E105" s="1" t="s">
        <v>1010</v>
      </c>
      <c r="F105">
        <v>25044126</v>
      </c>
      <c r="G105" t="s">
        <v>601</v>
      </c>
      <c r="H105" s="17">
        <v>6294288000130</v>
      </c>
      <c r="I105" s="17">
        <v>90739624001190</v>
      </c>
      <c r="J105" t="s">
        <v>2</v>
      </c>
      <c r="K105" s="9" t="s">
        <v>1011</v>
      </c>
      <c r="L105" t="s">
        <v>44</v>
      </c>
      <c r="M105">
        <v>178302</v>
      </c>
      <c r="N105" s="2" t="s">
        <v>602</v>
      </c>
      <c r="O105" s="9" t="s">
        <v>1011</v>
      </c>
      <c r="P105" t="s">
        <v>1012</v>
      </c>
      <c r="T105" s="2"/>
      <c r="U105" s="2" t="s">
        <v>718</v>
      </c>
    </row>
    <row r="106" spans="1:21" x14ac:dyDescent="0.3">
      <c r="A106">
        <v>269308</v>
      </c>
      <c r="B106" t="s">
        <v>46</v>
      </c>
      <c r="C106" t="s">
        <v>326</v>
      </c>
      <c r="D106" t="s">
        <v>52</v>
      </c>
      <c r="E106" s="1" t="s">
        <v>1013</v>
      </c>
      <c r="F106">
        <v>25044124</v>
      </c>
      <c r="G106" t="s">
        <v>54</v>
      </c>
      <c r="H106" s="17">
        <v>79130647000198</v>
      </c>
      <c r="I106" s="17">
        <v>9576274000106</v>
      </c>
      <c r="J106" t="s">
        <v>2</v>
      </c>
      <c r="K106" s="9" t="s">
        <v>1014</v>
      </c>
      <c r="L106" t="s">
        <v>44</v>
      </c>
      <c r="M106">
        <v>16851</v>
      </c>
      <c r="N106" s="2" t="s">
        <v>583</v>
      </c>
      <c r="O106" s="9" t="s">
        <v>1014</v>
      </c>
      <c r="P106" t="s">
        <v>1015</v>
      </c>
      <c r="T106" s="2"/>
      <c r="U106" s="2" t="s">
        <v>718</v>
      </c>
    </row>
    <row r="107" spans="1:21" x14ac:dyDescent="0.3">
      <c r="A107">
        <v>269308</v>
      </c>
      <c r="B107" t="s">
        <v>46</v>
      </c>
      <c r="C107" t="s">
        <v>474</v>
      </c>
      <c r="D107" t="s">
        <v>99</v>
      </c>
      <c r="E107" s="1" t="s">
        <v>1016</v>
      </c>
      <c r="F107">
        <v>25044100</v>
      </c>
      <c r="G107" t="s">
        <v>507</v>
      </c>
      <c r="H107" s="17">
        <v>3626094001330</v>
      </c>
      <c r="I107" s="17">
        <v>9576274000106</v>
      </c>
      <c r="J107" t="s">
        <v>2</v>
      </c>
      <c r="K107" s="9" t="s">
        <v>1017</v>
      </c>
      <c r="L107" t="s">
        <v>44</v>
      </c>
      <c r="M107">
        <v>50605</v>
      </c>
      <c r="N107" s="2" t="s">
        <v>583</v>
      </c>
      <c r="O107" s="9" t="s">
        <v>1017</v>
      </c>
      <c r="P107" t="s">
        <v>1018</v>
      </c>
      <c r="T107" s="2"/>
      <c r="U107" s="2" t="s">
        <v>718</v>
      </c>
    </row>
    <row r="108" spans="1:21" x14ac:dyDescent="0.3">
      <c r="A108">
        <v>269308</v>
      </c>
      <c r="B108" t="s">
        <v>46</v>
      </c>
      <c r="C108" t="s">
        <v>175</v>
      </c>
      <c r="D108" t="s">
        <v>174</v>
      </c>
      <c r="E108" s="1" t="s">
        <v>1019</v>
      </c>
      <c r="F108">
        <v>25044038</v>
      </c>
      <c r="G108" t="s">
        <v>176</v>
      </c>
      <c r="H108" s="17">
        <v>4219621000111</v>
      </c>
      <c r="I108" s="17">
        <v>90739624000118</v>
      </c>
      <c r="J108" t="s">
        <v>2</v>
      </c>
      <c r="K108" s="9" t="s">
        <v>1020</v>
      </c>
      <c r="L108" t="s">
        <v>44</v>
      </c>
      <c r="M108">
        <v>99277</v>
      </c>
      <c r="N108" s="2" t="s">
        <v>602</v>
      </c>
      <c r="O108" s="9" t="s">
        <v>1020</v>
      </c>
      <c r="P108" t="s">
        <v>1021</v>
      </c>
      <c r="T108" s="2"/>
      <c r="U108" s="2" t="s">
        <v>718</v>
      </c>
    </row>
    <row r="109" spans="1:21" x14ac:dyDescent="0.3">
      <c r="A109">
        <v>269308</v>
      </c>
      <c r="B109" t="s">
        <v>46</v>
      </c>
      <c r="C109" t="s">
        <v>26</v>
      </c>
      <c r="D109" t="s">
        <v>11</v>
      </c>
      <c r="E109" s="1" t="s">
        <v>1022</v>
      </c>
      <c r="F109">
        <v>25043854</v>
      </c>
      <c r="G109" t="s">
        <v>486</v>
      </c>
      <c r="H109" s="17">
        <v>58446194000133</v>
      </c>
      <c r="I109" s="17">
        <v>90739624001947</v>
      </c>
      <c r="J109" t="s">
        <v>2</v>
      </c>
      <c r="K109" s="9" t="s">
        <v>1023</v>
      </c>
      <c r="L109" t="s">
        <v>44</v>
      </c>
      <c r="M109">
        <v>53321</v>
      </c>
      <c r="N109" s="2" t="s">
        <v>583</v>
      </c>
      <c r="O109" s="9" t="s">
        <v>1023</v>
      </c>
      <c r="P109" t="s">
        <v>1024</v>
      </c>
      <c r="T109" s="2"/>
      <c r="U109" s="2" t="s">
        <v>718</v>
      </c>
    </row>
    <row r="110" spans="1:21" x14ac:dyDescent="0.3">
      <c r="A110">
        <v>269308</v>
      </c>
      <c r="B110" t="s">
        <v>46</v>
      </c>
      <c r="C110" t="s">
        <v>330</v>
      </c>
      <c r="D110" t="s">
        <v>0</v>
      </c>
      <c r="E110" s="1" t="s">
        <v>1025</v>
      </c>
      <c r="F110">
        <v>25043551</v>
      </c>
      <c r="G110" t="s">
        <v>1026</v>
      </c>
      <c r="H110" s="17">
        <v>81326258001407</v>
      </c>
      <c r="I110" s="17">
        <v>90739624001432</v>
      </c>
      <c r="J110" t="s">
        <v>2</v>
      </c>
      <c r="K110" s="9" t="s">
        <v>1027</v>
      </c>
      <c r="L110" t="s">
        <v>44</v>
      </c>
      <c r="M110">
        <v>28231</v>
      </c>
      <c r="N110" s="2" t="s">
        <v>583</v>
      </c>
      <c r="O110" s="9" t="s">
        <v>1027</v>
      </c>
      <c r="P110" t="s">
        <v>1028</v>
      </c>
      <c r="T110" s="2"/>
      <c r="U110" s="2" t="s">
        <v>718</v>
      </c>
    </row>
    <row r="111" spans="1:21" x14ac:dyDescent="0.3">
      <c r="A111">
        <v>269308</v>
      </c>
      <c r="B111" t="s">
        <v>46</v>
      </c>
      <c r="C111" t="s">
        <v>253</v>
      </c>
      <c r="D111" t="s">
        <v>99</v>
      </c>
      <c r="E111" s="1" t="s">
        <v>1029</v>
      </c>
      <c r="F111">
        <v>25043488</v>
      </c>
      <c r="G111" t="s">
        <v>507</v>
      </c>
      <c r="H111" s="17">
        <v>3626094001330</v>
      </c>
      <c r="I111" s="17">
        <v>9576274000106</v>
      </c>
      <c r="J111" t="s">
        <v>2</v>
      </c>
      <c r="K111" s="9" t="s">
        <v>625</v>
      </c>
      <c r="L111" t="s">
        <v>44</v>
      </c>
      <c r="M111">
        <v>50604</v>
      </c>
      <c r="N111" s="2" t="s">
        <v>583</v>
      </c>
      <c r="O111" s="9" t="s">
        <v>625</v>
      </c>
      <c r="P111" t="s">
        <v>1030</v>
      </c>
      <c r="T111" s="2"/>
      <c r="U111" s="2" t="s">
        <v>718</v>
      </c>
    </row>
    <row r="112" spans="1:21" x14ac:dyDescent="0.3">
      <c r="A112">
        <v>269308</v>
      </c>
      <c r="B112" t="s">
        <v>46</v>
      </c>
      <c r="C112" t="s">
        <v>247</v>
      </c>
      <c r="D112" t="s">
        <v>11</v>
      </c>
      <c r="E112" s="1" t="s">
        <v>1031</v>
      </c>
      <c r="F112">
        <v>25043331</v>
      </c>
      <c r="G112" t="s">
        <v>1032</v>
      </c>
      <c r="H112" s="17">
        <v>9427958000138</v>
      </c>
      <c r="I112" s="17">
        <v>90739624001947</v>
      </c>
      <c r="J112" t="s">
        <v>2</v>
      </c>
      <c r="K112" s="9" t="s">
        <v>1033</v>
      </c>
      <c r="L112" t="s">
        <v>44</v>
      </c>
      <c r="M112">
        <v>97937</v>
      </c>
      <c r="N112" s="2" t="s">
        <v>583</v>
      </c>
      <c r="O112" s="9" t="s">
        <v>1033</v>
      </c>
      <c r="P112" t="s">
        <v>1034</v>
      </c>
      <c r="T112" s="2"/>
      <c r="U112" s="2" t="s">
        <v>718</v>
      </c>
    </row>
    <row r="113" spans="1:21" x14ac:dyDescent="0.3">
      <c r="A113">
        <v>269308</v>
      </c>
      <c r="B113" t="s">
        <v>88</v>
      </c>
      <c r="C113" t="s">
        <v>153</v>
      </c>
      <c r="D113" t="s">
        <v>58</v>
      </c>
      <c r="E113" s="1" t="s">
        <v>1035</v>
      </c>
      <c r="F113">
        <v>25043286</v>
      </c>
      <c r="G113" t="s">
        <v>106</v>
      </c>
      <c r="H113" s="17">
        <v>7473735015103</v>
      </c>
      <c r="I113" s="17"/>
      <c r="J113" t="s">
        <v>2</v>
      </c>
      <c r="K113" s="9" t="s">
        <v>1036</v>
      </c>
      <c r="L113" t="s">
        <v>87</v>
      </c>
      <c r="N113" s="2"/>
      <c r="O113" s="9"/>
      <c r="T113" s="2"/>
      <c r="U113" s="2" t="s">
        <v>718</v>
      </c>
    </row>
    <row r="114" spans="1:21" x14ac:dyDescent="0.3">
      <c r="A114">
        <v>269308</v>
      </c>
      <c r="B114" t="s">
        <v>46</v>
      </c>
      <c r="C114" t="s">
        <v>110</v>
      </c>
      <c r="D114" t="s">
        <v>31</v>
      </c>
      <c r="E114" s="1" t="s">
        <v>1037</v>
      </c>
      <c r="F114">
        <v>25042872</v>
      </c>
      <c r="G114" t="s">
        <v>142</v>
      </c>
      <c r="H114" s="17">
        <v>54494203000100</v>
      </c>
      <c r="I114" s="17">
        <v>90739624001866</v>
      </c>
      <c r="J114" t="s">
        <v>2</v>
      </c>
      <c r="K114" s="9" t="s">
        <v>1038</v>
      </c>
      <c r="L114" t="s">
        <v>44</v>
      </c>
      <c r="M114">
        <v>16046</v>
      </c>
      <c r="N114" s="2" t="s">
        <v>1039</v>
      </c>
      <c r="O114" s="9" t="s">
        <v>1038</v>
      </c>
      <c r="P114" t="s">
        <v>1040</v>
      </c>
      <c r="T114" s="2"/>
      <c r="U114" s="2" t="s">
        <v>718</v>
      </c>
    </row>
    <row r="115" spans="1:21" x14ac:dyDescent="0.3">
      <c r="A115">
        <v>269308</v>
      </c>
      <c r="B115" t="s">
        <v>46</v>
      </c>
      <c r="C115" t="s">
        <v>55</v>
      </c>
      <c r="D115" t="s">
        <v>31</v>
      </c>
      <c r="E115" s="1" t="s">
        <v>1041</v>
      </c>
      <c r="F115">
        <v>25042871</v>
      </c>
      <c r="G115" t="s">
        <v>56</v>
      </c>
      <c r="H115" s="17">
        <v>8603562000212</v>
      </c>
      <c r="I115" s="17">
        <v>90739624001866</v>
      </c>
      <c r="J115" t="s">
        <v>2</v>
      </c>
      <c r="K115" s="9" t="s">
        <v>1042</v>
      </c>
      <c r="L115" t="s">
        <v>44</v>
      </c>
      <c r="M115">
        <v>54915</v>
      </c>
      <c r="N115" s="2" t="s">
        <v>583</v>
      </c>
      <c r="O115" s="9" t="s">
        <v>1042</v>
      </c>
      <c r="P115" t="s">
        <v>1043</v>
      </c>
      <c r="T115" s="2"/>
      <c r="U115" s="2" t="s">
        <v>718</v>
      </c>
    </row>
    <row r="116" spans="1:21" x14ac:dyDescent="0.3">
      <c r="A116">
        <v>269308</v>
      </c>
      <c r="B116" t="s">
        <v>46</v>
      </c>
      <c r="C116" t="s">
        <v>114</v>
      </c>
      <c r="D116" t="s">
        <v>99</v>
      </c>
      <c r="E116" s="1" t="s">
        <v>1044</v>
      </c>
      <c r="F116">
        <v>25042847</v>
      </c>
      <c r="G116" t="s">
        <v>507</v>
      </c>
      <c r="H116" s="17">
        <v>3626094001330</v>
      </c>
      <c r="I116" s="17">
        <v>9576274000106</v>
      </c>
      <c r="J116" t="s">
        <v>2</v>
      </c>
      <c r="K116" s="9" t="s">
        <v>1045</v>
      </c>
      <c r="L116" t="s">
        <v>44</v>
      </c>
      <c r="M116">
        <v>50603</v>
      </c>
      <c r="N116" s="2" t="s">
        <v>583</v>
      </c>
      <c r="O116" s="9" t="s">
        <v>1045</v>
      </c>
      <c r="P116" t="s">
        <v>1046</v>
      </c>
      <c r="T116" s="2"/>
      <c r="U116" s="2" t="s">
        <v>718</v>
      </c>
    </row>
    <row r="117" spans="1:21" x14ac:dyDescent="0.3">
      <c r="A117">
        <v>269308</v>
      </c>
      <c r="B117" t="s">
        <v>88</v>
      </c>
      <c r="C117" t="s">
        <v>66</v>
      </c>
      <c r="D117" t="s">
        <v>65</v>
      </c>
      <c r="E117" s="1" t="s">
        <v>1047</v>
      </c>
      <c r="F117">
        <v>25042817</v>
      </c>
      <c r="G117" t="s">
        <v>67</v>
      </c>
      <c r="H117" s="17">
        <v>7473735006031</v>
      </c>
      <c r="I117" s="17"/>
      <c r="J117" t="s">
        <v>2</v>
      </c>
      <c r="K117" s="9" t="s">
        <v>1048</v>
      </c>
      <c r="L117" t="s">
        <v>87</v>
      </c>
      <c r="N117" s="2"/>
      <c r="O117" s="9"/>
      <c r="T117" s="2"/>
      <c r="U117" s="2" t="s">
        <v>718</v>
      </c>
    </row>
    <row r="118" spans="1:21" x14ac:dyDescent="0.3">
      <c r="A118">
        <v>269308</v>
      </c>
      <c r="B118" t="s">
        <v>46</v>
      </c>
      <c r="C118" t="s">
        <v>355</v>
      </c>
      <c r="D118" t="s">
        <v>13</v>
      </c>
      <c r="E118" s="1" t="s">
        <v>1049</v>
      </c>
      <c r="F118">
        <v>25042814</v>
      </c>
      <c r="G118" t="s">
        <v>15</v>
      </c>
      <c r="H118" s="17">
        <v>30432373000100</v>
      </c>
      <c r="I118" s="17">
        <v>90739624001190</v>
      </c>
      <c r="J118" t="s">
        <v>2</v>
      </c>
      <c r="K118" s="9" t="s">
        <v>1050</v>
      </c>
      <c r="L118" t="s">
        <v>44</v>
      </c>
      <c r="M118">
        <v>24732</v>
      </c>
      <c r="N118" s="2" t="s">
        <v>583</v>
      </c>
      <c r="O118" s="9" t="s">
        <v>1051</v>
      </c>
      <c r="P118" t="s">
        <v>1052</v>
      </c>
      <c r="T118" s="2"/>
      <c r="U118" s="2" t="s">
        <v>718</v>
      </c>
    </row>
    <row r="119" spans="1:21" x14ac:dyDescent="0.3">
      <c r="A119">
        <v>269308</v>
      </c>
      <c r="B119" t="s">
        <v>46</v>
      </c>
      <c r="C119" t="s">
        <v>551</v>
      </c>
      <c r="D119" t="s">
        <v>13</v>
      </c>
      <c r="E119" s="1" t="s">
        <v>1053</v>
      </c>
      <c r="F119">
        <v>25042588</v>
      </c>
      <c r="G119" t="s">
        <v>465</v>
      </c>
      <c r="H119" s="17">
        <v>24601882000109</v>
      </c>
      <c r="I119" s="17">
        <v>90739624001190</v>
      </c>
      <c r="J119" t="s">
        <v>2</v>
      </c>
      <c r="K119" s="9" t="s">
        <v>1054</v>
      </c>
      <c r="L119" t="s">
        <v>44</v>
      </c>
      <c r="M119">
        <v>91534</v>
      </c>
      <c r="N119" s="2" t="s">
        <v>602</v>
      </c>
      <c r="O119" s="9" t="s">
        <v>1054</v>
      </c>
      <c r="P119" t="s">
        <v>1055</v>
      </c>
      <c r="T119" s="2"/>
      <c r="U119" s="2" t="s">
        <v>718</v>
      </c>
    </row>
    <row r="120" spans="1:21" x14ac:dyDescent="0.3">
      <c r="A120">
        <v>269308</v>
      </c>
      <c r="B120" t="s">
        <v>88</v>
      </c>
      <c r="C120" t="s">
        <v>535</v>
      </c>
      <c r="D120" t="s">
        <v>58</v>
      </c>
      <c r="E120" s="1" t="s">
        <v>1056</v>
      </c>
      <c r="F120">
        <v>25042577</v>
      </c>
      <c r="G120" t="s">
        <v>629</v>
      </c>
      <c r="H120" s="17">
        <v>7473735021260</v>
      </c>
      <c r="I120" s="17"/>
      <c r="J120" t="s">
        <v>2</v>
      </c>
      <c r="K120" s="9" t="s">
        <v>1057</v>
      </c>
      <c r="L120" t="s">
        <v>87</v>
      </c>
      <c r="N120" s="2"/>
      <c r="O120" s="9"/>
      <c r="T120" s="2"/>
      <c r="U120" s="2" t="s">
        <v>718</v>
      </c>
    </row>
    <row r="121" spans="1:21" x14ac:dyDescent="0.3">
      <c r="A121">
        <v>269308</v>
      </c>
      <c r="B121" t="s">
        <v>46</v>
      </c>
      <c r="C121" t="s">
        <v>39</v>
      </c>
      <c r="D121" t="s">
        <v>18</v>
      </c>
      <c r="E121" s="1" t="s">
        <v>1058</v>
      </c>
      <c r="F121">
        <v>25042510</v>
      </c>
      <c r="G121" t="s">
        <v>54</v>
      </c>
      <c r="H121" s="17">
        <v>79130647000198</v>
      </c>
      <c r="I121" s="17">
        <v>9576274000106</v>
      </c>
      <c r="J121" t="s">
        <v>17</v>
      </c>
      <c r="K121" s="9" t="s">
        <v>1059</v>
      </c>
      <c r="L121" t="s">
        <v>44</v>
      </c>
      <c r="M121">
        <v>20216</v>
      </c>
      <c r="N121" s="2" t="s">
        <v>583</v>
      </c>
      <c r="O121" s="9" t="s">
        <v>1059</v>
      </c>
      <c r="P121" t="s">
        <v>1060</v>
      </c>
      <c r="T121" s="2"/>
      <c r="U121" s="2" t="s">
        <v>718</v>
      </c>
    </row>
    <row r="122" spans="1:21" x14ac:dyDescent="0.3">
      <c r="A122">
        <v>269308</v>
      </c>
      <c r="B122" t="s">
        <v>46</v>
      </c>
      <c r="C122" t="s">
        <v>39</v>
      </c>
      <c r="D122" t="s">
        <v>18</v>
      </c>
      <c r="E122" s="1" t="s">
        <v>1061</v>
      </c>
      <c r="F122">
        <v>25042478</v>
      </c>
      <c r="G122" t="s">
        <v>54</v>
      </c>
      <c r="H122" s="17">
        <v>79130647000198</v>
      </c>
      <c r="I122" s="17">
        <v>9576274000106</v>
      </c>
      <c r="J122" t="s">
        <v>2</v>
      </c>
      <c r="K122" s="9" t="s">
        <v>661</v>
      </c>
      <c r="L122" t="s">
        <v>44</v>
      </c>
      <c r="M122">
        <v>20215</v>
      </c>
      <c r="N122" s="2" t="s">
        <v>583</v>
      </c>
      <c r="O122" s="9" t="s">
        <v>661</v>
      </c>
      <c r="P122" t="s">
        <v>1062</v>
      </c>
      <c r="T122" s="2"/>
      <c r="U122" s="2" t="s">
        <v>718</v>
      </c>
    </row>
    <row r="123" spans="1:21" x14ac:dyDescent="0.3">
      <c r="A123">
        <v>269308</v>
      </c>
      <c r="B123" t="s">
        <v>46</v>
      </c>
      <c r="C123" t="s">
        <v>614</v>
      </c>
      <c r="D123" t="s">
        <v>61</v>
      </c>
      <c r="E123" s="1" t="s">
        <v>1063</v>
      </c>
      <c r="F123">
        <v>25042324</v>
      </c>
      <c r="G123" t="s">
        <v>85</v>
      </c>
      <c r="H123" s="17">
        <v>1975878000105</v>
      </c>
      <c r="I123" s="17">
        <v>9576274000106</v>
      </c>
      <c r="J123" t="s">
        <v>2</v>
      </c>
      <c r="K123" s="9" t="s">
        <v>1064</v>
      </c>
      <c r="L123" t="s">
        <v>44</v>
      </c>
      <c r="M123">
        <v>2539</v>
      </c>
      <c r="N123" s="2" t="s">
        <v>583</v>
      </c>
      <c r="O123" s="9" t="s">
        <v>1064</v>
      </c>
      <c r="P123" t="s">
        <v>1065</v>
      </c>
      <c r="T123" s="2"/>
      <c r="U123" s="2" t="s">
        <v>718</v>
      </c>
    </row>
    <row r="124" spans="1:21" x14ac:dyDescent="0.3">
      <c r="A124">
        <v>269308</v>
      </c>
      <c r="B124" t="s">
        <v>88</v>
      </c>
      <c r="C124" t="s">
        <v>387</v>
      </c>
      <c r="D124" t="s">
        <v>58</v>
      </c>
      <c r="E124" s="1" t="s">
        <v>1066</v>
      </c>
      <c r="F124">
        <v>25042312</v>
      </c>
      <c r="G124" t="s">
        <v>106</v>
      </c>
      <c r="H124" s="17">
        <v>7473735015103</v>
      </c>
      <c r="I124" s="17"/>
      <c r="J124" t="s">
        <v>2</v>
      </c>
      <c r="K124" s="9" t="s">
        <v>1067</v>
      </c>
      <c r="L124" t="s">
        <v>87</v>
      </c>
      <c r="N124" s="2"/>
      <c r="O124" s="9"/>
      <c r="T124" s="2"/>
      <c r="U124" s="2" t="s">
        <v>718</v>
      </c>
    </row>
    <row r="125" spans="1:21" x14ac:dyDescent="0.3">
      <c r="A125">
        <v>269308</v>
      </c>
      <c r="B125" t="s">
        <v>46</v>
      </c>
      <c r="C125" t="s">
        <v>1068</v>
      </c>
      <c r="D125" t="s">
        <v>13</v>
      </c>
      <c r="E125" s="1" t="s">
        <v>1069</v>
      </c>
      <c r="F125">
        <v>25042020</v>
      </c>
      <c r="G125" t="s">
        <v>337</v>
      </c>
      <c r="H125" s="17">
        <v>6068493000188</v>
      </c>
      <c r="I125" s="17">
        <v>90739624000380</v>
      </c>
      <c r="J125" t="s">
        <v>17</v>
      </c>
      <c r="K125" s="9" t="s">
        <v>1070</v>
      </c>
      <c r="L125" t="s">
        <v>44</v>
      </c>
      <c r="M125">
        <v>264138</v>
      </c>
      <c r="N125" s="2" t="s">
        <v>602</v>
      </c>
      <c r="O125" s="9" t="s">
        <v>1071</v>
      </c>
      <c r="P125" t="s">
        <v>1072</v>
      </c>
      <c r="T125" s="2"/>
      <c r="U125" s="2" t="s">
        <v>718</v>
      </c>
    </row>
    <row r="126" spans="1:21" x14ac:dyDescent="0.3">
      <c r="A126">
        <v>269308</v>
      </c>
      <c r="B126" t="s">
        <v>46</v>
      </c>
      <c r="C126" t="s">
        <v>1068</v>
      </c>
      <c r="D126" t="s">
        <v>13</v>
      </c>
      <c r="E126" s="1" t="s">
        <v>1073</v>
      </c>
      <c r="F126">
        <v>25042004</v>
      </c>
      <c r="G126" t="s">
        <v>337</v>
      </c>
      <c r="H126" s="17">
        <v>6068493000188</v>
      </c>
      <c r="I126" s="17">
        <v>90739624000380</v>
      </c>
      <c r="J126" t="s">
        <v>2</v>
      </c>
      <c r="K126" s="9" t="s">
        <v>1074</v>
      </c>
      <c r="L126" t="s">
        <v>44</v>
      </c>
      <c r="M126">
        <v>264138</v>
      </c>
      <c r="N126" s="2" t="s">
        <v>602</v>
      </c>
      <c r="O126" s="9" t="s">
        <v>1071</v>
      </c>
      <c r="P126" t="s">
        <v>1072</v>
      </c>
      <c r="T126" s="2"/>
      <c r="U126" s="2" t="s">
        <v>718</v>
      </c>
    </row>
    <row r="127" spans="1:21" x14ac:dyDescent="0.3">
      <c r="A127">
        <v>269308</v>
      </c>
      <c r="B127" t="s">
        <v>46</v>
      </c>
      <c r="C127" t="s">
        <v>357</v>
      </c>
      <c r="D127" t="s">
        <v>61</v>
      </c>
      <c r="E127" s="1" t="s">
        <v>1075</v>
      </c>
      <c r="F127">
        <v>25041997</v>
      </c>
      <c r="G127" t="s">
        <v>85</v>
      </c>
      <c r="H127" s="17">
        <v>1975878000105</v>
      </c>
      <c r="I127" s="17">
        <v>9576274000106</v>
      </c>
      <c r="J127" t="s">
        <v>2</v>
      </c>
      <c r="K127" s="9" t="s">
        <v>1076</v>
      </c>
      <c r="L127" t="s">
        <v>44</v>
      </c>
      <c r="M127">
        <v>2538</v>
      </c>
      <c r="N127" s="2" t="s">
        <v>583</v>
      </c>
      <c r="O127" s="9" t="s">
        <v>1076</v>
      </c>
      <c r="P127" t="s">
        <v>1077</v>
      </c>
      <c r="T127" s="2"/>
      <c r="U127" s="2" t="s">
        <v>718</v>
      </c>
    </row>
    <row r="128" spans="1:21" x14ac:dyDescent="0.3">
      <c r="A128">
        <v>269308</v>
      </c>
      <c r="B128" t="s">
        <v>88</v>
      </c>
      <c r="C128" t="s">
        <v>388</v>
      </c>
      <c r="D128" t="s">
        <v>58</v>
      </c>
      <c r="E128" s="1" t="s">
        <v>1078</v>
      </c>
      <c r="F128">
        <v>25041983</v>
      </c>
      <c r="G128" t="s">
        <v>106</v>
      </c>
      <c r="H128" s="17">
        <v>7473735015103</v>
      </c>
      <c r="I128" s="17"/>
      <c r="J128" t="s">
        <v>2</v>
      </c>
      <c r="K128" s="9" t="s">
        <v>1079</v>
      </c>
      <c r="L128" t="s">
        <v>87</v>
      </c>
      <c r="N128" s="2"/>
      <c r="O128" s="9"/>
      <c r="T128" s="2"/>
      <c r="U128" s="2" t="s">
        <v>718</v>
      </c>
    </row>
    <row r="129" spans="1:21" x14ac:dyDescent="0.3">
      <c r="A129">
        <v>269308</v>
      </c>
      <c r="B129" t="s">
        <v>46</v>
      </c>
      <c r="C129" t="s">
        <v>93</v>
      </c>
      <c r="D129" t="s">
        <v>25</v>
      </c>
      <c r="E129" s="1" t="s">
        <v>1080</v>
      </c>
      <c r="F129">
        <v>25041671</v>
      </c>
      <c r="G129" t="s">
        <v>132</v>
      </c>
      <c r="H129" s="17">
        <v>10588554000105</v>
      </c>
      <c r="I129" s="17">
        <v>90739624003486</v>
      </c>
      <c r="J129" t="s">
        <v>2</v>
      </c>
      <c r="K129" s="9" t="s">
        <v>1081</v>
      </c>
      <c r="L129" t="s">
        <v>44</v>
      </c>
      <c r="M129">
        <v>34037</v>
      </c>
      <c r="N129" s="2" t="s">
        <v>583</v>
      </c>
      <c r="O129" s="9" t="s">
        <v>1081</v>
      </c>
      <c r="P129" t="s">
        <v>1082</v>
      </c>
      <c r="T129" s="2"/>
      <c r="U129" s="2" t="s">
        <v>718</v>
      </c>
    </row>
    <row r="130" spans="1:21" x14ac:dyDescent="0.3">
      <c r="A130">
        <v>269308</v>
      </c>
      <c r="B130" t="s">
        <v>46</v>
      </c>
      <c r="C130" t="s">
        <v>548</v>
      </c>
      <c r="D130" t="s">
        <v>25</v>
      </c>
      <c r="E130" s="1" t="s">
        <v>1083</v>
      </c>
      <c r="F130">
        <v>25041638</v>
      </c>
      <c r="G130" t="s">
        <v>132</v>
      </c>
      <c r="H130" s="17">
        <v>10588554000105</v>
      </c>
      <c r="I130" s="17">
        <v>90739624003486</v>
      </c>
      <c r="J130" t="s">
        <v>2</v>
      </c>
      <c r="K130" s="9" t="s">
        <v>1084</v>
      </c>
      <c r="L130" t="s">
        <v>44</v>
      </c>
      <c r="M130">
        <v>34038</v>
      </c>
      <c r="N130" s="2" t="s">
        <v>583</v>
      </c>
      <c r="O130" s="9" t="s">
        <v>1084</v>
      </c>
      <c r="P130" t="s">
        <v>1085</v>
      </c>
      <c r="T130" s="2"/>
      <c r="U130" s="2" t="s">
        <v>718</v>
      </c>
    </row>
    <row r="131" spans="1:21" x14ac:dyDescent="0.3">
      <c r="A131">
        <v>269308</v>
      </c>
      <c r="B131" t="s">
        <v>46</v>
      </c>
      <c r="C131" t="s">
        <v>118</v>
      </c>
      <c r="D131" t="s">
        <v>31</v>
      </c>
      <c r="E131" s="1" t="s">
        <v>697</v>
      </c>
      <c r="F131">
        <v>25041265</v>
      </c>
      <c r="G131" t="s">
        <v>632</v>
      </c>
      <c r="H131" s="17">
        <v>4903852000140</v>
      </c>
      <c r="I131" s="17">
        <v>90739624000118</v>
      </c>
      <c r="J131" t="s">
        <v>2</v>
      </c>
      <c r="K131" s="9" t="s">
        <v>1086</v>
      </c>
      <c r="L131" t="s">
        <v>44</v>
      </c>
      <c r="M131">
        <v>19665</v>
      </c>
      <c r="N131" s="2" t="s">
        <v>619</v>
      </c>
      <c r="O131" s="9" t="s">
        <v>1086</v>
      </c>
      <c r="P131" t="s">
        <v>1087</v>
      </c>
      <c r="T131" s="2"/>
      <c r="U131" s="2" t="s">
        <v>718</v>
      </c>
    </row>
    <row r="132" spans="1:21" x14ac:dyDescent="0.3">
      <c r="A132">
        <v>269308</v>
      </c>
      <c r="B132" t="s">
        <v>46</v>
      </c>
      <c r="C132" t="s">
        <v>387</v>
      </c>
      <c r="D132" t="s">
        <v>58</v>
      </c>
      <c r="E132" s="1" t="s">
        <v>699</v>
      </c>
      <c r="F132">
        <v>25041211</v>
      </c>
      <c r="G132" t="s">
        <v>480</v>
      </c>
      <c r="H132" s="17">
        <v>7473735019877</v>
      </c>
      <c r="I132" s="17">
        <v>90739624002323</v>
      </c>
      <c r="J132" t="s">
        <v>2</v>
      </c>
      <c r="K132" s="9" t="s">
        <v>1088</v>
      </c>
      <c r="L132" t="s">
        <v>44</v>
      </c>
      <c r="M132">
        <v>56880</v>
      </c>
      <c r="N132" s="2" t="s">
        <v>668</v>
      </c>
      <c r="O132" s="9" t="s">
        <v>1088</v>
      </c>
      <c r="P132" t="s">
        <v>1089</v>
      </c>
      <c r="T132" s="2"/>
      <c r="U132" s="2" t="s">
        <v>718</v>
      </c>
    </row>
    <row r="133" spans="1:21" x14ac:dyDescent="0.3">
      <c r="A133">
        <v>269308</v>
      </c>
      <c r="B133" t="s">
        <v>46</v>
      </c>
      <c r="C133" t="s">
        <v>358</v>
      </c>
      <c r="D133" t="s">
        <v>8</v>
      </c>
      <c r="E133" s="1" t="s">
        <v>1090</v>
      </c>
      <c r="F133">
        <v>25041206</v>
      </c>
      <c r="G133" t="s">
        <v>144</v>
      </c>
      <c r="H133" s="17">
        <v>37607755000169</v>
      </c>
      <c r="I133" s="17">
        <v>9576274000106</v>
      </c>
      <c r="J133" t="s">
        <v>2</v>
      </c>
      <c r="K133" s="9" t="s">
        <v>1091</v>
      </c>
      <c r="L133" t="s">
        <v>44</v>
      </c>
      <c r="M133">
        <v>10649</v>
      </c>
      <c r="N133" s="2" t="s">
        <v>583</v>
      </c>
      <c r="O133" s="9" t="s">
        <v>1091</v>
      </c>
      <c r="P133" t="s">
        <v>1092</v>
      </c>
      <c r="T133" s="2"/>
      <c r="U133" s="2" t="s">
        <v>718</v>
      </c>
    </row>
    <row r="134" spans="1:21" x14ac:dyDescent="0.3">
      <c r="A134">
        <v>269308</v>
      </c>
      <c r="B134" t="s">
        <v>46</v>
      </c>
      <c r="C134" t="s">
        <v>511</v>
      </c>
      <c r="D134" t="s">
        <v>28</v>
      </c>
      <c r="E134" s="1" t="s">
        <v>1093</v>
      </c>
      <c r="F134">
        <v>25040902</v>
      </c>
      <c r="G134" t="s">
        <v>366</v>
      </c>
      <c r="H134" s="17">
        <v>27098262000197</v>
      </c>
      <c r="I134" s="17">
        <v>90739624001947</v>
      </c>
      <c r="J134" t="s">
        <v>2</v>
      </c>
      <c r="K134" s="9" t="s">
        <v>1094</v>
      </c>
      <c r="L134" t="s">
        <v>44</v>
      </c>
      <c r="M134">
        <v>73607</v>
      </c>
      <c r="N134" s="2" t="s">
        <v>583</v>
      </c>
      <c r="O134" s="9" t="s">
        <v>1094</v>
      </c>
      <c r="P134" t="s">
        <v>1095</v>
      </c>
      <c r="T134" s="2"/>
      <c r="U134" s="2" t="s">
        <v>718</v>
      </c>
    </row>
    <row r="135" spans="1:21" x14ac:dyDescent="0.3">
      <c r="A135">
        <v>269308</v>
      </c>
      <c r="B135" t="s">
        <v>46</v>
      </c>
      <c r="C135" t="s">
        <v>343</v>
      </c>
      <c r="D135" t="s">
        <v>61</v>
      </c>
      <c r="E135" s="1" t="s">
        <v>1096</v>
      </c>
      <c r="F135">
        <v>25040730</v>
      </c>
      <c r="G135" t="s">
        <v>62</v>
      </c>
      <c r="H135" s="17">
        <v>79964177000591</v>
      </c>
      <c r="I135" s="17">
        <v>9576274000106</v>
      </c>
      <c r="J135" t="s">
        <v>2</v>
      </c>
      <c r="K135" s="9" t="s">
        <v>1097</v>
      </c>
      <c r="L135" t="s">
        <v>44</v>
      </c>
      <c r="M135">
        <v>820768</v>
      </c>
      <c r="N135" s="2" t="s">
        <v>583</v>
      </c>
      <c r="O135" s="9" t="s">
        <v>1097</v>
      </c>
      <c r="P135" t="s">
        <v>1098</v>
      </c>
      <c r="T135" s="2"/>
      <c r="U135" s="2" t="s">
        <v>718</v>
      </c>
    </row>
    <row r="136" spans="1:21" x14ac:dyDescent="0.3">
      <c r="A136">
        <v>269308</v>
      </c>
      <c r="B136" t="s">
        <v>46</v>
      </c>
      <c r="C136" t="s">
        <v>244</v>
      </c>
      <c r="D136" t="s">
        <v>120</v>
      </c>
      <c r="E136" s="1" t="s">
        <v>1099</v>
      </c>
      <c r="F136">
        <v>25040464</v>
      </c>
      <c r="G136" t="s">
        <v>150</v>
      </c>
      <c r="H136" s="17">
        <v>27643038000139</v>
      </c>
      <c r="I136" s="17">
        <v>90739624001432</v>
      </c>
      <c r="J136" t="s">
        <v>2</v>
      </c>
      <c r="K136" s="9" t="s">
        <v>1100</v>
      </c>
      <c r="L136" t="s">
        <v>44</v>
      </c>
      <c r="M136">
        <v>61225</v>
      </c>
      <c r="N136" s="2" t="s">
        <v>583</v>
      </c>
      <c r="O136" s="9" t="s">
        <v>1100</v>
      </c>
      <c r="P136" t="s">
        <v>1101</v>
      </c>
      <c r="T136" s="2"/>
      <c r="U136" s="2" t="s">
        <v>718</v>
      </c>
    </row>
    <row r="137" spans="1:21" x14ac:dyDescent="0.3">
      <c r="A137">
        <v>269308</v>
      </c>
      <c r="B137" t="s">
        <v>46</v>
      </c>
      <c r="C137" t="s">
        <v>214</v>
      </c>
      <c r="D137" t="s">
        <v>28</v>
      </c>
      <c r="E137" s="1" t="s">
        <v>1102</v>
      </c>
      <c r="F137">
        <v>25040224</v>
      </c>
      <c r="G137" t="s">
        <v>92</v>
      </c>
      <c r="H137" s="17">
        <v>2310460000141</v>
      </c>
      <c r="I137" s="17">
        <v>90739624001947</v>
      </c>
      <c r="J137" t="s">
        <v>2</v>
      </c>
      <c r="K137" s="9" t="s">
        <v>607</v>
      </c>
      <c r="L137" t="s">
        <v>44</v>
      </c>
      <c r="M137">
        <v>53849</v>
      </c>
      <c r="N137" s="2" t="s">
        <v>583</v>
      </c>
      <c r="O137" s="9" t="s">
        <v>607</v>
      </c>
      <c r="P137" t="s">
        <v>1103</v>
      </c>
      <c r="T137" s="2"/>
      <c r="U137" s="2" t="s">
        <v>718</v>
      </c>
    </row>
    <row r="138" spans="1:21" x14ac:dyDescent="0.3">
      <c r="A138">
        <v>269308</v>
      </c>
      <c r="B138" t="s">
        <v>46</v>
      </c>
      <c r="C138" t="s">
        <v>124</v>
      </c>
      <c r="D138" t="s">
        <v>40</v>
      </c>
      <c r="E138" s="1" t="s">
        <v>1104</v>
      </c>
      <c r="F138">
        <v>25039496</v>
      </c>
      <c r="G138" t="s">
        <v>42</v>
      </c>
      <c r="H138" s="17">
        <v>82156977000248</v>
      </c>
      <c r="I138" s="17">
        <v>90739624001432</v>
      </c>
      <c r="J138" t="s">
        <v>2</v>
      </c>
      <c r="K138" s="9" t="s">
        <v>1105</v>
      </c>
      <c r="L138" t="s">
        <v>44</v>
      </c>
      <c r="M138">
        <v>168663</v>
      </c>
      <c r="N138" s="2" t="s">
        <v>583</v>
      </c>
      <c r="O138" s="9" t="s">
        <v>1105</v>
      </c>
      <c r="P138" t="s">
        <v>1106</v>
      </c>
      <c r="T138" s="2"/>
      <c r="U138" s="2" t="s">
        <v>718</v>
      </c>
    </row>
    <row r="139" spans="1:21" x14ac:dyDescent="0.3">
      <c r="A139">
        <v>269308</v>
      </c>
      <c r="B139" t="s">
        <v>46</v>
      </c>
      <c r="C139" t="s">
        <v>118</v>
      </c>
      <c r="D139" t="s">
        <v>31</v>
      </c>
      <c r="E139" s="1" t="s">
        <v>1107</v>
      </c>
      <c r="F139">
        <v>25035477</v>
      </c>
      <c r="G139" t="s">
        <v>233</v>
      </c>
      <c r="H139" s="17">
        <v>22611652000103</v>
      </c>
      <c r="I139" s="17">
        <v>90739624001866</v>
      </c>
      <c r="J139" t="s">
        <v>2</v>
      </c>
      <c r="K139" s="9" t="s">
        <v>1108</v>
      </c>
      <c r="L139" t="s">
        <v>44</v>
      </c>
      <c r="M139">
        <v>171928</v>
      </c>
      <c r="N139" s="2" t="s">
        <v>583</v>
      </c>
      <c r="O139" s="9" t="s">
        <v>1108</v>
      </c>
      <c r="P139" t="s">
        <v>1109</v>
      </c>
      <c r="T139" s="2"/>
      <c r="U139" s="2" t="s">
        <v>718</v>
      </c>
    </row>
    <row r="140" spans="1:21" x14ac:dyDescent="0.3">
      <c r="A140">
        <v>269308</v>
      </c>
      <c r="B140" t="s">
        <v>46</v>
      </c>
      <c r="C140" t="s">
        <v>483</v>
      </c>
      <c r="D140" t="s">
        <v>28</v>
      </c>
      <c r="E140" s="1" t="s">
        <v>1110</v>
      </c>
      <c r="F140">
        <v>25035345</v>
      </c>
      <c r="G140" t="s">
        <v>288</v>
      </c>
      <c r="H140" s="17">
        <v>2162964000161</v>
      </c>
      <c r="I140" s="17">
        <v>90739624001947</v>
      </c>
      <c r="J140" t="s">
        <v>2</v>
      </c>
      <c r="K140" s="9" t="s">
        <v>1111</v>
      </c>
      <c r="L140" t="s">
        <v>44</v>
      </c>
      <c r="M140">
        <v>67862</v>
      </c>
      <c r="N140" s="2" t="s">
        <v>583</v>
      </c>
      <c r="O140" s="9" t="s">
        <v>1111</v>
      </c>
      <c r="P140" t="s">
        <v>1112</v>
      </c>
      <c r="T140" s="2"/>
      <c r="U140" s="2" t="s">
        <v>718</v>
      </c>
    </row>
    <row r="141" spans="1:21" x14ac:dyDescent="0.3">
      <c r="A141">
        <v>269308</v>
      </c>
      <c r="B141" t="s">
        <v>46</v>
      </c>
      <c r="C141" t="s">
        <v>510</v>
      </c>
      <c r="D141" t="s">
        <v>36</v>
      </c>
      <c r="E141" s="1" t="s">
        <v>1113</v>
      </c>
      <c r="F141">
        <v>25035326</v>
      </c>
      <c r="G141" t="s">
        <v>290</v>
      </c>
      <c r="H141" s="17">
        <v>4283686000126</v>
      </c>
      <c r="I141" s="17">
        <v>90739624001947</v>
      </c>
      <c r="J141" t="s">
        <v>2</v>
      </c>
      <c r="K141" s="9" t="s">
        <v>1114</v>
      </c>
      <c r="L141" t="s">
        <v>44</v>
      </c>
      <c r="M141">
        <v>47012</v>
      </c>
      <c r="N141" s="2" t="s">
        <v>583</v>
      </c>
      <c r="O141" s="9" t="s">
        <v>1114</v>
      </c>
      <c r="P141" t="s">
        <v>1115</v>
      </c>
      <c r="T141" s="2"/>
      <c r="U141" s="2" t="s">
        <v>718</v>
      </c>
    </row>
    <row r="142" spans="1:21" x14ac:dyDescent="0.3">
      <c r="A142">
        <v>269308</v>
      </c>
      <c r="B142" t="s">
        <v>46</v>
      </c>
      <c r="C142" t="s">
        <v>544</v>
      </c>
      <c r="D142" t="s">
        <v>31</v>
      </c>
      <c r="E142" s="1" t="s">
        <v>1116</v>
      </c>
      <c r="F142">
        <v>25035286</v>
      </c>
      <c r="G142" t="s">
        <v>142</v>
      </c>
      <c r="H142" s="17">
        <v>54494203000100</v>
      </c>
      <c r="I142" s="17">
        <v>90739624001866</v>
      </c>
      <c r="J142" t="s">
        <v>2</v>
      </c>
      <c r="K142" s="9" t="s">
        <v>1117</v>
      </c>
      <c r="L142" t="s">
        <v>44</v>
      </c>
      <c r="M142">
        <v>16039</v>
      </c>
      <c r="N142" s="2" t="s">
        <v>1039</v>
      </c>
      <c r="O142" s="9" t="s">
        <v>1117</v>
      </c>
      <c r="P142" t="s">
        <v>1118</v>
      </c>
      <c r="T142" s="2"/>
      <c r="U142" s="2" t="s">
        <v>718</v>
      </c>
    </row>
    <row r="143" spans="1:21" x14ac:dyDescent="0.3">
      <c r="A143">
        <v>269308</v>
      </c>
      <c r="B143" t="s">
        <v>46</v>
      </c>
      <c r="C143" t="s">
        <v>475</v>
      </c>
      <c r="D143" t="s">
        <v>31</v>
      </c>
      <c r="E143" s="1" t="s">
        <v>1119</v>
      </c>
      <c r="F143">
        <v>25035218</v>
      </c>
      <c r="G143" t="s">
        <v>56</v>
      </c>
      <c r="H143" s="17">
        <v>8603562000212</v>
      </c>
      <c r="I143" s="17">
        <v>90739624001866</v>
      </c>
      <c r="J143" t="s">
        <v>2</v>
      </c>
      <c r="K143" s="9" t="s">
        <v>1120</v>
      </c>
      <c r="L143" t="s">
        <v>44</v>
      </c>
      <c r="M143">
        <v>54908</v>
      </c>
      <c r="N143" s="2" t="s">
        <v>583</v>
      </c>
      <c r="O143" s="9" t="s">
        <v>1120</v>
      </c>
      <c r="P143" t="s">
        <v>1121</v>
      </c>
      <c r="T143" s="2"/>
      <c r="U143" s="2" t="s">
        <v>718</v>
      </c>
    </row>
    <row r="144" spans="1:21" x14ac:dyDescent="0.3">
      <c r="A144">
        <v>269308</v>
      </c>
      <c r="B144" t="s">
        <v>46</v>
      </c>
      <c r="C144" t="s">
        <v>350</v>
      </c>
      <c r="D144" t="s">
        <v>61</v>
      </c>
      <c r="E144" s="1" t="s">
        <v>1122</v>
      </c>
      <c r="F144">
        <v>25035172</v>
      </c>
      <c r="G144" t="s">
        <v>85</v>
      </c>
      <c r="H144" s="17">
        <v>1975878000105</v>
      </c>
      <c r="I144" s="17">
        <v>9576274000106</v>
      </c>
      <c r="J144" t="s">
        <v>2</v>
      </c>
      <c r="K144" s="9" t="s">
        <v>1123</v>
      </c>
      <c r="L144" t="s">
        <v>44</v>
      </c>
      <c r="M144">
        <v>2537</v>
      </c>
      <c r="N144" s="2" t="s">
        <v>583</v>
      </c>
      <c r="O144" s="9" t="s">
        <v>1123</v>
      </c>
      <c r="P144" t="s">
        <v>1124</v>
      </c>
      <c r="T144" s="2"/>
      <c r="U144" s="2" t="s">
        <v>718</v>
      </c>
    </row>
    <row r="145" spans="1:21" x14ac:dyDescent="0.3">
      <c r="A145">
        <v>269308</v>
      </c>
      <c r="B145" t="s">
        <v>46</v>
      </c>
      <c r="C145" t="s">
        <v>264</v>
      </c>
      <c r="D145" t="s">
        <v>18</v>
      </c>
      <c r="E145" s="1" t="s">
        <v>1125</v>
      </c>
      <c r="F145">
        <v>25034871</v>
      </c>
      <c r="G145" t="s">
        <v>393</v>
      </c>
      <c r="H145" s="17">
        <v>45585890000189</v>
      </c>
      <c r="I145" s="17">
        <v>90739624000380</v>
      </c>
      <c r="J145" t="s">
        <v>2</v>
      </c>
      <c r="K145" s="9" t="s">
        <v>1126</v>
      </c>
      <c r="L145" t="s">
        <v>44</v>
      </c>
      <c r="M145">
        <v>19392</v>
      </c>
      <c r="N145" s="2" t="s">
        <v>602</v>
      </c>
      <c r="O145" s="9" t="s">
        <v>1126</v>
      </c>
      <c r="P145" t="s">
        <v>1127</v>
      </c>
      <c r="T145" s="2"/>
      <c r="U145" s="2" t="s">
        <v>718</v>
      </c>
    </row>
    <row r="146" spans="1:21" x14ac:dyDescent="0.3">
      <c r="A146">
        <v>269308</v>
      </c>
      <c r="B146" t="s">
        <v>46</v>
      </c>
      <c r="C146" t="s">
        <v>108</v>
      </c>
      <c r="D146" t="s">
        <v>25</v>
      </c>
      <c r="E146" s="1" t="s">
        <v>1128</v>
      </c>
      <c r="F146">
        <v>25034863</v>
      </c>
      <c r="G146" t="s">
        <v>149</v>
      </c>
      <c r="H146" s="17">
        <v>8512459000186</v>
      </c>
      <c r="I146" s="17">
        <v>90739624001866</v>
      </c>
      <c r="J146" t="s">
        <v>2</v>
      </c>
      <c r="K146" s="9" t="s">
        <v>1129</v>
      </c>
      <c r="L146" t="s">
        <v>44</v>
      </c>
      <c r="M146">
        <v>30818</v>
      </c>
      <c r="N146" s="2" t="s">
        <v>583</v>
      </c>
      <c r="O146" s="9" t="s">
        <v>1129</v>
      </c>
      <c r="P146" t="s">
        <v>1130</v>
      </c>
      <c r="T146" s="2"/>
      <c r="U146" s="2" t="s">
        <v>718</v>
      </c>
    </row>
    <row r="147" spans="1:21" x14ac:dyDescent="0.3">
      <c r="A147">
        <v>269308</v>
      </c>
      <c r="B147" t="s">
        <v>46</v>
      </c>
      <c r="C147" t="s">
        <v>499</v>
      </c>
      <c r="D147" t="s">
        <v>61</v>
      </c>
      <c r="E147" s="1" t="s">
        <v>1131</v>
      </c>
      <c r="F147">
        <v>25034817</v>
      </c>
      <c r="G147" t="s">
        <v>62</v>
      </c>
      <c r="H147" s="17">
        <v>79964177000591</v>
      </c>
      <c r="I147" s="17">
        <v>9576274000106</v>
      </c>
      <c r="J147" t="s">
        <v>2</v>
      </c>
      <c r="K147" s="9" t="s">
        <v>1132</v>
      </c>
      <c r="L147" t="s">
        <v>44</v>
      </c>
      <c r="M147">
        <v>820756</v>
      </c>
      <c r="N147" s="2" t="s">
        <v>583</v>
      </c>
      <c r="O147" s="9" t="s">
        <v>1132</v>
      </c>
      <c r="P147" t="s">
        <v>1133</v>
      </c>
      <c r="T147" s="2"/>
      <c r="U147" s="2" t="s">
        <v>718</v>
      </c>
    </row>
    <row r="148" spans="1:21" x14ac:dyDescent="0.3">
      <c r="A148">
        <v>269308</v>
      </c>
      <c r="B148" t="s">
        <v>88</v>
      </c>
      <c r="C148" t="s">
        <v>650</v>
      </c>
      <c r="D148" t="s">
        <v>25</v>
      </c>
      <c r="E148" s="1" t="s">
        <v>1134</v>
      </c>
      <c r="F148">
        <v>25034785</v>
      </c>
      <c r="G148" t="s">
        <v>32</v>
      </c>
      <c r="H148" s="17">
        <v>9001879002619</v>
      </c>
      <c r="I148" s="17"/>
      <c r="J148" t="s">
        <v>2</v>
      </c>
      <c r="K148" s="9" t="s">
        <v>1135</v>
      </c>
      <c r="L148" t="s">
        <v>87</v>
      </c>
      <c r="N148" s="2"/>
      <c r="O148" s="9"/>
      <c r="T148" s="2"/>
      <c r="U148" s="2" t="s">
        <v>718</v>
      </c>
    </row>
    <row r="149" spans="1:21" x14ac:dyDescent="0.3">
      <c r="A149">
        <v>269308</v>
      </c>
      <c r="B149" t="s">
        <v>46</v>
      </c>
      <c r="C149" t="s">
        <v>336</v>
      </c>
      <c r="D149" t="s">
        <v>13</v>
      </c>
      <c r="E149" s="1" t="s">
        <v>1136</v>
      </c>
      <c r="F149">
        <v>25034710</v>
      </c>
      <c r="G149" t="s">
        <v>340</v>
      </c>
      <c r="H149" s="17">
        <v>29127799000163</v>
      </c>
      <c r="I149" s="17">
        <v>90739624000380</v>
      </c>
      <c r="J149" t="s">
        <v>2</v>
      </c>
      <c r="K149" s="9" t="s">
        <v>1137</v>
      </c>
      <c r="L149" t="s">
        <v>44</v>
      </c>
      <c r="M149">
        <v>117447</v>
      </c>
      <c r="N149" s="2" t="s">
        <v>583</v>
      </c>
      <c r="O149" s="9" t="s">
        <v>1137</v>
      </c>
      <c r="P149" t="s">
        <v>1138</v>
      </c>
      <c r="T149" s="2"/>
      <c r="U149" s="2" t="s">
        <v>718</v>
      </c>
    </row>
    <row r="150" spans="1:21" x14ac:dyDescent="0.3">
      <c r="A150">
        <v>269308</v>
      </c>
      <c r="B150" t="s">
        <v>46</v>
      </c>
      <c r="C150" t="s">
        <v>9</v>
      </c>
      <c r="D150" t="s">
        <v>8</v>
      </c>
      <c r="E150" s="1" t="s">
        <v>1139</v>
      </c>
      <c r="F150">
        <v>25034532</v>
      </c>
      <c r="G150" t="s">
        <v>10</v>
      </c>
      <c r="H150" s="17">
        <v>33286065000102</v>
      </c>
      <c r="I150" s="17">
        <v>9576274000106</v>
      </c>
      <c r="J150" t="s">
        <v>2</v>
      </c>
      <c r="K150" s="9" t="s">
        <v>1140</v>
      </c>
      <c r="L150" t="s">
        <v>44</v>
      </c>
      <c r="M150">
        <v>4430</v>
      </c>
      <c r="N150" s="2" t="s">
        <v>583</v>
      </c>
      <c r="O150" s="9" t="s">
        <v>1140</v>
      </c>
      <c r="P150" t="s">
        <v>1141</v>
      </c>
      <c r="T150" s="2"/>
      <c r="U150" s="2" t="s">
        <v>718</v>
      </c>
    </row>
    <row r="151" spans="1:21" x14ac:dyDescent="0.3">
      <c r="A151">
        <v>269308</v>
      </c>
      <c r="B151" t="s">
        <v>46</v>
      </c>
      <c r="C151" t="s">
        <v>9</v>
      </c>
      <c r="D151" t="s">
        <v>8</v>
      </c>
      <c r="E151" s="1" t="s">
        <v>1142</v>
      </c>
      <c r="F151">
        <v>25034512</v>
      </c>
      <c r="G151" t="s">
        <v>10</v>
      </c>
      <c r="H151" s="17">
        <v>33286065000102</v>
      </c>
      <c r="I151" s="17">
        <v>9576274000106</v>
      </c>
      <c r="J151" t="s">
        <v>17</v>
      </c>
      <c r="K151" s="9" t="s">
        <v>1143</v>
      </c>
      <c r="L151" t="s">
        <v>44</v>
      </c>
      <c r="M151">
        <v>4429</v>
      </c>
      <c r="N151" s="2" t="s">
        <v>583</v>
      </c>
      <c r="O151" s="9" t="s">
        <v>1143</v>
      </c>
      <c r="P151" t="s">
        <v>1144</v>
      </c>
      <c r="T151" s="2"/>
      <c r="U151" s="2" t="s">
        <v>718</v>
      </c>
    </row>
    <row r="152" spans="1:21" x14ac:dyDescent="0.3">
      <c r="A152">
        <v>269308</v>
      </c>
      <c r="B152" t="s">
        <v>46</v>
      </c>
      <c r="C152" t="s">
        <v>76</v>
      </c>
      <c r="D152" t="s">
        <v>8</v>
      </c>
      <c r="E152" s="1" t="s">
        <v>1145</v>
      </c>
      <c r="F152">
        <v>25034348</v>
      </c>
      <c r="G152" t="s">
        <v>10</v>
      </c>
      <c r="H152" s="17">
        <v>33286065000102</v>
      </c>
      <c r="I152" s="17">
        <v>9576274000106</v>
      </c>
      <c r="J152" t="s">
        <v>2</v>
      </c>
      <c r="K152" s="9" t="s">
        <v>1146</v>
      </c>
      <c r="L152" t="s">
        <v>44</v>
      </c>
      <c r="M152">
        <v>4428</v>
      </c>
      <c r="N152" s="2" t="s">
        <v>583</v>
      </c>
      <c r="O152" s="9" t="s">
        <v>1146</v>
      </c>
      <c r="P152" t="s">
        <v>1147</v>
      </c>
      <c r="T152" s="2"/>
      <c r="U152" s="2" t="s">
        <v>718</v>
      </c>
    </row>
    <row r="153" spans="1:21" x14ac:dyDescent="0.3">
      <c r="A153">
        <v>269308</v>
      </c>
      <c r="B153" t="s">
        <v>46</v>
      </c>
      <c r="C153" t="s">
        <v>273</v>
      </c>
      <c r="D153" t="s">
        <v>31</v>
      </c>
      <c r="E153" s="1" t="s">
        <v>1148</v>
      </c>
      <c r="F153">
        <v>25034195</v>
      </c>
      <c r="G153" t="s">
        <v>504</v>
      </c>
      <c r="H153" s="17">
        <v>8603562002002</v>
      </c>
      <c r="I153" s="17">
        <v>90739624001866</v>
      </c>
      <c r="J153" t="s">
        <v>2</v>
      </c>
      <c r="K153" s="9" t="s">
        <v>1149</v>
      </c>
      <c r="L153" t="s">
        <v>44</v>
      </c>
      <c r="M153">
        <v>56090</v>
      </c>
      <c r="N153" s="2" t="s">
        <v>583</v>
      </c>
      <c r="O153" s="9" t="s">
        <v>1149</v>
      </c>
      <c r="P153" t="s">
        <v>1150</v>
      </c>
      <c r="T153" s="2"/>
      <c r="U153" s="2" t="s">
        <v>718</v>
      </c>
    </row>
    <row r="154" spans="1:21" x14ac:dyDescent="0.3">
      <c r="A154">
        <v>269308</v>
      </c>
      <c r="B154" t="s">
        <v>88</v>
      </c>
      <c r="C154" t="s">
        <v>539</v>
      </c>
      <c r="D154" t="s">
        <v>58</v>
      </c>
      <c r="E154" s="1" t="s">
        <v>1151</v>
      </c>
      <c r="F154">
        <v>25034185</v>
      </c>
      <c r="G154" t="s">
        <v>1152</v>
      </c>
      <c r="H154" s="17">
        <v>17695813000146</v>
      </c>
      <c r="I154" s="17"/>
      <c r="J154" t="s">
        <v>2</v>
      </c>
      <c r="K154" s="9" t="s">
        <v>1153</v>
      </c>
      <c r="L154" t="s">
        <v>87</v>
      </c>
      <c r="N154" s="2"/>
      <c r="O154" s="9"/>
      <c r="T154" s="2"/>
      <c r="U154" s="2" t="s">
        <v>718</v>
      </c>
    </row>
    <row r="155" spans="1:21" x14ac:dyDescent="0.3">
      <c r="A155">
        <v>269308</v>
      </c>
      <c r="B155" t="s">
        <v>46</v>
      </c>
      <c r="C155" t="s">
        <v>511</v>
      </c>
      <c r="D155" t="s">
        <v>28</v>
      </c>
      <c r="E155" s="1" t="s">
        <v>1154</v>
      </c>
      <c r="F155">
        <v>25033965</v>
      </c>
      <c r="G155" t="s">
        <v>29</v>
      </c>
      <c r="H155" s="17">
        <v>47377960000139</v>
      </c>
      <c r="I155" s="17">
        <v>90739624001947</v>
      </c>
      <c r="J155" t="s">
        <v>2</v>
      </c>
      <c r="K155" s="9" t="s">
        <v>1155</v>
      </c>
      <c r="L155" t="s">
        <v>44</v>
      </c>
      <c r="M155">
        <v>113361</v>
      </c>
      <c r="N155" s="2" t="s">
        <v>583</v>
      </c>
      <c r="O155" s="9" t="s">
        <v>1155</v>
      </c>
      <c r="P155" t="s">
        <v>1156</v>
      </c>
      <c r="T155" s="2"/>
      <c r="U155" s="2" t="s">
        <v>718</v>
      </c>
    </row>
    <row r="156" spans="1:21" x14ac:dyDescent="0.3">
      <c r="A156">
        <v>269308</v>
      </c>
      <c r="B156" t="s">
        <v>46</v>
      </c>
      <c r="C156" t="s">
        <v>116</v>
      </c>
      <c r="D156" t="s">
        <v>11</v>
      </c>
      <c r="E156" s="1" t="s">
        <v>1157</v>
      </c>
      <c r="F156">
        <v>25033904</v>
      </c>
      <c r="G156" t="s">
        <v>95</v>
      </c>
      <c r="H156" s="17">
        <v>37489429000102</v>
      </c>
      <c r="I156" s="17">
        <v>90739624001947</v>
      </c>
      <c r="J156" t="s">
        <v>2</v>
      </c>
      <c r="K156" s="9" t="s">
        <v>1158</v>
      </c>
      <c r="L156" t="s">
        <v>44</v>
      </c>
      <c r="M156">
        <v>4422</v>
      </c>
      <c r="N156" s="2" t="s">
        <v>583</v>
      </c>
      <c r="O156" s="9" t="s">
        <v>1158</v>
      </c>
      <c r="P156" t="s">
        <v>1159</v>
      </c>
      <c r="T156" s="2"/>
      <c r="U156" s="2" t="s">
        <v>718</v>
      </c>
    </row>
    <row r="157" spans="1:21" x14ac:dyDescent="0.3">
      <c r="A157">
        <v>269308</v>
      </c>
      <c r="B157" t="s">
        <v>88</v>
      </c>
      <c r="C157" t="s">
        <v>612</v>
      </c>
      <c r="D157" t="s">
        <v>58</v>
      </c>
      <c r="E157" s="1" t="s">
        <v>1160</v>
      </c>
      <c r="F157">
        <v>25033474</v>
      </c>
      <c r="G157" t="s">
        <v>1161</v>
      </c>
      <c r="H157" s="17">
        <v>7473735006708</v>
      </c>
      <c r="I157" s="17"/>
      <c r="J157" t="s">
        <v>2</v>
      </c>
      <c r="K157" s="9" t="s">
        <v>1162</v>
      </c>
      <c r="L157" t="s">
        <v>87</v>
      </c>
      <c r="N157" s="2"/>
      <c r="O157" s="9"/>
      <c r="T157" s="2"/>
      <c r="U157" s="2" t="s">
        <v>718</v>
      </c>
    </row>
    <row r="158" spans="1:21" x14ac:dyDescent="0.3">
      <c r="A158">
        <v>269308</v>
      </c>
      <c r="B158" t="s">
        <v>46</v>
      </c>
      <c r="C158" t="s">
        <v>305</v>
      </c>
      <c r="D158" t="s">
        <v>36</v>
      </c>
      <c r="E158" s="1" t="s">
        <v>1163</v>
      </c>
      <c r="F158">
        <v>25033406</v>
      </c>
      <c r="G158" t="s">
        <v>186</v>
      </c>
      <c r="H158" s="17">
        <v>7822636000168</v>
      </c>
      <c r="I158" s="17">
        <v>90739624004458</v>
      </c>
      <c r="J158" t="s">
        <v>2</v>
      </c>
      <c r="K158" s="9" t="s">
        <v>1164</v>
      </c>
      <c r="L158" t="s">
        <v>44</v>
      </c>
      <c r="M158">
        <v>4243</v>
      </c>
      <c r="N158" s="2" t="s">
        <v>583</v>
      </c>
      <c r="O158" s="9" t="s">
        <v>1164</v>
      </c>
      <c r="P158" t="s">
        <v>1165</v>
      </c>
      <c r="T158" s="2"/>
      <c r="U158" s="2" t="s">
        <v>718</v>
      </c>
    </row>
    <row r="159" spans="1:21" x14ac:dyDescent="0.3">
      <c r="A159">
        <v>269308</v>
      </c>
      <c r="B159" t="s">
        <v>46</v>
      </c>
      <c r="C159" t="s">
        <v>284</v>
      </c>
      <c r="D159" t="s">
        <v>0</v>
      </c>
      <c r="E159" s="1" t="s">
        <v>1166</v>
      </c>
      <c r="F159">
        <v>25033177</v>
      </c>
      <c r="G159" t="s">
        <v>200</v>
      </c>
      <c r="H159" s="17">
        <v>4308884000520</v>
      </c>
      <c r="I159" s="17">
        <v>90739624001432</v>
      </c>
      <c r="J159" t="s">
        <v>17</v>
      </c>
      <c r="K159" s="9" t="s">
        <v>1167</v>
      </c>
      <c r="L159" t="s">
        <v>44</v>
      </c>
      <c r="M159">
        <v>35557</v>
      </c>
      <c r="N159" s="2" t="s">
        <v>583</v>
      </c>
      <c r="O159" s="9" t="s">
        <v>1167</v>
      </c>
      <c r="P159" t="s">
        <v>1168</v>
      </c>
      <c r="T159" s="2"/>
      <c r="U159" s="2" t="s">
        <v>718</v>
      </c>
    </row>
    <row r="160" spans="1:21" x14ac:dyDescent="0.3">
      <c r="A160">
        <v>269308</v>
      </c>
      <c r="B160" t="s">
        <v>46</v>
      </c>
      <c r="C160" t="s">
        <v>743</v>
      </c>
      <c r="D160" t="s">
        <v>63</v>
      </c>
      <c r="E160" s="1" t="s">
        <v>1169</v>
      </c>
      <c r="F160">
        <v>25033135</v>
      </c>
      <c r="G160" t="s">
        <v>64</v>
      </c>
      <c r="H160" s="17">
        <v>23448964001921</v>
      </c>
      <c r="I160" s="17">
        <v>90739624001432</v>
      </c>
      <c r="J160" t="s">
        <v>17</v>
      </c>
      <c r="K160" s="9" t="s">
        <v>1170</v>
      </c>
      <c r="L160" t="s">
        <v>44</v>
      </c>
      <c r="M160">
        <v>179537</v>
      </c>
      <c r="N160" s="2" t="s">
        <v>583</v>
      </c>
      <c r="O160" s="9" t="s">
        <v>1170</v>
      </c>
      <c r="P160" t="s">
        <v>1171</v>
      </c>
      <c r="T160" s="2"/>
      <c r="U160" s="2" t="s">
        <v>718</v>
      </c>
    </row>
    <row r="161" spans="1:21" x14ac:dyDescent="0.3">
      <c r="A161">
        <v>269308</v>
      </c>
      <c r="B161" t="s">
        <v>46</v>
      </c>
      <c r="C161" t="s">
        <v>215</v>
      </c>
      <c r="D161" t="s">
        <v>120</v>
      </c>
      <c r="E161" s="1" t="s">
        <v>1172</v>
      </c>
      <c r="F161">
        <v>25033107</v>
      </c>
      <c r="G161" t="s">
        <v>150</v>
      </c>
      <c r="H161" s="17">
        <v>27643038000139</v>
      </c>
      <c r="I161" s="17">
        <v>90739624001432</v>
      </c>
      <c r="J161" t="s">
        <v>17</v>
      </c>
      <c r="K161" s="9" t="s">
        <v>1173</v>
      </c>
      <c r="L161" t="s">
        <v>44</v>
      </c>
      <c r="M161">
        <v>61214</v>
      </c>
      <c r="N161" s="2" t="s">
        <v>583</v>
      </c>
      <c r="O161" s="9" t="s">
        <v>1173</v>
      </c>
      <c r="P161" t="s">
        <v>1174</v>
      </c>
      <c r="T161" s="2"/>
      <c r="U161" s="2" t="s">
        <v>718</v>
      </c>
    </row>
    <row r="162" spans="1:21" x14ac:dyDescent="0.3">
      <c r="A162">
        <v>269308</v>
      </c>
      <c r="B162" t="s">
        <v>46</v>
      </c>
      <c r="C162" t="s">
        <v>743</v>
      </c>
      <c r="D162" t="s">
        <v>63</v>
      </c>
      <c r="E162" s="1" t="s">
        <v>1175</v>
      </c>
      <c r="F162">
        <v>25033102</v>
      </c>
      <c r="G162" t="s">
        <v>64</v>
      </c>
      <c r="H162" s="17">
        <v>23448964001921</v>
      </c>
      <c r="I162" s="17">
        <v>90739624001432</v>
      </c>
      <c r="J162" t="s">
        <v>2</v>
      </c>
      <c r="K162" s="9" t="s">
        <v>1176</v>
      </c>
      <c r="L162" t="s">
        <v>44</v>
      </c>
      <c r="M162">
        <v>179536</v>
      </c>
      <c r="N162" s="2" t="s">
        <v>583</v>
      </c>
      <c r="O162" s="9" t="s">
        <v>1176</v>
      </c>
      <c r="P162" t="s">
        <v>1177</v>
      </c>
      <c r="T162" s="2"/>
      <c r="U162" s="2" t="s">
        <v>718</v>
      </c>
    </row>
    <row r="163" spans="1:21" x14ac:dyDescent="0.3">
      <c r="A163">
        <v>269308</v>
      </c>
      <c r="B163" t="s">
        <v>46</v>
      </c>
      <c r="C163" t="s">
        <v>104</v>
      </c>
      <c r="D163" t="s">
        <v>63</v>
      </c>
      <c r="E163" s="1" t="s">
        <v>1178</v>
      </c>
      <c r="F163">
        <v>25033098</v>
      </c>
      <c r="G163" t="s">
        <v>42</v>
      </c>
      <c r="H163" s="17">
        <v>82156977000248</v>
      </c>
      <c r="I163" s="17">
        <v>90739624001432</v>
      </c>
      <c r="J163" t="s">
        <v>17</v>
      </c>
      <c r="K163" s="9" t="s">
        <v>1179</v>
      </c>
      <c r="L163" t="s">
        <v>44</v>
      </c>
      <c r="M163">
        <v>168646</v>
      </c>
      <c r="N163" s="2" t="s">
        <v>583</v>
      </c>
      <c r="O163" s="9" t="s">
        <v>1179</v>
      </c>
      <c r="P163" t="s">
        <v>1180</v>
      </c>
      <c r="T163" s="2"/>
      <c r="U163" s="2" t="s">
        <v>718</v>
      </c>
    </row>
    <row r="164" spans="1:21" x14ac:dyDescent="0.3">
      <c r="A164">
        <v>269308</v>
      </c>
      <c r="B164" t="s">
        <v>46</v>
      </c>
      <c r="C164" t="s">
        <v>215</v>
      </c>
      <c r="D164" t="s">
        <v>120</v>
      </c>
      <c r="E164" s="1" t="s">
        <v>1181</v>
      </c>
      <c r="F164">
        <v>25033091</v>
      </c>
      <c r="G164" t="s">
        <v>150</v>
      </c>
      <c r="H164" s="17">
        <v>27643038000139</v>
      </c>
      <c r="I164" s="17">
        <v>90739624001432</v>
      </c>
      <c r="J164" t="s">
        <v>2</v>
      </c>
      <c r="K164" s="9" t="s">
        <v>1182</v>
      </c>
      <c r="L164" t="s">
        <v>44</v>
      </c>
      <c r="M164">
        <v>61213</v>
      </c>
      <c r="N164" s="2" t="s">
        <v>583</v>
      </c>
      <c r="O164" s="9" t="s">
        <v>1182</v>
      </c>
      <c r="P164" t="s">
        <v>1183</v>
      </c>
      <c r="T164" s="2"/>
      <c r="U164" s="2" t="s">
        <v>718</v>
      </c>
    </row>
    <row r="165" spans="1:21" x14ac:dyDescent="0.3">
      <c r="A165">
        <v>269308</v>
      </c>
      <c r="B165" t="s">
        <v>46</v>
      </c>
      <c r="C165" t="s">
        <v>284</v>
      </c>
      <c r="D165" t="s">
        <v>0</v>
      </c>
      <c r="E165" s="1" t="s">
        <v>1184</v>
      </c>
      <c r="F165">
        <v>25033086</v>
      </c>
      <c r="G165" t="s">
        <v>200</v>
      </c>
      <c r="H165" s="17">
        <v>4308884000520</v>
      </c>
      <c r="I165" s="17">
        <v>90739624001432</v>
      </c>
      <c r="J165" t="s">
        <v>2</v>
      </c>
      <c r="K165" s="9" t="s">
        <v>1185</v>
      </c>
      <c r="L165" t="s">
        <v>44</v>
      </c>
      <c r="M165">
        <v>35553</v>
      </c>
      <c r="N165" s="2" t="s">
        <v>583</v>
      </c>
      <c r="O165" s="9" t="s">
        <v>1185</v>
      </c>
      <c r="P165" t="s">
        <v>1186</v>
      </c>
      <c r="T165" s="2"/>
      <c r="U165" s="2" t="s">
        <v>718</v>
      </c>
    </row>
    <row r="166" spans="1:21" x14ac:dyDescent="0.3">
      <c r="A166">
        <v>269308</v>
      </c>
      <c r="B166" t="s">
        <v>46</v>
      </c>
      <c r="C166" t="s">
        <v>104</v>
      </c>
      <c r="D166" t="s">
        <v>63</v>
      </c>
      <c r="E166" s="1" t="s">
        <v>1187</v>
      </c>
      <c r="F166">
        <v>25033082</v>
      </c>
      <c r="G166" t="s">
        <v>42</v>
      </c>
      <c r="H166" s="17">
        <v>82156977000248</v>
      </c>
      <c r="I166" s="17">
        <v>90739624001432</v>
      </c>
      <c r="J166" t="s">
        <v>2</v>
      </c>
      <c r="K166" s="9" t="s">
        <v>1188</v>
      </c>
      <c r="L166" t="s">
        <v>44</v>
      </c>
      <c r="M166">
        <v>168645</v>
      </c>
      <c r="N166" s="2" t="s">
        <v>583</v>
      </c>
      <c r="O166" s="9" t="s">
        <v>1188</v>
      </c>
      <c r="P166" t="s">
        <v>1189</v>
      </c>
      <c r="T166" s="2"/>
      <c r="U166" s="2" t="s">
        <v>718</v>
      </c>
    </row>
    <row r="167" spans="1:21" x14ac:dyDescent="0.3">
      <c r="A167">
        <v>269308</v>
      </c>
      <c r="B167" t="s">
        <v>46</v>
      </c>
      <c r="C167" t="s">
        <v>533</v>
      </c>
      <c r="D167" t="s">
        <v>61</v>
      </c>
      <c r="E167" s="1" t="s">
        <v>1190</v>
      </c>
      <c r="F167">
        <v>25032987</v>
      </c>
      <c r="G167" t="s">
        <v>62</v>
      </c>
      <c r="H167" s="17">
        <v>79964177000591</v>
      </c>
      <c r="I167" s="17">
        <v>9576274000106</v>
      </c>
      <c r="J167" t="s">
        <v>2</v>
      </c>
      <c r="K167" s="9" t="s">
        <v>1191</v>
      </c>
      <c r="L167" t="s">
        <v>44</v>
      </c>
      <c r="M167">
        <v>820738</v>
      </c>
      <c r="N167" s="2" t="s">
        <v>583</v>
      </c>
      <c r="O167" s="9" t="s">
        <v>1191</v>
      </c>
      <c r="P167" t="s">
        <v>1192</v>
      </c>
      <c r="T167" s="2"/>
      <c r="U167" s="2" t="s">
        <v>718</v>
      </c>
    </row>
    <row r="168" spans="1:21" x14ac:dyDescent="0.3">
      <c r="A168">
        <v>269308</v>
      </c>
      <c r="B168" t="s">
        <v>88</v>
      </c>
      <c r="C168" t="s">
        <v>59</v>
      </c>
      <c r="D168" t="s">
        <v>58</v>
      </c>
      <c r="E168" s="1" t="s">
        <v>1193</v>
      </c>
      <c r="F168">
        <v>25032852</v>
      </c>
      <c r="G168" t="s">
        <v>60</v>
      </c>
      <c r="H168" s="17">
        <v>7473735018200</v>
      </c>
      <c r="I168" s="17"/>
      <c r="J168" t="s">
        <v>2</v>
      </c>
      <c r="K168" s="9" t="s">
        <v>1194</v>
      </c>
      <c r="L168" t="s">
        <v>87</v>
      </c>
      <c r="N168" s="2"/>
      <c r="O168" s="9"/>
      <c r="T168" s="2"/>
      <c r="U168" s="2" t="s">
        <v>718</v>
      </c>
    </row>
    <row r="169" spans="1:21" x14ac:dyDescent="0.3">
      <c r="A169">
        <v>269308</v>
      </c>
      <c r="B169" t="s">
        <v>46</v>
      </c>
      <c r="C169" t="s">
        <v>21</v>
      </c>
      <c r="D169" t="s">
        <v>13</v>
      </c>
      <c r="E169" s="1" t="s">
        <v>1195</v>
      </c>
      <c r="F169">
        <v>25032839</v>
      </c>
      <c r="G169" t="s">
        <v>15</v>
      </c>
      <c r="H169" s="17">
        <v>30432373000100</v>
      </c>
      <c r="I169" s="17">
        <v>90739624001190</v>
      </c>
      <c r="J169" t="s">
        <v>2</v>
      </c>
      <c r="K169" s="9" t="s">
        <v>1196</v>
      </c>
      <c r="L169" t="s">
        <v>44</v>
      </c>
      <c r="M169">
        <v>24684</v>
      </c>
      <c r="N169" s="2" t="s">
        <v>583</v>
      </c>
      <c r="O169" s="9" t="s">
        <v>1196</v>
      </c>
      <c r="P169" t="s">
        <v>1197</v>
      </c>
      <c r="T169" s="2"/>
      <c r="U169" s="2" t="s">
        <v>718</v>
      </c>
    </row>
    <row r="170" spans="1:21" x14ac:dyDescent="0.3">
      <c r="A170">
        <v>269308</v>
      </c>
      <c r="B170" t="s">
        <v>46</v>
      </c>
      <c r="C170" t="s">
        <v>702</v>
      </c>
      <c r="D170" t="s">
        <v>18</v>
      </c>
      <c r="E170" s="1" t="s">
        <v>1198</v>
      </c>
      <c r="F170">
        <v>25032827</v>
      </c>
      <c r="G170" t="s">
        <v>57</v>
      </c>
      <c r="H170" s="17">
        <v>50206655000199</v>
      </c>
      <c r="I170" s="17">
        <v>90739624000380</v>
      </c>
      <c r="J170" t="s">
        <v>2</v>
      </c>
      <c r="K170" s="9" t="s">
        <v>1199</v>
      </c>
      <c r="L170" t="s">
        <v>44</v>
      </c>
      <c r="M170">
        <v>15546</v>
      </c>
      <c r="N170" s="2" t="s">
        <v>602</v>
      </c>
      <c r="O170" s="9" t="s">
        <v>1199</v>
      </c>
      <c r="P170" t="s">
        <v>1200</v>
      </c>
      <c r="T170" s="2"/>
      <c r="U170" s="2" t="s">
        <v>718</v>
      </c>
    </row>
    <row r="171" spans="1:21" x14ac:dyDescent="0.3">
      <c r="A171">
        <v>269308</v>
      </c>
      <c r="B171" t="s">
        <v>46</v>
      </c>
      <c r="C171" t="s">
        <v>231</v>
      </c>
      <c r="D171" t="s">
        <v>52</v>
      </c>
      <c r="E171" s="1" t="s">
        <v>1201</v>
      </c>
      <c r="F171">
        <v>25032418</v>
      </c>
      <c r="G171" t="s">
        <v>545</v>
      </c>
      <c r="H171" s="17">
        <v>30429333000282</v>
      </c>
      <c r="I171" s="17">
        <v>9576274000106</v>
      </c>
      <c r="J171" t="s">
        <v>2</v>
      </c>
      <c r="K171" s="9" t="s">
        <v>613</v>
      </c>
      <c r="L171" t="s">
        <v>44</v>
      </c>
      <c r="M171">
        <v>41500</v>
      </c>
      <c r="N171" s="2" t="s">
        <v>583</v>
      </c>
      <c r="O171" s="9" t="s">
        <v>613</v>
      </c>
      <c r="P171" t="s">
        <v>1202</v>
      </c>
      <c r="T171" s="2"/>
      <c r="U171" s="2" t="s">
        <v>718</v>
      </c>
    </row>
    <row r="172" spans="1:21" x14ac:dyDescent="0.3">
      <c r="A172">
        <v>269308</v>
      </c>
      <c r="B172" t="s">
        <v>46</v>
      </c>
      <c r="C172" t="s">
        <v>146</v>
      </c>
      <c r="D172" t="s">
        <v>33</v>
      </c>
      <c r="E172" s="1" t="s">
        <v>1203</v>
      </c>
      <c r="F172">
        <v>25032335</v>
      </c>
      <c r="G172" t="s">
        <v>35</v>
      </c>
      <c r="H172" s="17">
        <v>27933025000102</v>
      </c>
      <c r="I172" s="17">
        <v>9576274000106</v>
      </c>
      <c r="J172" t="s">
        <v>2</v>
      </c>
      <c r="K172" s="9" t="s">
        <v>1204</v>
      </c>
      <c r="L172" t="s">
        <v>44</v>
      </c>
      <c r="M172">
        <v>1143</v>
      </c>
      <c r="N172" s="2" t="s">
        <v>792</v>
      </c>
      <c r="O172" s="9" t="s">
        <v>1204</v>
      </c>
      <c r="P172" t="s">
        <v>1205</v>
      </c>
      <c r="T172" s="2"/>
      <c r="U172" s="2" t="s">
        <v>718</v>
      </c>
    </row>
    <row r="173" spans="1:21" x14ac:dyDescent="0.3">
      <c r="A173">
        <v>269308</v>
      </c>
      <c r="B173" t="s">
        <v>46</v>
      </c>
      <c r="C173" t="s">
        <v>269</v>
      </c>
      <c r="D173" t="s">
        <v>61</v>
      </c>
      <c r="E173" s="1" t="s">
        <v>1206</v>
      </c>
      <c r="F173">
        <v>25032319</v>
      </c>
      <c r="G173" t="s">
        <v>62</v>
      </c>
      <c r="H173" s="17">
        <v>79964177000591</v>
      </c>
      <c r="I173" s="17">
        <v>9576274000106</v>
      </c>
      <c r="J173" t="s">
        <v>2</v>
      </c>
      <c r="K173" s="9" t="s">
        <v>1207</v>
      </c>
      <c r="L173" t="s">
        <v>44</v>
      </c>
      <c r="M173">
        <v>820732</v>
      </c>
      <c r="N173" s="2" t="s">
        <v>583</v>
      </c>
      <c r="O173" s="9" t="s">
        <v>1207</v>
      </c>
      <c r="P173" t="s">
        <v>1208</v>
      </c>
      <c r="T173" s="2"/>
      <c r="U173" s="2" t="s">
        <v>718</v>
      </c>
    </row>
    <row r="174" spans="1:21" x14ac:dyDescent="0.3">
      <c r="A174">
        <v>269308</v>
      </c>
      <c r="B174" t="s">
        <v>46</v>
      </c>
      <c r="C174" t="s">
        <v>370</v>
      </c>
      <c r="D174" t="s">
        <v>369</v>
      </c>
      <c r="E174" s="1" t="s">
        <v>1209</v>
      </c>
      <c r="F174">
        <v>25031888</v>
      </c>
      <c r="G174" t="s">
        <v>371</v>
      </c>
      <c r="H174" s="17">
        <v>26814629000169</v>
      </c>
      <c r="I174" s="17">
        <v>90739624002080</v>
      </c>
      <c r="J174" t="s">
        <v>2</v>
      </c>
      <c r="K174" s="9" t="s">
        <v>1210</v>
      </c>
      <c r="L174" t="s">
        <v>44</v>
      </c>
      <c r="M174">
        <v>11427</v>
      </c>
      <c r="N174" s="2" t="s">
        <v>583</v>
      </c>
      <c r="O174" s="9" t="s">
        <v>1210</v>
      </c>
      <c r="P174" t="s">
        <v>1211</v>
      </c>
      <c r="T174" s="2"/>
      <c r="U174" s="2" t="s">
        <v>718</v>
      </c>
    </row>
    <row r="175" spans="1:21" x14ac:dyDescent="0.3">
      <c r="A175">
        <v>269308</v>
      </c>
      <c r="B175" t="s">
        <v>46</v>
      </c>
      <c r="C175" t="s">
        <v>12</v>
      </c>
      <c r="D175" t="s">
        <v>11</v>
      </c>
      <c r="E175" s="1" t="s">
        <v>1212</v>
      </c>
      <c r="F175">
        <v>25031841</v>
      </c>
      <c r="G175" t="s">
        <v>95</v>
      </c>
      <c r="H175" s="17">
        <v>37489429000102</v>
      </c>
      <c r="I175" s="17">
        <v>90739624001947</v>
      </c>
      <c r="J175" t="s">
        <v>2</v>
      </c>
      <c r="K175" s="9" t="s">
        <v>1213</v>
      </c>
      <c r="L175" t="s">
        <v>44</v>
      </c>
      <c r="M175">
        <v>4421</v>
      </c>
      <c r="N175" s="2" t="s">
        <v>583</v>
      </c>
      <c r="O175" s="9" t="s">
        <v>1213</v>
      </c>
      <c r="P175" t="s">
        <v>1214</v>
      </c>
      <c r="T175" s="2"/>
      <c r="U175" s="2" t="s">
        <v>718</v>
      </c>
    </row>
    <row r="176" spans="1:21" x14ac:dyDescent="0.3">
      <c r="A176">
        <v>269308</v>
      </c>
      <c r="B176" t="s">
        <v>46</v>
      </c>
      <c r="C176" t="s">
        <v>599</v>
      </c>
      <c r="D176" t="s">
        <v>31</v>
      </c>
      <c r="E176" s="1" t="s">
        <v>1215</v>
      </c>
      <c r="F176">
        <v>25031541</v>
      </c>
      <c r="G176" t="s">
        <v>56</v>
      </c>
      <c r="H176" s="17">
        <v>8603562000212</v>
      </c>
      <c r="I176" s="17">
        <v>90739624001866</v>
      </c>
      <c r="J176" t="s">
        <v>2</v>
      </c>
      <c r="K176" s="9" t="s">
        <v>1216</v>
      </c>
      <c r="L176" t="s">
        <v>44</v>
      </c>
      <c r="M176">
        <v>54887</v>
      </c>
      <c r="N176" s="2" t="s">
        <v>583</v>
      </c>
      <c r="O176" s="9" t="s">
        <v>1216</v>
      </c>
      <c r="P176" t="s">
        <v>1217</v>
      </c>
      <c r="T176" s="2"/>
      <c r="U176" s="2" t="s">
        <v>718</v>
      </c>
    </row>
    <row r="177" spans="1:21" x14ac:dyDescent="0.3">
      <c r="A177">
        <v>269308</v>
      </c>
      <c r="B177" t="s">
        <v>46</v>
      </c>
      <c r="C177" t="s">
        <v>55</v>
      </c>
      <c r="D177" t="s">
        <v>31</v>
      </c>
      <c r="E177" s="1" t="s">
        <v>1218</v>
      </c>
      <c r="F177">
        <v>25031487</v>
      </c>
      <c r="G177" t="s">
        <v>295</v>
      </c>
      <c r="H177" s="17">
        <v>8603562001294</v>
      </c>
      <c r="I177" s="17">
        <v>90739624001866</v>
      </c>
      <c r="J177" t="s">
        <v>2</v>
      </c>
      <c r="K177" s="9" t="s">
        <v>1219</v>
      </c>
      <c r="L177" t="s">
        <v>44</v>
      </c>
      <c r="M177">
        <v>39339</v>
      </c>
      <c r="N177" s="2" t="s">
        <v>583</v>
      </c>
      <c r="O177" s="9" t="s">
        <v>1219</v>
      </c>
      <c r="P177" t="s">
        <v>1220</v>
      </c>
      <c r="T177" s="2"/>
      <c r="U177" s="2" t="s">
        <v>718</v>
      </c>
    </row>
    <row r="178" spans="1:21" x14ac:dyDescent="0.3">
      <c r="A178">
        <v>269308</v>
      </c>
      <c r="B178" t="s">
        <v>46</v>
      </c>
      <c r="C178" t="s">
        <v>586</v>
      </c>
      <c r="D178" t="s">
        <v>25</v>
      </c>
      <c r="E178" s="1" t="s">
        <v>1221</v>
      </c>
      <c r="F178">
        <v>25030753</v>
      </c>
      <c r="G178" t="s">
        <v>109</v>
      </c>
      <c r="H178" s="17">
        <v>5218335000102</v>
      </c>
      <c r="I178" s="17">
        <v>90739624001866</v>
      </c>
      <c r="J178" t="s">
        <v>2</v>
      </c>
      <c r="K178" s="9" t="s">
        <v>622</v>
      </c>
      <c r="L178" t="s">
        <v>44</v>
      </c>
      <c r="M178">
        <v>298157</v>
      </c>
      <c r="N178" s="2" t="s">
        <v>583</v>
      </c>
      <c r="O178" s="9" t="s">
        <v>622</v>
      </c>
      <c r="P178" t="s">
        <v>1222</v>
      </c>
      <c r="T178" s="2"/>
      <c r="U178" s="2" t="s">
        <v>718</v>
      </c>
    </row>
    <row r="179" spans="1:21" x14ac:dyDescent="0.3">
      <c r="A179">
        <v>269308</v>
      </c>
      <c r="B179" t="s">
        <v>88</v>
      </c>
      <c r="C179" t="s">
        <v>1223</v>
      </c>
      <c r="D179" t="s">
        <v>58</v>
      </c>
      <c r="E179" s="1" t="s">
        <v>1224</v>
      </c>
      <c r="F179">
        <v>25030506</v>
      </c>
      <c r="G179" t="s">
        <v>167</v>
      </c>
      <c r="H179" s="17">
        <v>7473735016266</v>
      </c>
      <c r="I179" s="17"/>
      <c r="J179" t="s">
        <v>2</v>
      </c>
      <c r="K179" s="9" t="s">
        <v>1225</v>
      </c>
      <c r="L179" t="s">
        <v>87</v>
      </c>
      <c r="N179" s="2"/>
      <c r="O179" s="9"/>
      <c r="T179" s="2"/>
      <c r="U179" s="2" t="s">
        <v>718</v>
      </c>
    </row>
    <row r="180" spans="1:21" x14ac:dyDescent="0.3">
      <c r="A180">
        <v>269308</v>
      </c>
      <c r="B180" t="s">
        <v>46</v>
      </c>
      <c r="C180" t="s">
        <v>158</v>
      </c>
      <c r="D180" t="s">
        <v>61</v>
      </c>
      <c r="E180" s="1" t="s">
        <v>1226</v>
      </c>
      <c r="F180">
        <v>25030481</v>
      </c>
      <c r="G180" t="s">
        <v>62</v>
      </c>
      <c r="H180" s="17">
        <v>79964177000591</v>
      </c>
      <c r="I180" s="17">
        <v>9576274000106</v>
      </c>
      <c r="J180" t="s">
        <v>2</v>
      </c>
      <c r="K180" s="9" t="s">
        <v>1227</v>
      </c>
      <c r="L180" t="s">
        <v>44</v>
      </c>
      <c r="M180">
        <v>820728</v>
      </c>
      <c r="N180" s="2" t="s">
        <v>583</v>
      </c>
      <c r="O180" s="9" t="s">
        <v>1227</v>
      </c>
      <c r="P180" t="s">
        <v>1228</v>
      </c>
      <c r="T180" s="2"/>
      <c r="U180" s="2" t="s">
        <v>718</v>
      </c>
    </row>
    <row r="181" spans="1:21" x14ac:dyDescent="0.3">
      <c r="A181">
        <v>269308</v>
      </c>
      <c r="B181" t="s">
        <v>46</v>
      </c>
      <c r="C181" t="s">
        <v>644</v>
      </c>
      <c r="D181" t="s">
        <v>65</v>
      </c>
      <c r="E181" s="1" t="s">
        <v>645</v>
      </c>
      <c r="F181">
        <v>25030306</v>
      </c>
      <c r="G181" t="s">
        <v>646</v>
      </c>
      <c r="H181" s="17">
        <v>7473735009308</v>
      </c>
      <c r="I181" s="17">
        <v>90739624002323</v>
      </c>
      <c r="J181" t="s">
        <v>2</v>
      </c>
      <c r="K181" s="9" t="s">
        <v>1229</v>
      </c>
      <c r="L181" t="s">
        <v>44</v>
      </c>
      <c r="M181">
        <v>24132</v>
      </c>
      <c r="N181" s="2" t="s">
        <v>579</v>
      </c>
      <c r="O181" s="9" t="s">
        <v>1229</v>
      </c>
      <c r="P181" t="s">
        <v>1230</v>
      </c>
      <c r="T181" s="2"/>
      <c r="U181" s="2" t="s">
        <v>718</v>
      </c>
    </row>
    <row r="182" spans="1:21" x14ac:dyDescent="0.3">
      <c r="A182">
        <v>269308</v>
      </c>
      <c r="B182" t="s">
        <v>46</v>
      </c>
      <c r="C182" t="s">
        <v>91</v>
      </c>
      <c r="D182" t="s">
        <v>28</v>
      </c>
      <c r="E182" s="1" t="s">
        <v>707</v>
      </c>
      <c r="F182">
        <v>25029962</v>
      </c>
      <c r="G182" t="s">
        <v>254</v>
      </c>
      <c r="H182" s="17">
        <v>13759928000104</v>
      </c>
      <c r="I182" s="17">
        <v>90739624001947</v>
      </c>
      <c r="J182" t="s">
        <v>2</v>
      </c>
      <c r="K182" s="9" t="s">
        <v>1231</v>
      </c>
      <c r="L182" t="s">
        <v>44</v>
      </c>
      <c r="M182">
        <v>27016</v>
      </c>
      <c r="N182" s="2" t="s">
        <v>635</v>
      </c>
      <c r="O182" s="9" t="s">
        <v>1231</v>
      </c>
      <c r="P182" t="s">
        <v>1232</v>
      </c>
      <c r="T182" s="2"/>
      <c r="U182" s="2" t="s">
        <v>718</v>
      </c>
    </row>
    <row r="183" spans="1:21" x14ac:dyDescent="0.3">
      <c r="A183">
        <v>269308</v>
      </c>
      <c r="B183" t="s">
        <v>46</v>
      </c>
      <c r="C183" t="s">
        <v>652</v>
      </c>
      <c r="D183" t="s">
        <v>120</v>
      </c>
      <c r="E183" s="1" t="s">
        <v>1233</v>
      </c>
      <c r="F183">
        <v>25029062</v>
      </c>
      <c r="G183" t="s">
        <v>150</v>
      </c>
      <c r="H183" s="17">
        <v>27643038000139</v>
      </c>
      <c r="I183" s="17">
        <v>90739624001432</v>
      </c>
      <c r="J183" t="s">
        <v>2</v>
      </c>
      <c r="K183" s="9" t="s">
        <v>1234</v>
      </c>
      <c r="L183" t="s">
        <v>44</v>
      </c>
      <c r="M183">
        <v>61204</v>
      </c>
      <c r="N183" s="2" t="s">
        <v>583</v>
      </c>
      <c r="O183" s="9" t="s">
        <v>1234</v>
      </c>
      <c r="P183" t="s">
        <v>1235</v>
      </c>
      <c r="T183" s="2"/>
      <c r="U183" s="2" t="s">
        <v>718</v>
      </c>
    </row>
    <row r="184" spans="1:21" x14ac:dyDescent="0.3">
      <c r="A184">
        <v>269308</v>
      </c>
      <c r="B184" t="s">
        <v>46</v>
      </c>
      <c r="C184" t="s">
        <v>648</v>
      </c>
      <c r="D184" t="s">
        <v>18</v>
      </c>
      <c r="E184" s="1" t="s">
        <v>1236</v>
      </c>
      <c r="F184">
        <v>25028992</v>
      </c>
      <c r="G184" t="s">
        <v>57</v>
      </c>
      <c r="H184" s="17">
        <v>50206655000199</v>
      </c>
      <c r="I184" s="17">
        <v>90739624000380</v>
      </c>
      <c r="J184" t="s">
        <v>2</v>
      </c>
      <c r="K184" s="9" t="s">
        <v>1237</v>
      </c>
      <c r="L184" t="s">
        <v>44</v>
      </c>
      <c r="M184">
        <v>15545</v>
      </c>
      <c r="N184" s="2" t="s">
        <v>602</v>
      </c>
      <c r="O184" s="9" t="s">
        <v>1237</v>
      </c>
      <c r="P184" t="s">
        <v>1238</v>
      </c>
      <c r="T184" s="2"/>
      <c r="U184" s="2" t="s">
        <v>718</v>
      </c>
    </row>
    <row r="185" spans="1:21" x14ac:dyDescent="0.3">
      <c r="A185">
        <v>269308</v>
      </c>
      <c r="B185" t="s">
        <v>46</v>
      </c>
      <c r="C185" t="s">
        <v>121</v>
      </c>
      <c r="D185" t="s">
        <v>120</v>
      </c>
      <c r="E185" s="1" t="s">
        <v>1239</v>
      </c>
      <c r="F185">
        <v>25028581</v>
      </c>
      <c r="G185" t="s">
        <v>550</v>
      </c>
      <c r="H185" s="17">
        <v>45986480000492</v>
      </c>
      <c r="I185" s="17">
        <v>90739624001432</v>
      </c>
      <c r="J185" t="s">
        <v>2</v>
      </c>
      <c r="K185" s="9" t="s">
        <v>618</v>
      </c>
      <c r="L185" t="s">
        <v>44</v>
      </c>
      <c r="M185">
        <v>11776</v>
      </c>
      <c r="N185" s="2" t="s">
        <v>583</v>
      </c>
      <c r="O185" s="9" t="s">
        <v>618</v>
      </c>
      <c r="P185" t="s">
        <v>1240</v>
      </c>
      <c r="T185" s="2"/>
      <c r="U185" s="2" t="s">
        <v>718</v>
      </c>
    </row>
    <row r="186" spans="1:21" x14ac:dyDescent="0.3">
      <c r="A186">
        <v>269308</v>
      </c>
      <c r="B186" t="s">
        <v>88</v>
      </c>
      <c r="C186" t="s">
        <v>489</v>
      </c>
      <c r="D186" t="s">
        <v>126</v>
      </c>
      <c r="E186" s="1" t="s">
        <v>1241</v>
      </c>
      <c r="F186">
        <v>25028193</v>
      </c>
      <c r="G186" t="s">
        <v>285</v>
      </c>
      <c r="H186" s="17">
        <v>7473735012198</v>
      </c>
      <c r="I186" s="17"/>
      <c r="J186" t="s">
        <v>2</v>
      </c>
      <c r="K186" s="9" t="s">
        <v>1242</v>
      </c>
      <c r="L186" t="s">
        <v>87</v>
      </c>
      <c r="N186" s="2"/>
      <c r="O186" s="9"/>
      <c r="T186" s="2"/>
      <c r="U186" s="2" t="s">
        <v>718</v>
      </c>
    </row>
    <row r="187" spans="1:21" x14ac:dyDescent="0.3">
      <c r="A187">
        <v>269308</v>
      </c>
      <c r="B187" t="s">
        <v>46</v>
      </c>
      <c r="C187" t="s">
        <v>1243</v>
      </c>
      <c r="D187" t="s">
        <v>61</v>
      </c>
      <c r="E187" s="1" t="s">
        <v>1244</v>
      </c>
      <c r="F187">
        <v>25028168</v>
      </c>
      <c r="G187" t="s">
        <v>85</v>
      </c>
      <c r="H187" s="17">
        <v>1975878000105</v>
      </c>
      <c r="I187" s="17">
        <v>9576274000106</v>
      </c>
      <c r="J187" t="s">
        <v>2</v>
      </c>
      <c r="K187" s="9" t="s">
        <v>1245</v>
      </c>
      <c r="L187" t="s">
        <v>44</v>
      </c>
      <c r="M187">
        <v>2536</v>
      </c>
      <c r="N187" s="2" t="s">
        <v>583</v>
      </c>
      <c r="O187" s="9" t="s">
        <v>1246</v>
      </c>
      <c r="P187" t="s">
        <v>1247</v>
      </c>
      <c r="T187" s="2"/>
      <c r="U187" s="2" t="s">
        <v>718</v>
      </c>
    </row>
    <row r="188" spans="1:21" x14ac:dyDescent="0.3">
      <c r="A188">
        <v>269308</v>
      </c>
      <c r="B188" t="s">
        <v>46</v>
      </c>
      <c r="C188" t="s">
        <v>91</v>
      </c>
      <c r="D188" t="s">
        <v>28</v>
      </c>
      <c r="E188" s="1" t="s">
        <v>705</v>
      </c>
      <c r="F188">
        <v>25027481</v>
      </c>
      <c r="G188" t="s">
        <v>254</v>
      </c>
      <c r="H188" s="17">
        <v>13759928000104</v>
      </c>
      <c r="I188" s="17">
        <v>90739624001947</v>
      </c>
      <c r="J188" t="s">
        <v>2</v>
      </c>
      <c r="K188" s="9" t="s">
        <v>1248</v>
      </c>
      <c r="L188" t="s">
        <v>44</v>
      </c>
      <c r="M188">
        <v>27107</v>
      </c>
      <c r="N188" s="2" t="s">
        <v>580</v>
      </c>
      <c r="O188" s="9" t="s">
        <v>1248</v>
      </c>
      <c r="P188" t="s">
        <v>1249</v>
      </c>
      <c r="T188" s="2"/>
      <c r="U188" s="2" t="s">
        <v>718</v>
      </c>
    </row>
    <row r="189" spans="1:21" x14ac:dyDescent="0.3">
      <c r="A189">
        <v>269308</v>
      </c>
      <c r="B189" t="s">
        <v>46</v>
      </c>
      <c r="C189" t="s">
        <v>172</v>
      </c>
      <c r="D189" t="s">
        <v>31</v>
      </c>
      <c r="E189" s="1" t="s">
        <v>1250</v>
      </c>
      <c r="F189">
        <v>25027442</v>
      </c>
      <c r="G189" t="s">
        <v>56</v>
      </c>
      <c r="H189" s="17">
        <v>8603562000212</v>
      </c>
      <c r="I189" s="17">
        <v>90739624001866</v>
      </c>
      <c r="J189" t="s">
        <v>2</v>
      </c>
      <c r="K189" s="9" t="s">
        <v>1251</v>
      </c>
      <c r="L189" t="s">
        <v>44</v>
      </c>
      <c r="M189">
        <v>54882</v>
      </c>
      <c r="N189" s="2" t="s">
        <v>583</v>
      </c>
      <c r="O189" s="9" t="s">
        <v>1251</v>
      </c>
      <c r="P189" t="s">
        <v>1252</v>
      </c>
      <c r="T189" s="2"/>
      <c r="U189" s="2" t="s">
        <v>718</v>
      </c>
    </row>
    <row r="190" spans="1:21" x14ac:dyDescent="0.3">
      <c r="A190">
        <v>269308</v>
      </c>
      <c r="B190" t="s">
        <v>46</v>
      </c>
      <c r="C190" t="s">
        <v>133</v>
      </c>
      <c r="D190" t="s">
        <v>0</v>
      </c>
      <c r="E190" s="1" t="s">
        <v>1253</v>
      </c>
      <c r="F190">
        <v>25027240</v>
      </c>
      <c r="G190" t="s">
        <v>134</v>
      </c>
      <c r="H190" s="17">
        <v>81326258000770</v>
      </c>
      <c r="I190" s="17">
        <v>90739624001432</v>
      </c>
      <c r="J190" t="s">
        <v>2</v>
      </c>
      <c r="K190" s="9" t="s">
        <v>1254</v>
      </c>
      <c r="L190" t="s">
        <v>44</v>
      </c>
      <c r="M190">
        <v>101346</v>
      </c>
      <c r="N190" s="2" t="s">
        <v>583</v>
      </c>
      <c r="O190" s="9" t="s">
        <v>1254</v>
      </c>
      <c r="P190" t="s">
        <v>1255</v>
      </c>
      <c r="T190" s="2"/>
      <c r="U190" s="2" t="s">
        <v>718</v>
      </c>
    </row>
    <row r="191" spans="1:21" x14ac:dyDescent="0.3">
      <c r="A191">
        <v>269308</v>
      </c>
      <c r="B191" t="s">
        <v>46</v>
      </c>
      <c r="C191" t="s">
        <v>557</v>
      </c>
      <c r="D191" t="s">
        <v>61</v>
      </c>
      <c r="E191" s="1" t="s">
        <v>1256</v>
      </c>
      <c r="F191">
        <v>25027185</v>
      </c>
      <c r="G191" t="s">
        <v>85</v>
      </c>
      <c r="H191" s="17">
        <v>1975878000105</v>
      </c>
      <c r="I191" s="17">
        <v>9576274000106</v>
      </c>
      <c r="J191" t="s">
        <v>2</v>
      </c>
      <c r="K191" s="9" t="s">
        <v>1257</v>
      </c>
      <c r="L191" t="s">
        <v>44</v>
      </c>
      <c r="M191">
        <v>2535</v>
      </c>
      <c r="N191" s="2" t="s">
        <v>583</v>
      </c>
      <c r="O191" s="9" t="s">
        <v>1257</v>
      </c>
      <c r="P191" t="s">
        <v>1258</v>
      </c>
      <c r="T191" s="2"/>
      <c r="U191" s="2" t="s">
        <v>718</v>
      </c>
    </row>
    <row r="192" spans="1:21" x14ac:dyDescent="0.3">
      <c r="A192">
        <v>269308</v>
      </c>
      <c r="B192" t="s">
        <v>88</v>
      </c>
      <c r="C192" t="s">
        <v>311</v>
      </c>
      <c r="D192" t="s">
        <v>73</v>
      </c>
      <c r="E192" s="1" t="s">
        <v>1259</v>
      </c>
      <c r="F192">
        <v>25026927</v>
      </c>
      <c r="G192" t="s">
        <v>694</v>
      </c>
      <c r="H192" s="17">
        <v>7473735020026</v>
      </c>
      <c r="I192" s="17"/>
      <c r="J192" t="s">
        <v>2</v>
      </c>
      <c r="K192" s="9" t="s">
        <v>1260</v>
      </c>
      <c r="L192" t="s">
        <v>87</v>
      </c>
      <c r="N192" s="2"/>
      <c r="O192" s="9"/>
      <c r="T192" s="2"/>
      <c r="U192" s="2" t="s">
        <v>718</v>
      </c>
    </row>
    <row r="193" spans="1:21" x14ac:dyDescent="0.3">
      <c r="A193">
        <v>269308</v>
      </c>
      <c r="B193" t="s">
        <v>46</v>
      </c>
      <c r="C193" t="s">
        <v>509</v>
      </c>
      <c r="D193" t="s">
        <v>100</v>
      </c>
      <c r="E193" s="1" t="s">
        <v>1261</v>
      </c>
      <c r="F193">
        <v>25026636</v>
      </c>
      <c r="G193" t="s">
        <v>303</v>
      </c>
      <c r="H193" s="17">
        <v>9380191000139</v>
      </c>
      <c r="I193" s="17">
        <v>90739624001866</v>
      </c>
      <c r="J193" t="s">
        <v>2</v>
      </c>
      <c r="K193" s="9" t="s">
        <v>1262</v>
      </c>
      <c r="L193" t="s">
        <v>44</v>
      </c>
      <c r="M193">
        <v>44638</v>
      </c>
      <c r="N193" s="2" t="s">
        <v>583</v>
      </c>
      <c r="O193" s="9" t="s">
        <v>1262</v>
      </c>
      <c r="P193" t="s">
        <v>1263</v>
      </c>
      <c r="T193" s="2"/>
      <c r="U193" s="2" t="s">
        <v>718</v>
      </c>
    </row>
    <row r="194" spans="1:21" x14ac:dyDescent="0.3">
      <c r="A194">
        <v>269308</v>
      </c>
      <c r="B194" t="s">
        <v>46</v>
      </c>
      <c r="C194" t="s">
        <v>459</v>
      </c>
      <c r="D194" t="s">
        <v>61</v>
      </c>
      <c r="E194" s="1" t="s">
        <v>1264</v>
      </c>
      <c r="F194">
        <v>25026633</v>
      </c>
      <c r="G194" t="s">
        <v>85</v>
      </c>
      <c r="H194" s="17">
        <v>1975878000105</v>
      </c>
      <c r="I194" s="17">
        <v>9576274000106</v>
      </c>
      <c r="J194" t="s">
        <v>2</v>
      </c>
      <c r="K194" s="9" t="s">
        <v>1265</v>
      </c>
      <c r="L194" t="s">
        <v>44</v>
      </c>
      <c r="M194">
        <v>2534</v>
      </c>
      <c r="N194" s="2" t="s">
        <v>583</v>
      </c>
      <c r="O194" s="9" t="s">
        <v>1265</v>
      </c>
      <c r="P194" t="s">
        <v>1266</v>
      </c>
      <c r="T194" s="2"/>
      <c r="U194" s="2" t="s">
        <v>718</v>
      </c>
    </row>
    <row r="195" spans="1:21" x14ac:dyDescent="0.3">
      <c r="A195">
        <v>269308</v>
      </c>
      <c r="B195" t="s">
        <v>46</v>
      </c>
      <c r="C195" t="s">
        <v>610</v>
      </c>
      <c r="D195" t="s">
        <v>61</v>
      </c>
      <c r="E195" s="1" t="s">
        <v>1267</v>
      </c>
      <c r="F195">
        <v>25026574</v>
      </c>
      <c r="G195" t="s">
        <v>85</v>
      </c>
      <c r="H195" s="17">
        <v>1975878000105</v>
      </c>
      <c r="I195" s="17">
        <v>9576274000106</v>
      </c>
      <c r="J195" t="s">
        <v>2</v>
      </c>
      <c r="K195" s="9" t="s">
        <v>1268</v>
      </c>
      <c r="L195" t="s">
        <v>44</v>
      </c>
      <c r="M195">
        <v>2533</v>
      </c>
      <c r="N195" s="2" t="s">
        <v>583</v>
      </c>
      <c r="O195" s="9" t="s">
        <v>1268</v>
      </c>
      <c r="P195" t="s">
        <v>1269</v>
      </c>
      <c r="T195" s="2"/>
      <c r="U195" s="2" t="s">
        <v>718</v>
      </c>
    </row>
    <row r="196" spans="1:21" x14ac:dyDescent="0.3">
      <c r="A196">
        <v>269308</v>
      </c>
      <c r="B196" t="s">
        <v>46</v>
      </c>
      <c r="C196" t="s">
        <v>322</v>
      </c>
      <c r="D196" t="s">
        <v>28</v>
      </c>
      <c r="E196" s="1" t="s">
        <v>1270</v>
      </c>
      <c r="F196">
        <v>25026505</v>
      </c>
      <c r="G196" t="s">
        <v>487</v>
      </c>
      <c r="H196" s="17">
        <v>148072000180</v>
      </c>
      <c r="I196" s="17">
        <v>90739624001947</v>
      </c>
      <c r="J196" t="s">
        <v>2</v>
      </c>
      <c r="K196" s="9" t="s">
        <v>1271</v>
      </c>
      <c r="L196" t="s">
        <v>44</v>
      </c>
      <c r="M196">
        <v>121246</v>
      </c>
      <c r="N196" s="2" t="s">
        <v>583</v>
      </c>
      <c r="O196" s="9" t="s">
        <v>1271</v>
      </c>
      <c r="P196" t="s">
        <v>1272</v>
      </c>
      <c r="T196" s="2"/>
      <c r="U196" s="2" t="s">
        <v>718</v>
      </c>
    </row>
    <row r="197" spans="1:21" x14ac:dyDescent="0.3">
      <c r="A197">
        <v>269308</v>
      </c>
      <c r="B197" t="s">
        <v>46</v>
      </c>
      <c r="C197" t="s">
        <v>294</v>
      </c>
      <c r="D197" t="s">
        <v>61</v>
      </c>
      <c r="E197" s="1" t="s">
        <v>1273</v>
      </c>
      <c r="F197">
        <v>25026493</v>
      </c>
      <c r="G197" t="s">
        <v>62</v>
      </c>
      <c r="H197" s="17">
        <v>79964177000591</v>
      </c>
      <c r="I197" s="17">
        <v>9576274000106</v>
      </c>
      <c r="J197" t="s">
        <v>2</v>
      </c>
      <c r="K197" s="9" t="s">
        <v>1274</v>
      </c>
      <c r="L197" t="s">
        <v>44</v>
      </c>
      <c r="M197">
        <v>820718</v>
      </c>
      <c r="N197" s="2" t="s">
        <v>583</v>
      </c>
      <c r="O197" s="9" t="s">
        <v>1274</v>
      </c>
      <c r="P197" t="s">
        <v>1275</v>
      </c>
      <c r="T197" s="2"/>
      <c r="U197" s="2" t="s">
        <v>718</v>
      </c>
    </row>
    <row r="198" spans="1:21" x14ac:dyDescent="0.3">
      <c r="A198">
        <v>269308</v>
      </c>
      <c r="B198" t="s">
        <v>46</v>
      </c>
      <c r="C198" t="s">
        <v>588</v>
      </c>
      <c r="D198" t="s">
        <v>170</v>
      </c>
      <c r="E198" s="1" t="s">
        <v>1276</v>
      </c>
      <c r="F198">
        <v>25026253</v>
      </c>
      <c r="G198" t="s">
        <v>178</v>
      </c>
      <c r="H198" s="17">
        <v>83392050000199</v>
      </c>
      <c r="I198" s="17">
        <v>90739624001432</v>
      </c>
      <c r="J198" t="s">
        <v>2</v>
      </c>
      <c r="K198" s="9" t="s">
        <v>1277</v>
      </c>
      <c r="L198" t="s">
        <v>44</v>
      </c>
      <c r="M198">
        <v>129997</v>
      </c>
      <c r="N198" s="2" t="s">
        <v>583</v>
      </c>
      <c r="O198" s="9" t="s">
        <v>1277</v>
      </c>
      <c r="P198" t="s">
        <v>1278</v>
      </c>
      <c r="T198" s="2"/>
      <c r="U198" s="2" t="s">
        <v>718</v>
      </c>
    </row>
    <row r="199" spans="1:21" x14ac:dyDescent="0.3">
      <c r="A199">
        <v>269308</v>
      </c>
      <c r="B199" t="s">
        <v>46</v>
      </c>
      <c r="C199" t="s">
        <v>1279</v>
      </c>
      <c r="D199" t="s">
        <v>0</v>
      </c>
      <c r="E199" s="1" t="s">
        <v>1280</v>
      </c>
      <c r="F199">
        <v>25026026</v>
      </c>
      <c r="G199" t="s">
        <v>134</v>
      </c>
      <c r="H199" s="17">
        <v>81326258000770</v>
      </c>
      <c r="I199" s="17">
        <v>90739624001432</v>
      </c>
      <c r="J199" t="s">
        <v>2</v>
      </c>
      <c r="K199" s="9" t="s">
        <v>1281</v>
      </c>
      <c r="L199" t="s">
        <v>44</v>
      </c>
      <c r="M199">
        <v>101343</v>
      </c>
      <c r="N199" s="2" t="s">
        <v>583</v>
      </c>
      <c r="O199" s="9" t="s">
        <v>1281</v>
      </c>
      <c r="P199" t="s">
        <v>1282</v>
      </c>
      <c r="T199" s="2"/>
      <c r="U199" s="2" t="s">
        <v>718</v>
      </c>
    </row>
    <row r="200" spans="1:21" x14ac:dyDescent="0.3">
      <c r="A200">
        <v>269308</v>
      </c>
      <c r="B200" t="s">
        <v>46</v>
      </c>
      <c r="C200" t="s">
        <v>373</v>
      </c>
      <c r="D200" t="s">
        <v>63</v>
      </c>
      <c r="E200" s="1" t="s">
        <v>1283</v>
      </c>
      <c r="F200">
        <v>25025849</v>
      </c>
      <c r="G200" t="s">
        <v>919</v>
      </c>
      <c r="H200" s="17">
        <v>20630766000167</v>
      </c>
      <c r="I200" s="17">
        <v>90739624001432</v>
      </c>
      <c r="J200" t="s">
        <v>2</v>
      </c>
      <c r="K200" s="9" t="s">
        <v>1284</v>
      </c>
      <c r="L200" t="s">
        <v>44</v>
      </c>
      <c r="M200">
        <v>59345</v>
      </c>
      <c r="N200" s="2" t="s">
        <v>583</v>
      </c>
      <c r="O200" s="9" t="s">
        <v>1284</v>
      </c>
      <c r="P200" t="s">
        <v>1285</v>
      </c>
      <c r="T200" s="2"/>
      <c r="U200" s="2" t="s">
        <v>718</v>
      </c>
    </row>
    <row r="201" spans="1:21" x14ac:dyDescent="0.3">
      <c r="A201">
        <v>269308</v>
      </c>
      <c r="B201" t="s">
        <v>46</v>
      </c>
      <c r="C201" t="s">
        <v>649</v>
      </c>
      <c r="D201" t="s">
        <v>36</v>
      </c>
      <c r="E201" s="1" t="s">
        <v>1286</v>
      </c>
      <c r="F201">
        <v>25025575</v>
      </c>
      <c r="G201" t="s">
        <v>186</v>
      </c>
      <c r="H201" s="17">
        <v>7822636000168</v>
      </c>
      <c r="I201" s="17">
        <v>90739624004458</v>
      </c>
      <c r="J201" t="s">
        <v>2</v>
      </c>
      <c r="K201" s="9" t="s">
        <v>1287</v>
      </c>
      <c r="L201" t="s">
        <v>44</v>
      </c>
      <c r="M201">
        <v>4240</v>
      </c>
      <c r="N201" s="2" t="s">
        <v>583</v>
      </c>
      <c r="O201" s="9" t="s">
        <v>1287</v>
      </c>
      <c r="P201" t="s">
        <v>1288</v>
      </c>
      <c r="T201" s="2"/>
      <c r="U201" s="2" t="s">
        <v>718</v>
      </c>
    </row>
    <row r="202" spans="1:21" x14ac:dyDescent="0.3">
      <c r="A202">
        <v>269308</v>
      </c>
      <c r="B202" t="s">
        <v>46</v>
      </c>
      <c r="C202" t="s">
        <v>282</v>
      </c>
      <c r="D202" t="s">
        <v>28</v>
      </c>
      <c r="E202" s="1" t="s">
        <v>1289</v>
      </c>
      <c r="F202">
        <v>25025511</v>
      </c>
      <c r="G202" t="s">
        <v>48</v>
      </c>
      <c r="H202" s="17">
        <v>1272434001002</v>
      </c>
      <c r="I202" s="17">
        <v>90739624001947</v>
      </c>
      <c r="J202" t="s">
        <v>2</v>
      </c>
      <c r="K202" s="9" t="s">
        <v>1290</v>
      </c>
      <c r="L202" t="s">
        <v>44</v>
      </c>
      <c r="M202">
        <v>81391</v>
      </c>
      <c r="N202" s="2" t="s">
        <v>583</v>
      </c>
      <c r="O202" s="9" t="s">
        <v>1290</v>
      </c>
      <c r="P202" t="s">
        <v>1291</v>
      </c>
      <c r="T202" s="2"/>
      <c r="U202" s="2" t="s">
        <v>718</v>
      </c>
    </row>
    <row r="203" spans="1:21" x14ac:dyDescent="0.3">
      <c r="A203">
        <v>269308</v>
      </c>
      <c r="B203" t="s">
        <v>46</v>
      </c>
      <c r="C203" t="s">
        <v>525</v>
      </c>
      <c r="D203" t="s">
        <v>28</v>
      </c>
      <c r="E203" s="1" t="s">
        <v>1292</v>
      </c>
      <c r="F203">
        <v>25025355</v>
      </c>
      <c r="G203" t="s">
        <v>48</v>
      </c>
      <c r="H203" s="17">
        <v>1272434001002</v>
      </c>
      <c r="I203" s="17">
        <v>90739624001947</v>
      </c>
      <c r="J203" t="s">
        <v>2</v>
      </c>
      <c r="K203" s="9" t="s">
        <v>1293</v>
      </c>
      <c r="L203" t="s">
        <v>44</v>
      </c>
      <c r="M203">
        <v>81390</v>
      </c>
      <c r="N203" s="2" t="s">
        <v>583</v>
      </c>
      <c r="O203" s="9" t="s">
        <v>1293</v>
      </c>
      <c r="P203" t="s">
        <v>1294</v>
      </c>
      <c r="T203" s="2"/>
      <c r="U203" s="2" t="s">
        <v>718</v>
      </c>
    </row>
    <row r="204" spans="1:21" x14ac:dyDescent="0.3">
      <c r="A204">
        <v>269308</v>
      </c>
      <c r="B204" t="s">
        <v>46</v>
      </c>
      <c r="C204" t="s">
        <v>856</v>
      </c>
      <c r="D204" t="s">
        <v>100</v>
      </c>
      <c r="E204" s="1" t="s">
        <v>1295</v>
      </c>
      <c r="F204">
        <v>25025353</v>
      </c>
      <c r="G204" t="s">
        <v>634</v>
      </c>
      <c r="H204" s="17">
        <v>22611652000286</v>
      </c>
      <c r="I204" s="17">
        <v>90739624001866</v>
      </c>
      <c r="J204" t="s">
        <v>2</v>
      </c>
      <c r="K204" s="9" t="s">
        <v>1296</v>
      </c>
      <c r="L204" t="s">
        <v>44</v>
      </c>
      <c r="M204">
        <v>323755</v>
      </c>
      <c r="N204" s="2" t="s">
        <v>583</v>
      </c>
      <c r="O204" s="9" t="s">
        <v>1296</v>
      </c>
      <c r="P204" t="s">
        <v>1297</v>
      </c>
      <c r="T204" s="2"/>
      <c r="U204" s="2" t="s">
        <v>718</v>
      </c>
    </row>
    <row r="205" spans="1:21" x14ac:dyDescent="0.3">
      <c r="A205">
        <v>269308</v>
      </c>
      <c r="B205" t="s">
        <v>46</v>
      </c>
      <c r="C205" t="s">
        <v>502</v>
      </c>
      <c r="D205" t="s">
        <v>18</v>
      </c>
      <c r="E205" s="1" t="s">
        <v>1298</v>
      </c>
      <c r="F205">
        <v>25025341</v>
      </c>
      <c r="G205" t="s">
        <v>165</v>
      </c>
      <c r="H205" s="17">
        <v>25449917000107</v>
      </c>
      <c r="I205" s="17">
        <v>90739624000380</v>
      </c>
      <c r="J205" t="s">
        <v>2</v>
      </c>
      <c r="K205" s="9" t="s">
        <v>1299</v>
      </c>
      <c r="L205" t="s">
        <v>44</v>
      </c>
      <c r="M205">
        <v>87465</v>
      </c>
      <c r="N205" s="2" t="s">
        <v>583</v>
      </c>
      <c r="O205" s="9" t="s">
        <v>1299</v>
      </c>
      <c r="P205" t="s">
        <v>1300</v>
      </c>
      <c r="T205" s="2"/>
      <c r="U205" s="2" t="s">
        <v>718</v>
      </c>
    </row>
    <row r="206" spans="1:21" x14ac:dyDescent="0.3">
      <c r="A206">
        <v>269308</v>
      </c>
      <c r="B206" t="s">
        <v>88</v>
      </c>
      <c r="C206" t="s">
        <v>334</v>
      </c>
      <c r="D206" t="s">
        <v>58</v>
      </c>
      <c r="E206" s="1" t="s">
        <v>1301</v>
      </c>
      <c r="F206">
        <v>25025339</v>
      </c>
      <c r="G206" t="s">
        <v>106</v>
      </c>
      <c r="H206" s="17">
        <v>7473735015103</v>
      </c>
      <c r="I206" s="17"/>
      <c r="J206" t="s">
        <v>2</v>
      </c>
      <c r="K206" s="9" t="s">
        <v>1302</v>
      </c>
      <c r="L206" t="s">
        <v>87</v>
      </c>
      <c r="N206" s="2"/>
      <c r="O206" s="9"/>
      <c r="T206" s="2"/>
      <c r="U206" s="2" t="s">
        <v>718</v>
      </c>
    </row>
    <row r="207" spans="1:21" x14ac:dyDescent="0.3">
      <c r="A207">
        <v>269308</v>
      </c>
      <c r="B207" t="s">
        <v>46</v>
      </c>
      <c r="C207" t="s">
        <v>91</v>
      </c>
      <c r="D207" t="s">
        <v>28</v>
      </c>
      <c r="E207" s="1" t="s">
        <v>1303</v>
      </c>
      <c r="F207">
        <v>25025333</v>
      </c>
      <c r="G207" t="s">
        <v>29</v>
      </c>
      <c r="H207" s="17">
        <v>47377960000139</v>
      </c>
      <c r="I207" s="17">
        <v>90739624001947</v>
      </c>
      <c r="J207" t="s">
        <v>2</v>
      </c>
      <c r="K207" s="9" t="s">
        <v>1304</v>
      </c>
      <c r="L207" t="s">
        <v>44</v>
      </c>
      <c r="M207">
        <v>113379</v>
      </c>
      <c r="N207" s="2" t="s">
        <v>583</v>
      </c>
      <c r="O207" s="9" t="s">
        <v>663</v>
      </c>
      <c r="P207" t="s">
        <v>1305</v>
      </c>
      <c r="T207" s="2"/>
      <c r="U207" s="2" t="s">
        <v>718</v>
      </c>
    </row>
    <row r="208" spans="1:21" x14ac:dyDescent="0.3">
      <c r="A208">
        <v>269308</v>
      </c>
      <c r="B208" t="s">
        <v>46</v>
      </c>
      <c r="C208" t="s">
        <v>512</v>
      </c>
      <c r="D208" t="s">
        <v>8</v>
      </c>
      <c r="E208" s="1" t="s">
        <v>1306</v>
      </c>
      <c r="F208">
        <v>25025327</v>
      </c>
      <c r="G208" t="s">
        <v>10</v>
      </c>
      <c r="H208" s="17">
        <v>33286065000102</v>
      </c>
      <c r="I208" s="17">
        <v>9576274000106</v>
      </c>
      <c r="J208" t="s">
        <v>2</v>
      </c>
      <c r="K208" s="9" t="s">
        <v>1307</v>
      </c>
      <c r="L208" t="s">
        <v>44</v>
      </c>
      <c r="M208">
        <v>4414</v>
      </c>
      <c r="N208" s="2" t="s">
        <v>583</v>
      </c>
      <c r="O208" s="9" t="s">
        <v>1307</v>
      </c>
      <c r="P208" t="s">
        <v>1308</v>
      </c>
      <c r="T208" s="2"/>
      <c r="U208" s="2" t="s">
        <v>718</v>
      </c>
    </row>
    <row r="209" spans="1:21" x14ac:dyDescent="0.3">
      <c r="A209">
        <v>269308</v>
      </c>
      <c r="B209" t="s">
        <v>46</v>
      </c>
      <c r="C209" t="s">
        <v>1309</v>
      </c>
      <c r="D209" t="s">
        <v>63</v>
      </c>
      <c r="E209" s="1" t="s">
        <v>1310</v>
      </c>
      <c r="F209">
        <v>25025181</v>
      </c>
      <c r="G209" t="s">
        <v>961</v>
      </c>
      <c r="H209" s="17">
        <v>65580965000146</v>
      </c>
      <c r="I209" s="17">
        <v>90739624001432</v>
      </c>
      <c r="J209" t="s">
        <v>17</v>
      </c>
      <c r="K209" s="9" t="s">
        <v>1311</v>
      </c>
      <c r="L209" t="s">
        <v>44</v>
      </c>
      <c r="M209">
        <v>708</v>
      </c>
      <c r="N209" s="2" t="s">
        <v>583</v>
      </c>
      <c r="O209" s="9" t="s">
        <v>1311</v>
      </c>
      <c r="P209" t="s">
        <v>1312</v>
      </c>
      <c r="T209" s="2"/>
      <c r="U209" s="2" t="s">
        <v>718</v>
      </c>
    </row>
    <row r="210" spans="1:21" x14ac:dyDescent="0.3">
      <c r="A210">
        <v>269308</v>
      </c>
      <c r="B210" t="s">
        <v>46</v>
      </c>
      <c r="C210" t="s">
        <v>594</v>
      </c>
      <c r="D210" t="s">
        <v>13</v>
      </c>
      <c r="E210" s="1" t="s">
        <v>1313</v>
      </c>
      <c r="F210">
        <v>25025158</v>
      </c>
      <c r="G210" t="s">
        <v>15</v>
      </c>
      <c r="H210" s="17">
        <v>30432373000100</v>
      </c>
      <c r="I210" s="17">
        <v>90739624001190</v>
      </c>
      <c r="J210" t="s">
        <v>2</v>
      </c>
      <c r="K210" s="9" t="s">
        <v>1314</v>
      </c>
      <c r="L210" t="s">
        <v>44</v>
      </c>
      <c r="M210">
        <v>24652</v>
      </c>
      <c r="N210" s="2" t="s">
        <v>583</v>
      </c>
      <c r="O210" s="9" t="s">
        <v>1315</v>
      </c>
      <c r="P210" t="s">
        <v>1316</v>
      </c>
      <c r="T210" s="2"/>
      <c r="U210" s="2" t="s">
        <v>718</v>
      </c>
    </row>
    <row r="211" spans="1:21" x14ac:dyDescent="0.3">
      <c r="A211">
        <v>269308</v>
      </c>
      <c r="B211" t="s">
        <v>46</v>
      </c>
      <c r="C211" t="s">
        <v>616</v>
      </c>
      <c r="D211" t="s">
        <v>18</v>
      </c>
      <c r="E211" s="1" t="s">
        <v>1317</v>
      </c>
      <c r="F211">
        <v>25025154</v>
      </c>
      <c r="G211" t="s">
        <v>57</v>
      </c>
      <c r="H211" s="17">
        <v>50206655000199</v>
      </c>
      <c r="I211" s="17">
        <v>90739624000380</v>
      </c>
      <c r="J211" t="s">
        <v>2</v>
      </c>
      <c r="K211" s="9" t="s">
        <v>1318</v>
      </c>
      <c r="L211" t="s">
        <v>44</v>
      </c>
      <c r="M211">
        <v>15544</v>
      </c>
      <c r="N211" s="2" t="s">
        <v>602</v>
      </c>
      <c r="O211" s="9" t="s">
        <v>1318</v>
      </c>
      <c r="P211" t="s">
        <v>1319</v>
      </c>
      <c r="T211" s="2"/>
      <c r="U211" s="2" t="s">
        <v>718</v>
      </c>
    </row>
    <row r="212" spans="1:21" x14ac:dyDescent="0.3">
      <c r="A212">
        <v>269308</v>
      </c>
      <c r="B212" t="s">
        <v>46</v>
      </c>
      <c r="C212" t="s">
        <v>510</v>
      </c>
      <c r="D212" t="s">
        <v>36</v>
      </c>
      <c r="E212" s="1" t="s">
        <v>1320</v>
      </c>
      <c r="F212">
        <v>25025153</v>
      </c>
      <c r="G212" t="s">
        <v>186</v>
      </c>
      <c r="H212" s="17">
        <v>7822636000168</v>
      </c>
      <c r="I212" s="17">
        <v>90739624004458</v>
      </c>
      <c r="J212" t="s">
        <v>2</v>
      </c>
      <c r="K212" s="9" t="s">
        <v>1321</v>
      </c>
      <c r="L212" t="s">
        <v>44</v>
      </c>
      <c r="M212">
        <v>4239</v>
      </c>
      <c r="N212" s="2" t="s">
        <v>583</v>
      </c>
      <c r="O212" s="9" t="s">
        <v>1322</v>
      </c>
      <c r="P212" t="s">
        <v>1323</v>
      </c>
      <c r="T212" s="2"/>
      <c r="U212" s="2" t="s">
        <v>718</v>
      </c>
    </row>
    <row r="213" spans="1:21" x14ac:dyDescent="0.3">
      <c r="A213">
        <v>269308</v>
      </c>
      <c r="B213" t="s">
        <v>46</v>
      </c>
      <c r="C213" t="s">
        <v>1309</v>
      </c>
      <c r="D213" t="s">
        <v>63</v>
      </c>
      <c r="E213" s="1" t="s">
        <v>1324</v>
      </c>
      <c r="F213">
        <v>25025041</v>
      </c>
      <c r="G213" t="s">
        <v>961</v>
      </c>
      <c r="H213" s="17">
        <v>65580965000146</v>
      </c>
      <c r="I213" s="17">
        <v>90739624001432</v>
      </c>
      <c r="J213" t="s">
        <v>2</v>
      </c>
      <c r="K213" s="9" t="s">
        <v>1325</v>
      </c>
      <c r="L213" t="s">
        <v>44</v>
      </c>
      <c r="M213">
        <v>707</v>
      </c>
      <c r="N213" s="2" t="s">
        <v>583</v>
      </c>
      <c r="O213" s="9" t="s">
        <v>1325</v>
      </c>
      <c r="P213" t="s">
        <v>1326</v>
      </c>
      <c r="T213" s="2"/>
      <c r="U213" s="2" t="s">
        <v>718</v>
      </c>
    </row>
    <row r="214" spans="1:21" x14ac:dyDescent="0.3">
      <c r="A214">
        <v>269308</v>
      </c>
      <c r="B214" t="s">
        <v>46</v>
      </c>
      <c r="C214" t="s">
        <v>314</v>
      </c>
      <c r="D214" t="s">
        <v>61</v>
      </c>
      <c r="E214" s="1" t="s">
        <v>1327</v>
      </c>
      <c r="F214">
        <v>25024834</v>
      </c>
      <c r="G214" t="s">
        <v>62</v>
      </c>
      <c r="H214" s="17">
        <v>79964177000591</v>
      </c>
      <c r="I214" s="17">
        <v>9576274000106</v>
      </c>
      <c r="J214" t="s">
        <v>2</v>
      </c>
      <c r="K214" s="9" t="s">
        <v>1328</v>
      </c>
      <c r="L214" t="s">
        <v>44</v>
      </c>
      <c r="M214">
        <v>820705</v>
      </c>
      <c r="N214" s="2" t="s">
        <v>583</v>
      </c>
      <c r="O214" s="9" t="s">
        <v>1328</v>
      </c>
      <c r="P214" t="s">
        <v>1329</v>
      </c>
      <c r="T214" s="2"/>
      <c r="U214" s="2" t="s">
        <v>718</v>
      </c>
    </row>
    <row r="215" spans="1:21" x14ac:dyDescent="0.3">
      <c r="A215">
        <v>269308</v>
      </c>
      <c r="B215" t="s">
        <v>46</v>
      </c>
      <c r="C215" t="s">
        <v>196</v>
      </c>
      <c r="D215" t="s">
        <v>36</v>
      </c>
      <c r="E215" s="1" t="s">
        <v>1330</v>
      </c>
      <c r="F215">
        <v>25024777</v>
      </c>
      <c r="G215" t="s">
        <v>186</v>
      </c>
      <c r="H215" s="17">
        <v>7822636000168</v>
      </c>
      <c r="I215" s="17">
        <v>90739624004458</v>
      </c>
      <c r="J215" t="s">
        <v>2</v>
      </c>
      <c r="K215" s="9" t="s">
        <v>1331</v>
      </c>
      <c r="L215" t="s">
        <v>44</v>
      </c>
      <c r="M215">
        <v>4238</v>
      </c>
      <c r="N215" s="2" t="s">
        <v>583</v>
      </c>
      <c r="O215" s="9" t="s">
        <v>1332</v>
      </c>
      <c r="P215" t="s">
        <v>1333</v>
      </c>
      <c r="T215" s="2"/>
      <c r="U215" s="2" t="s">
        <v>718</v>
      </c>
    </row>
    <row r="216" spans="1:21" x14ac:dyDescent="0.3">
      <c r="A216">
        <v>269308</v>
      </c>
      <c r="B216" t="s">
        <v>46</v>
      </c>
      <c r="C216" t="s">
        <v>1068</v>
      </c>
      <c r="D216" t="s">
        <v>13</v>
      </c>
      <c r="E216" s="1" t="s">
        <v>1334</v>
      </c>
      <c r="F216">
        <v>25024712</v>
      </c>
      <c r="G216" t="s">
        <v>315</v>
      </c>
      <c r="H216" s="17">
        <v>2322969000104</v>
      </c>
      <c r="I216" s="17">
        <v>90739624001190</v>
      </c>
      <c r="J216" t="s">
        <v>2</v>
      </c>
      <c r="K216" s="9" t="s">
        <v>1335</v>
      </c>
      <c r="L216" t="s">
        <v>44</v>
      </c>
      <c r="M216">
        <v>16179</v>
      </c>
      <c r="N216" s="2" t="s">
        <v>583</v>
      </c>
      <c r="O216" s="9" t="s">
        <v>1335</v>
      </c>
      <c r="P216" t="s">
        <v>1336</v>
      </c>
      <c r="T216" s="2"/>
      <c r="U216" s="2" t="s">
        <v>718</v>
      </c>
    </row>
    <row r="217" spans="1:21" x14ac:dyDescent="0.3">
      <c r="A217">
        <v>269308</v>
      </c>
      <c r="B217" t="s">
        <v>88</v>
      </c>
      <c r="C217" t="s">
        <v>497</v>
      </c>
      <c r="D217" t="s">
        <v>58</v>
      </c>
      <c r="E217" s="1" t="s">
        <v>1337</v>
      </c>
      <c r="F217">
        <v>25024701</v>
      </c>
      <c r="G217" t="s">
        <v>60</v>
      </c>
      <c r="H217" s="17">
        <v>7473735018200</v>
      </c>
      <c r="I217" s="17"/>
      <c r="J217" t="s">
        <v>2</v>
      </c>
      <c r="K217" s="9" t="s">
        <v>1338</v>
      </c>
      <c r="L217" t="s">
        <v>87</v>
      </c>
      <c r="N217" s="2"/>
      <c r="O217" s="9"/>
      <c r="T217" s="2"/>
      <c r="U217" s="2" t="s">
        <v>718</v>
      </c>
    </row>
    <row r="218" spans="1:21" x14ac:dyDescent="0.3">
      <c r="A218">
        <v>269308</v>
      </c>
      <c r="B218" t="s">
        <v>88</v>
      </c>
      <c r="C218" t="s">
        <v>506</v>
      </c>
      <c r="D218" t="s">
        <v>73</v>
      </c>
      <c r="E218" s="1" t="s">
        <v>1339</v>
      </c>
      <c r="F218">
        <v>25024576</v>
      </c>
      <c r="G218" t="s">
        <v>1340</v>
      </c>
      <c r="H218" s="17">
        <v>7473735001153</v>
      </c>
      <c r="I218" s="17"/>
      <c r="J218" t="s">
        <v>2</v>
      </c>
      <c r="K218" s="9" t="s">
        <v>1341</v>
      </c>
      <c r="L218" t="s">
        <v>87</v>
      </c>
      <c r="N218" s="2"/>
      <c r="O218" s="9"/>
      <c r="T218" s="2"/>
      <c r="U218" s="2" t="s">
        <v>718</v>
      </c>
    </row>
    <row r="219" spans="1:21" x14ac:dyDescent="0.3">
      <c r="A219">
        <v>269308</v>
      </c>
      <c r="B219" t="s">
        <v>46</v>
      </c>
      <c r="C219" t="s">
        <v>281</v>
      </c>
      <c r="D219" t="s">
        <v>170</v>
      </c>
      <c r="E219" s="1" t="s">
        <v>1342</v>
      </c>
      <c r="F219">
        <v>25024575</v>
      </c>
      <c r="G219" t="s">
        <v>171</v>
      </c>
      <c r="H219" s="17">
        <v>14631967000186</v>
      </c>
      <c r="I219" s="17">
        <v>90739624001432</v>
      </c>
      <c r="J219" t="s">
        <v>2</v>
      </c>
      <c r="K219" s="9" t="s">
        <v>1343</v>
      </c>
      <c r="L219" t="s">
        <v>44</v>
      </c>
      <c r="M219">
        <v>47751</v>
      </c>
      <c r="N219" s="2" t="s">
        <v>583</v>
      </c>
      <c r="O219" s="9" t="s">
        <v>1343</v>
      </c>
      <c r="P219" t="s">
        <v>1344</v>
      </c>
      <c r="T219" s="2"/>
      <c r="U219" s="2" t="s">
        <v>718</v>
      </c>
    </row>
    <row r="220" spans="1:21" x14ac:dyDescent="0.3">
      <c r="A220">
        <v>269308</v>
      </c>
      <c r="B220" t="s">
        <v>46</v>
      </c>
      <c r="C220" t="s">
        <v>199</v>
      </c>
      <c r="D220" t="s">
        <v>0</v>
      </c>
      <c r="E220" s="1" t="s">
        <v>1345</v>
      </c>
      <c r="F220">
        <v>25024526</v>
      </c>
      <c r="G220" t="s">
        <v>134</v>
      </c>
      <c r="H220" s="17">
        <v>81326258000770</v>
      </c>
      <c r="I220" s="17">
        <v>90739624001432</v>
      </c>
      <c r="J220" t="s">
        <v>2</v>
      </c>
      <c r="K220" s="9" t="s">
        <v>1346</v>
      </c>
      <c r="L220" t="s">
        <v>44</v>
      </c>
      <c r="M220">
        <v>101337</v>
      </c>
      <c r="N220" s="2" t="s">
        <v>583</v>
      </c>
      <c r="O220" s="9" t="s">
        <v>1346</v>
      </c>
      <c r="P220" t="s">
        <v>1347</v>
      </c>
      <c r="T220" s="2"/>
      <c r="U220" s="2" t="s">
        <v>718</v>
      </c>
    </row>
    <row r="221" spans="1:21" x14ac:dyDescent="0.3">
      <c r="A221">
        <v>269308</v>
      </c>
      <c r="B221" t="s">
        <v>88</v>
      </c>
      <c r="C221" t="s">
        <v>391</v>
      </c>
      <c r="D221" t="s">
        <v>58</v>
      </c>
      <c r="E221" s="1" t="s">
        <v>1348</v>
      </c>
      <c r="F221">
        <v>25024524</v>
      </c>
      <c r="G221" t="s">
        <v>106</v>
      </c>
      <c r="H221" s="17">
        <v>7473735015103</v>
      </c>
      <c r="I221" s="17"/>
      <c r="J221" t="s">
        <v>2</v>
      </c>
      <c r="K221" s="9" t="s">
        <v>1349</v>
      </c>
      <c r="L221" t="s">
        <v>87</v>
      </c>
      <c r="N221" s="2"/>
      <c r="O221" s="9"/>
      <c r="T221" s="2"/>
      <c r="U221" s="2" t="s">
        <v>718</v>
      </c>
    </row>
    <row r="222" spans="1:21" x14ac:dyDescent="0.3">
      <c r="A222">
        <v>269308</v>
      </c>
      <c r="B222" t="s">
        <v>46</v>
      </c>
      <c r="C222" t="s">
        <v>205</v>
      </c>
      <c r="D222" t="s">
        <v>28</v>
      </c>
      <c r="E222" s="1" t="s">
        <v>1350</v>
      </c>
      <c r="F222">
        <v>25024403</v>
      </c>
      <c r="G222" t="s">
        <v>48</v>
      </c>
      <c r="H222" s="17">
        <v>1272434001002</v>
      </c>
      <c r="I222" s="17">
        <v>90739624001947</v>
      </c>
      <c r="J222" t="s">
        <v>2</v>
      </c>
      <c r="K222" s="9" t="s">
        <v>1351</v>
      </c>
      <c r="L222" t="s">
        <v>44</v>
      </c>
      <c r="M222">
        <v>81380</v>
      </c>
      <c r="N222" s="2" t="s">
        <v>583</v>
      </c>
      <c r="O222" s="9" t="s">
        <v>1351</v>
      </c>
      <c r="P222" t="s">
        <v>1352</v>
      </c>
      <c r="T222" s="2"/>
      <c r="U222" s="2" t="s">
        <v>718</v>
      </c>
    </row>
    <row r="223" spans="1:21" x14ac:dyDescent="0.3">
      <c r="A223">
        <v>269308</v>
      </c>
      <c r="B223" t="s">
        <v>46</v>
      </c>
      <c r="C223" t="s">
        <v>561</v>
      </c>
      <c r="D223" t="s">
        <v>63</v>
      </c>
      <c r="E223" s="1" t="s">
        <v>1353</v>
      </c>
      <c r="F223">
        <v>25024357</v>
      </c>
      <c r="G223" t="s">
        <v>64</v>
      </c>
      <c r="H223" s="17">
        <v>23448964001921</v>
      </c>
      <c r="I223" s="17">
        <v>90739624001432</v>
      </c>
      <c r="J223" t="s">
        <v>2</v>
      </c>
      <c r="K223" s="9" t="s">
        <v>1354</v>
      </c>
      <c r="L223" t="s">
        <v>44</v>
      </c>
      <c r="M223">
        <v>179485</v>
      </c>
      <c r="N223" s="2" t="s">
        <v>583</v>
      </c>
      <c r="O223" s="9" t="s">
        <v>1354</v>
      </c>
      <c r="P223" t="s">
        <v>1355</v>
      </c>
      <c r="T223" s="2"/>
      <c r="U223" s="2" t="s">
        <v>718</v>
      </c>
    </row>
    <row r="224" spans="1:21" x14ac:dyDescent="0.3">
      <c r="A224">
        <v>269308</v>
      </c>
      <c r="B224" t="s">
        <v>46</v>
      </c>
      <c r="C224" t="s">
        <v>598</v>
      </c>
      <c r="D224" t="s">
        <v>100</v>
      </c>
      <c r="E224" s="1" t="s">
        <v>1356</v>
      </c>
      <c r="F224">
        <v>25024332</v>
      </c>
      <c r="G224" t="s">
        <v>303</v>
      </c>
      <c r="H224" s="17">
        <v>9380191000139</v>
      </c>
      <c r="I224" s="17">
        <v>90739624001866</v>
      </c>
      <c r="J224" t="s">
        <v>2</v>
      </c>
      <c r="K224" s="9" t="s">
        <v>1357</v>
      </c>
      <c r="L224" t="s">
        <v>44</v>
      </c>
      <c r="M224">
        <v>44630</v>
      </c>
      <c r="N224" s="2" t="s">
        <v>583</v>
      </c>
      <c r="O224" s="9" t="s">
        <v>1357</v>
      </c>
      <c r="P224" t="s">
        <v>1358</v>
      </c>
      <c r="T224" s="2"/>
      <c r="U224" s="2" t="s">
        <v>718</v>
      </c>
    </row>
    <row r="225" spans="1:21" x14ac:dyDescent="0.3">
      <c r="A225">
        <v>269308</v>
      </c>
      <c r="B225" t="s">
        <v>46</v>
      </c>
      <c r="C225" t="s">
        <v>466</v>
      </c>
      <c r="D225" t="s">
        <v>63</v>
      </c>
      <c r="E225" s="1" t="s">
        <v>1359</v>
      </c>
      <c r="F225">
        <v>25024052</v>
      </c>
      <c r="G225" t="s">
        <v>64</v>
      </c>
      <c r="H225" s="17">
        <v>23448964001921</v>
      </c>
      <c r="I225" s="17">
        <v>90739624001432</v>
      </c>
      <c r="J225" t="s">
        <v>2</v>
      </c>
      <c r="K225" s="9" t="s">
        <v>1360</v>
      </c>
      <c r="L225" t="s">
        <v>44</v>
      </c>
      <c r="M225">
        <v>179479</v>
      </c>
      <c r="N225" s="2" t="s">
        <v>583</v>
      </c>
      <c r="O225" s="9" t="s">
        <v>1360</v>
      </c>
      <c r="P225" t="s">
        <v>1361</v>
      </c>
      <c r="T225" s="2"/>
      <c r="U225" s="2" t="s">
        <v>718</v>
      </c>
    </row>
    <row r="226" spans="1:21" x14ac:dyDescent="0.3">
      <c r="A226">
        <v>269308</v>
      </c>
      <c r="B226" t="s">
        <v>46</v>
      </c>
      <c r="C226" t="s">
        <v>207</v>
      </c>
      <c r="D226" t="s">
        <v>13</v>
      </c>
      <c r="E226" s="1" t="s">
        <v>1362</v>
      </c>
      <c r="F226">
        <v>25024035</v>
      </c>
      <c r="G226" t="s">
        <v>348</v>
      </c>
      <c r="H226" s="17">
        <v>26416003000102</v>
      </c>
      <c r="I226" s="17">
        <v>90739624001190</v>
      </c>
      <c r="J226" t="s">
        <v>2</v>
      </c>
      <c r="K226" s="9" t="s">
        <v>1363</v>
      </c>
      <c r="L226" t="s">
        <v>44</v>
      </c>
      <c r="M226">
        <v>48812</v>
      </c>
      <c r="N226" s="2" t="s">
        <v>792</v>
      </c>
      <c r="O226" s="9" t="s">
        <v>1363</v>
      </c>
      <c r="P226" t="s">
        <v>1364</v>
      </c>
      <c r="T226" s="2"/>
      <c r="U226" s="2" t="s">
        <v>718</v>
      </c>
    </row>
    <row r="227" spans="1:21" x14ac:dyDescent="0.3">
      <c r="A227">
        <v>269308</v>
      </c>
      <c r="B227" t="s">
        <v>88</v>
      </c>
      <c r="C227" t="s">
        <v>386</v>
      </c>
      <c r="D227" t="s">
        <v>58</v>
      </c>
      <c r="E227" s="1" t="s">
        <v>1365</v>
      </c>
      <c r="F227">
        <v>25024018</v>
      </c>
      <c r="G227" t="s">
        <v>532</v>
      </c>
      <c r="H227" s="17">
        <v>7473735018552</v>
      </c>
      <c r="I227" s="17"/>
      <c r="J227" t="s">
        <v>2</v>
      </c>
      <c r="K227" s="9" t="s">
        <v>1366</v>
      </c>
      <c r="L227" t="s">
        <v>87</v>
      </c>
      <c r="N227" s="2"/>
      <c r="O227" s="9"/>
      <c r="T227" s="2"/>
      <c r="U227" s="2" t="s">
        <v>718</v>
      </c>
    </row>
    <row r="228" spans="1:21" x14ac:dyDescent="0.3">
      <c r="A228">
        <v>269308</v>
      </c>
      <c r="B228" t="s">
        <v>46</v>
      </c>
      <c r="C228" t="s">
        <v>135</v>
      </c>
      <c r="D228" t="s">
        <v>100</v>
      </c>
      <c r="E228" s="1" t="s">
        <v>1367</v>
      </c>
      <c r="F228">
        <v>25023720</v>
      </c>
      <c r="G228" t="s">
        <v>241</v>
      </c>
      <c r="H228" s="17">
        <v>14948822000103</v>
      </c>
      <c r="I228" s="17">
        <v>90739624001866</v>
      </c>
      <c r="J228" t="s">
        <v>2</v>
      </c>
      <c r="K228" s="9" t="s">
        <v>1368</v>
      </c>
      <c r="L228" t="s">
        <v>44</v>
      </c>
      <c r="M228">
        <v>154947</v>
      </c>
      <c r="N228" s="2" t="s">
        <v>583</v>
      </c>
      <c r="O228" s="9" t="s">
        <v>1368</v>
      </c>
      <c r="P228" t="s">
        <v>1369</v>
      </c>
      <c r="T228" s="2"/>
      <c r="U228" s="2" t="s">
        <v>718</v>
      </c>
    </row>
    <row r="229" spans="1:21" x14ac:dyDescent="0.3">
      <c r="A229">
        <v>269308</v>
      </c>
      <c r="B229" t="s">
        <v>88</v>
      </c>
      <c r="C229" t="s">
        <v>153</v>
      </c>
      <c r="D229" t="s">
        <v>58</v>
      </c>
      <c r="E229" s="1" t="s">
        <v>1370</v>
      </c>
      <c r="F229">
        <v>25023689</v>
      </c>
      <c r="G229" t="s">
        <v>106</v>
      </c>
      <c r="H229" s="17">
        <v>7473735015103</v>
      </c>
      <c r="I229" s="17"/>
      <c r="J229" t="s">
        <v>2</v>
      </c>
      <c r="K229" s="9" t="s">
        <v>1371</v>
      </c>
      <c r="L229" t="s">
        <v>87</v>
      </c>
      <c r="N229" s="2"/>
      <c r="O229" s="9"/>
      <c r="T229" s="2"/>
      <c r="U229" s="2" t="s">
        <v>718</v>
      </c>
    </row>
    <row r="230" spans="1:21" x14ac:dyDescent="0.3">
      <c r="A230">
        <v>269308</v>
      </c>
      <c r="B230" t="s">
        <v>46</v>
      </c>
      <c r="C230" t="s">
        <v>243</v>
      </c>
      <c r="D230" t="s">
        <v>61</v>
      </c>
      <c r="E230" s="1" t="s">
        <v>1372</v>
      </c>
      <c r="F230">
        <v>25023653</v>
      </c>
      <c r="G230" t="s">
        <v>85</v>
      </c>
      <c r="H230" s="17">
        <v>1975878000105</v>
      </c>
      <c r="I230" s="17">
        <v>9576274000106</v>
      </c>
      <c r="J230" t="s">
        <v>2</v>
      </c>
      <c r="K230" s="9" t="s">
        <v>1373</v>
      </c>
      <c r="L230" t="s">
        <v>44</v>
      </c>
      <c r="M230">
        <v>2532</v>
      </c>
      <c r="N230" s="2" t="s">
        <v>583</v>
      </c>
      <c r="O230" s="9" t="s">
        <v>1373</v>
      </c>
      <c r="P230" t="s">
        <v>1374</v>
      </c>
      <c r="T230" s="2"/>
      <c r="U230" s="2" t="s">
        <v>718</v>
      </c>
    </row>
    <row r="231" spans="1:21" x14ac:dyDescent="0.3">
      <c r="A231">
        <v>269308</v>
      </c>
      <c r="B231" t="s">
        <v>46</v>
      </c>
      <c r="C231" t="s">
        <v>191</v>
      </c>
      <c r="D231" t="s">
        <v>61</v>
      </c>
      <c r="E231" s="1" t="s">
        <v>1375</v>
      </c>
      <c r="F231">
        <v>25023407</v>
      </c>
      <c r="G231" t="s">
        <v>62</v>
      </c>
      <c r="H231" s="17">
        <v>79964177000591</v>
      </c>
      <c r="I231" s="17">
        <v>9576274000106</v>
      </c>
      <c r="J231" t="s">
        <v>2</v>
      </c>
      <c r="K231" s="9" t="s">
        <v>1376</v>
      </c>
      <c r="L231" t="s">
        <v>44</v>
      </c>
      <c r="M231">
        <v>820692</v>
      </c>
      <c r="N231" s="2" t="s">
        <v>583</v>
      </c>
      <c r="O231" s="9" t="s">
        <v>1376</v>
      </c>
      <c r="P231" t="s">
        <v>1377</v>
      </c>
      <c r="T231" s="2"/>
      <c r="U231" s="2" t="s">
        <v>718</v>
      </c>
    </row>
    <row r="232" spans="1:21" x14ac:dyDescent="0.3">
      <c r="A232">
        <v>269308</v>
      </c>
      <c r="B232" t="s">
        <v>46</v>
      </c>
      <c r="C232" t="s">
        <v>198</v>
      </c>
      <c r="D232" t="s">
        <v>61</v>
      </c>
      <c r="E232" s="1" t="s">
        <v>1378</v>
      </c>
      <c r="F232">
        <v>25023230</v>
      </c>
      <c r="G232" t="s">
        <v>127</v>
      </c>
      <c r="H232" s="17">
        <v>76493295000147</v>
      </c>
      <c r="I232" s="17">
        <v>9576274000106</v>
      </c>
      <c r="J232" t="s">
        <v>2</v>
      </c>
      <c r="K232" s="9" t="s">
        <v>1379</v>
      </c>
      <c r="L232" t="s">
        <v>44</v>
      </c>
      <c r="M232">
        <v>29010</v>
      </c>
      <c r="N232" s="2" t="s">
        <v>583</v>
      </c>
      <c r="O232" s="9" t="s">
        <v>1379</v>
      </c>
      <c r="P232" t="s">
        <v>1380</v>
      </c>
      <c r="T232" s="2"/>
      <c r="U232" s="2" t="s">
        <v>718</v>
      </c>
    </row>
    <row r="233" spans="1:21" x14ac:dyDescent="0.3">
      <c r="A233">
        <v>269308</v>
      </c>
      <c r="B233" t="s">
        <v>46</v>
      </c>
      <c r="C233" t="s">
        <v>197</v>
      </c>
      <c r="D233" t="s">
        <v>36</v>
      </c>
      <c r="E233" s="1" t="s">
        <v>1381</v>
      </c>
      <c r="F233">
        <v>25023226</v>
      </c>
      <c r="G233" t="s">
        <v>186</v>
      </c>
      <c r="H233" s="17">
        <v>7822636000168</v>
      </c>
      <c r="I233" s="17">
        <v>90739624004458</v>
      </c>
      <c r="J233" t="s">
        <v>2</v>
      </c>
      <c r="K233" s="9" t="s">
        <v>1382</v>
      </c>
      <c r="L233" t="s">
        <v>44</v>
      </c>
      <c r="M233">
        <v>4235</v>
      </c>
      <c r="N233" s="2" t="s">
        <v>583</v>
      </c>
      <c r="O233" s="9" t="s">
        <v>1383</v>
      </c>
      <c r="P233" t="s">
        <v>1384</v>
      </c>
      <c r="T233" s="2"/>
      <c r="U233" s="2" t="s">
        <v>718</v>
      </c>
    </row>
    <row r="234" spans="1:21" x14ac:dyDescent="0.3">
      <c r="A234">
        <v>269308</v>
      </c>
      <c r="B234" t="s">
        <v>88</v>
      </c>
      <c r="C234" t="s">
        <v>162</v>
      </c>
      <c r="D234" t="s">
        <v>58</v>
      </c>
      <c r="E234" s="1" t="s">
        <v>1385</v>
      </c>
      <c r="F234">
        <v>25023102</v>
      </c>
      <c r="G234" t="s">
        <v>192</v>
      </c>
      <c r="H234" s="17">
        <v>7473735022312</v>
      </c>
      <c r="I234" s="17"/>
      <c r="J234" t="s">
        <v>2</v>
      </c>
      <c r="K234" s="9" t="s">
        <v>1386</v>
      </c>
      <c r="L234" t="s">
        <v>87</v>
      </c>
      <c r="N234" s="2"/>
      <c r="O234" s="9"/>
      <c r="T234" s="2"/>
      <c r="U234" s="2" t="s">
        <v>718</v>
      </c>
    </row>
    <row r="235" spans="1:21" x14ac:dyDescent="0.3">
      <c r="A235">
        <v>269308</v>
      </c>
      <c r="B235" t="s">
        <v>46</v>
      </c>
      <c r="C235" t="s">
        <v>39</v>
      </c>
      <c r="D235" t="s">
        <v>18</v>
      </c>
      <c r="E235" s="1" t="s">
        <v>1387</v>
      </c>
      <c r="F235">
        <v>25022565</v>
      </c>
      <c r="G235" t="s">
        <v>202</v>
      </c>
      <c r="H235" s="17">
        <v>5065447000162</v>
      </c>
      <c r="I235" s="17">
        <v>90739624000380</v>
      </c>
      <c r="J235" t="s">
        <v>2</v>
      </c>
      <c r="K235" s="9" t="s">
        <v>1388</v>
      </c>
      <c r="L235" t="s">
        <v>44</v>
      </c>
      <c r="M235">
        <v>374038</v>
      </c>
      <c r="N235" s="2" t="s">
        <v>583</v>
      </c>
      <c r="O235" s="9" t="s">
        <v>1388</v>
      </c>
      <c r="P235" t="s">
        <v>1389</v>
      </c>
      <c r="T235" s="2"/>
      <c r="U235" s="2" t="s">
        <v>718</v>
      </c>
    </row>
    <row r="236" spans="1:21" x14ac:dyDescent="0.3">
      <c r="A236">
        <v>269308</v>
      </c>
      <c r="B236" t="s">
        <v>46</v>
      </c>
      <c r="C236" t="s">
        <v>138</v>
      </c>
      <c r="D236" t="s">
        <v>11</v>
      </c>
      <c r="E236" s="1" t="s">
        <v>1390</v>
      </c>
      <c r="F236">
        <v>25021662</v>
      </c>
      <c r="G236" t="s">
        <v>204</v>
      </c>
      <c r="H236" s="17">
        <v>24187119000183</v>
      </c>
      <c r="I236" s="17">
        <v>90739624000118</v>
      </c>
      <c r="J236" t="s">
        <v>2</v>
      </c>
      <c r="K236" s="9" t="s">
        <v>1391</v>
      </c>
      <c r="L236" t="s">
        <v>44</v>
      </c>
      <c r="M236">
        <v>311831</v>
      </c>
      <c r="N236" s="2" t="s">
        <v>583</v>
      </c>
      <c r="O236" s="9" t="s">
        <v>1391</v>
      </c>
      <c r="P236" t="s">
        <v>1392</v>
      </c>
      <c r="T236" s="2"/>
      <c r="U236" s="2" t="s">
        <v>718</v>
      </c>
    </row>
    <row r="237" spans="1:21" x14ac:dyDescent="0.3">
      <c r="A237">
        <v>269308</v>
      </c>
      <c r="B237" t="s">
        <v>46</v>
      </c>
      <c r="C237" t="s">
        <v>343</v>
      </c>
      <c r="D237" t="s">
        <v>61</v>
      </c>
      <c r="E237" s="1" t="s">
        <v>1393</v>
      </c>
      <c r="F237">
        <v>25021266</v>
      </c>
      <c r="G237" t="s">
        <v>1394</v>
      </c>
      <c r="H237" s="17">
        <v>30858891000182</v>
      </c>
      <c r="I237" s="17">
        <v>9576274000106</v>
      </c>
      <c r="J237" t="s">
        <v>2</v>
      </c>
      <c r="K237" s="9" t="s">
        <v>1395</v>
      </c>
      <c r="L237" t="s">
        <v>44</v>
      </c>
      <c r="M237">
        <v>2967</v>
      </c>
      <c r="N237" s="2" t="s">
        <v>583</v>
      </c>
      <c r="O237" s="9" t="s">
        <v>1395</v>
      </c>
      <c r="P237" t="s">
        <v>1396</v>
      </c>
      <c r="T237" s="2"/>
      <c r="U237" s="2" t="s">
        <v>718</v>
      </c>
    </row>
    <row r="238" spans="1:21" x14ac:dyDescent="0.3">
      <c r="A238">
        <v>269308</v>
      </c>
      <c r="B238" t="s">
        <v>46</v>
      </c>
      <c r="C238" t="s">
        <v>522</v>
      </c>
      <c r="D238" t="s">
        <v>61</v>
      </c>
      <c r="E238" s="1" t="s">
        <v>1397</v>
      </c>
      <c r="F238">
        <v>25020850</v>
      </c>
      <c r="G238" t="s">
        <v>24</v>
      </c>
      <c r="H238" s="17">
        <v>46472822000176</v>
      </c>
      <c r="I238" s="17">
        <v>90739624000380</v>
      </c>
      <c r="J238" t="s">
        <v>2</v>
      </c>
      <c r="K238" s="9" t="s">
        <v>1398</v>
      </c>
      <c r="L238" t="s">
        <v>44</v>
      </c>
      <c r="M238">
        <v>23223</v>
      </c>
      <c r="N238" s="2" t="s">
        <v>583</v>
      </c>
      <c r="O238" s="9" t="s">
        <v>1398</v>
      </c>
      <c r="P238" t="s">
        <v>1399</v>
      </c>
      <c r="T238" s="2"/>
      <c r="U238" s="2" t="s">
        <v>718</v>
      </c>
    </row>
    <row r="239" spans="1:21" x14ac:dyDescent="0.3">
      <c r="A239">
        <v>269308</v>
      </c>
      <c r="B239" t="s">
        <v>46</v>
      </c>
      <c r="C239" t="s">
        <v>394</v>
      </c>
      <c r="D239" t="s">
        <v>18</v>
      </c>
      <c r="E239" s="1" t="s">
        <v>1400</v>
      </c>
      <c r="F239">
        <v>25020465</v>
      </c>
      <c r="G239" t="s">
        <v>395</v>
      </c>
      <c r="H239" s="17">
        <v>5911517000156</v>
      </c>
      <c r="I239" s="17">
        <v>90739624000380</v>
      </c>
      <c r="J239" t="s">
        <v>17</v>
      </c>
      <c r="K239" s="9" t="s">
        <v>1401</v>
      </c>
      <c r="L239" t="s">
        <v>44</v>
      </c>
      <c r="M239">
        <v>37186</v>
      </c>
      <c r="N239" s="2" t="s">
        <v>602</v>
      </c>
      <c r="O239" s="9" t="s">
        <v>1401</v>
      </c>
      <c r="P239" t="s">
        <v>1402</v>
      </c>
      <c r="T239" s="2"/>
      <c r="U239" s="2" t="s">
        <v>718</v>
      </c>
    </row>
    <row r="240" spans="1:21" x14ac:dyDescent="0.3">
      <c r="A240">
        <v>269308</v>
      </c>
      <c r="B240" t="s">
        <v>46</v>
      </c>
      <c r="C240" t="s">
        <v>19</v>
      </c>
      <c r="D240" t="s">
        <v>18</v>
      </c>
      <c r="E240" s="1" t="s">
        <v>1403</v>
      </c>
      <c r="F240">
        <v>25020463</v>
      </c>
      <c r="G240" t="s">
        <v>20</v>
      </c>
      <c r="H240" s="17">
        <v>27751075017640</v>
      </c>
      <c r="I240" s="17">
        <v>90739624000380</v>
      </c>
      <c r="J240" t="s">
        <v>2</v>
      </c>
      <c r="K240" s="9" t="s">
        <v>1404</v>
      </c>
      <c r="L240" t="s">
        <v>44</v>
      </c>
      <c r="M240">
        <v>1287</v>
      </c>
      <c r="N240" s="2" t="s">
        <v>583</v>
      </c>
      <c r="O240" s="9" t="s">
        <v>1404</v>
      </c>
      <c r="P240" t="s">
        <v>1405</v>
      </c>
      <c r="T240" s="2"/>
      <c r="U240" s="2" t="s">
        <v>718</v>
      </c>
    </row>
    <row r="241" spans="1:21" x14ac:dyDescent="0.3">
      <c r="A241">
        <v>269308</v>
      </c>
      <c r="B241" t="s">
        <v>46</v>
      </c>
      <c r="C241" t="s">
        <v>533</v>
      </c>
      <c r="D241" t="s">
        <v>61</v>
      </c>
      <c r="E241" s="1" t="s">
        <v>1406</v>
      </c>
      <c r="F241">
        <v>25019563</v>
      </c>
      <c r="G241" t="s">
        <v>1407</v>
      </c>
      <c r="H241" s="17">
        <v>30166354000171</v>
      </c>
      <c r="I241" s="17">
        <v>9576274000106</v>
      </c>
      <c r="J241" t="s">
        <v>2</v>
      </c>
      <c r="K241" s="9" t="s">
        <v>1408</v>
      </c>
      <c r="L241" t="s">
        <v>44</v>
      </c>
      <c r="M241">
        <v>144098</v>
      </c>
      <c r="N241" s="2" t="s">
        <v>583</v>
      </c>
      <c r="O241" s="9" t="s">
        <v>1408</v>
      </c>
      <c r="P241" t="s">
        <v>1409</v>
      </c>
      <c r="T241" s="2"/>
      <c r="U241" s="2" t="s">
        <v>718</v>
      </c>
    </row>
    <row r="242" spans="1:21" x14ac:dyDescent="0.3">
      <c r="A242">
        <v>269308</v>
      </c>
      <c r="B242" t="s">
        <v>46</v>
      </c>
      <c r="C242" t="s">
        <v>222</v>
      </c>
      <c r="D242" t="s">
        <v>174</v>
      </c>
      <c r="E242" s="1" t="s">
        <v>1410</v>
      </c>
      <c r="F242">
        <v>25019067</v>
      </c>
      <c r="G242" t="s">
        <v>595</v>
      </c>
      <c r="H242" s="17">
        <v>2772168000140</v>
      </c>
      <c r="I242" s="17">
        <v>90739624000118</v>
      </c>
      <c r="J242" t="s">
        <v>2</v>
      </c>
      <c r="K242" s="9" t="s">
        <v>1411</v>
      </c>
      <c r="L242" t="s">
        <v>44</v>
      </c>
      <c r="M242">
        <v>23709</v>
      </c>
      <c r="N242" s="2" t="s">
        <v>583</v>
      </c>
      <c r="O242" s="9" t="s">
        <v>1411</v>
      </c>
      <c r="P242" t="s">
        <v>1412</v>
      </c>
      <c r="T242" s="2"/>
      <c r="U242" s="2" t="s">
        <v>718</v>
      </c>
    </row>
    <row r="243" spans="1:21" x14ac:dyDescent="0.3">
      <c r="A243">
        <v>269308</v>
      </c>
      <c r="B243" t="s">
        <v>46</v>
      </c>
      <c r="C243" t="s">
        <v>374</v>
      </c>
      <c r="D243" t="s">
        <v>18</v>
      </c>
      <c r="E243" s="1" t="s">
        <v>1413</v>
      </c>
      <c r="F243">
        <v>25018727</v>
      </c>
      <c r="G243" t="s">
        <v>375</v>
      </c>
      <c r="H243" s="17">
        <v>28583917000347</v>
      </c>
      <c r="I243" s="17">
        <v>90739624002323</v>
      </c>
      <c r="J243" t="s">
        <v>17</v>
      </c>
      <c r="K243" s="9" t="s">
        <v>1414</v>
      </c>
      <c r="L243" t="s">
        <v>44</v>
      </c>
      <c r="M243">
        <v>6252</v>
      </c>
      <c r="N243" s="2" t="s">
        <v>796</v>
      </c>
      <c r="O243" s="9" t="s">
        <v>1414</v>
      </c>
      <c r="P243" t="s">
        <v>1415</v>
      </c>
      <c r="T243" s="2"/>
      <c r="U243" s="2" t="s">
        <v>718</v>
      </c>
    </row>
    <row r="244" spans="1:21" x14ac:dyDescent="0.3">
      <c r="A244">
        <v>269308</v>
      </c>
      <c r="B244" t="s">
        <v>46</v>
      </c>
      <c r="C244" t="s">
        <v>374</v>
      </c>
      <c r="D244" t="s">
        <v>18</v>
      </c>
      <c r="E244" s="1" t="s">
        <v>1416</v>
      </c>
      <c r="F244">
        <v>25018723</v>
      </c>
      <c r="G244" t="s">
        <v>375</v>
      </c>
      <c r="H244" s="17">
        <v>28583917000347</v>
      </c>
      <c r="I244" s="17">
        <v>90739624002323</v>
      </c>
      <c r="J244" t="s">
        <v>2</v>
      </c>
      <c r="K244" s="9" t="s">
        <v>1417</v>
      </c>
      <c r="L244" t="s">
        <v>44</v>
      </c>
      <c r="M244">
        <v>6251</v>
      </c>
      <c r="N244" s="2" t="s">
        <v>796</v>
      </c>
      <c r="O244" s="9" t="s">
        <v>1417</v>
      </c>
      <c r="P244" t="s">
        <v>1418</v>
      </c>
      <c r="T244" s="2"/>
      <c r="U244" s="2" t="s">
        <v>718</v>
      </c>
    </row>
    <row r="245" spans="1:21" x14ac:dyDescent="0.3">
      <c r="A245">
        <v>269308</v>
      </c>
      <c r="B245" t="s">
        <v>46</v>
      </c>
      <c r="C245" t="s">
        <v>1419</v>
      </c>
      <c r="D245" t="s">
        <v>58</v>
      </c>
      <c r="E245" s="1" t="s">
        <v>1420</v>
      </c>
      <c r="F245">
        <v>25018510</v>
      </c>
      <c r="G245" t="s">
        <v>309</v>
      </c>
      <c r="H245" s="17">
        <v>7473735017661</v>
      </c>
      <c r="I245" s="17">
        <v>90739624002323</v>
      </c>
      <c r="J245" t="s">
        <v>2</v>
      </c>
      <c r="K245" s="9" t="s">
        <v>1421</v>
      </c>
      <c r="L245" t="s">
        <v>44</v>
      </c>
      <c r="M245">
        <v>89032</v>
      </c>
      <c r="N245" s="2" t="s">
        <v>581</v>
      </c>
      <c r="O245" s="9" t="s">
        <v>1421</v>
      </c>
      <c r="P245" t="s">
        <v>1422</v>
      </c>
      <c r="T245" s="2"/>
      <c r="U245" s="2" t="s">
        <v>718</v>
      </c>
    </row>
    <row r="246" spans="1:21" x14ac:dyDescent="0.3">
      <c r="A246">
        <v>269308</v>
      </c>
      <c r="B246" t="s">
        <v>46</v>
      </c>
      <c r="C246" t="s">
        <v>208</v>
      </c>
      <c r="D246" t="s">
        <v>28</v>
      </c>
      <c r="E246" s="1" t="s">
        <v>1423</v>
      </c>
      <c r="F246">
        <v>25018509</v>
      </c>
      <c r="G246" t="s">
        <v>209</v>
      </c>
      <c r="H246" s="17">
        <v>33360405000190</v>
      </c>
      <c r="I246" s="17">
        <v>90739624001947</v>
      </c>
      <c r="J246" t="s">
        <v>2</v>
      </c>
      <c r="K246" s="9" t="s">
        <v>1424</v>
      </c>
      <c r="L246" t="s">
        <v>44</v>
      </c>
      <c r="M246">
        <v>38311</v>
      </c>
      <c r="N246" s="2" t="s">
        <v>581</v>
      </c>
      <c r="O246" s="9" t="s">
        <v>1424</v>
      </c>
      <c r="P246" t="s">
        <v>1425</v>
      </c>
      <c r="T246" s="2"/>
      <c r="U246" s="2" t="s">
        <v>718</v>
      </c>
    </row>
    <row r="247" spans="1:21" x14ac:dyDescent="0.3">
      <c r="A247">
        <v>269308</v>
      </c>
      <c r="B247" t="s">
        <v>46</v>
      </c>
      <c r="C247" t="s">
        <v>39</v>
      </c>
      <c r="D247" t="s">
        <v>18</v>
      </c>
      <c r="E247" s="1" t="s">
        <v>1426</v>
      </c>
      <c r="F247">
        <v>25018393</v>
      </c>
      <c r="G247" t="s">
        <v>20</v>
      </c>
      <c r="H247" s="17">
        <v>27751075017640</v>
      </c>
      <c r="I247" s="17">
        <v>90739624000380</v>
      </c>
      <c r="J247" t="s">
        <v>2</v>
      </c>
      <c r="K247" s="9" t="s">
        <v>1427</v>
      </c>
      <c r="L247" t="s">
        <v>44</v>
      </c>
      <c r="M247">
        <v>1283</v>
      </c>
      <c r="N247" s="2" t="s">
        <v>581</v>
      </c>
      <c r="O247" s="9" t="s">
        <v>1427</v>
      </c>
      <c r="P247" t="s">
        <v>1428</v>
      </c>
      <c r="T247" s="2"/>
      <c r="U247" s="2" t="s">
        <v>718</v>
      </c>
    </row>
    <row r="248" spans="1:21" x14ac:dyDescent="0.3">
      <c r="A248">
        <v>269308</v>
      </c>
      <c r="B248" t="s">
        <v>46</v>
      </c>
      <c r="C248" t="s">
        <v>543</v>
      </c>
      <c r="D248" t="s">
        <v>174</v>
      </c>
      <c r="E248" s="1" t="s">
        <v>1429</v>
      </c>
      <c r="F248">
        <v>25018166</v>
      </c>
      <c r="G248" t="s">
        <v>209</v>
      </c>
      <c r="H248" s="17">
        <v>33360405000190</v>
      </c>
      <c r="I248" s="17">
        <v>90739624001947</v>
      </c>
      <c r="J248" t="s">
        <v>2</v>
      </c>
      <c r="K248" s="9" t="s">
        <v>1430</v>
      </c>
      <c r="L248" t="s">
        <v>44</v>
      </c>
      <c r="M248">
        <v>38310</v>
      </c>
      <c r="N248" s="2" t="s">
        <v>581</v>
      </c>
      <c r="O248" s="9" t="s">
        <v>1430</v>
      </c>
      <c r="P248" t="s">
        <v>1431</v>
      </c>
      <c r="T248" s="2"/>
      <c r="U248" s="2" t="s">
        <v>718</v>
      </c>
    </row>
    <row r="249" spans="1:21" x14ac:dyDescent="0.3">
      <c r="A249">
        <v>269308</v>
      </c>
      <c r="B249" t="s">
        <v>46</v>
      </c>
      <c r="C249" t="s">
        <v>138</v>
      </c>
      <c r="D249" t="s">
        <v>11</v>
      </c>
      <c r="E249" s="1" t="s">
        <v>1432</v>
      </c>
      <c r="F249">
        <v>25017802</v>
      </c>
      <c r="G249" t="s">
        <v>210</v>
      </c>
      <c r="H249" s="17">
        <v>55973291000196</v>
      </c>
      <c r="I249" s="17">
        <v>90739624000380</v>
      </c>
      <c r="J249" t="s">
        <v>2</v>
      </c>
      <c r="K249" s="9" t="s">
        <v>1433</v>
      </c>
      <c r="L249" t="s">
        <v>44</v>
      </c>
      <c r="M249">
        <v>1052270</v>
      </c>
      <c r="N249" s="2" t="s">
        <v>581</v>
      </c>
      <c r="O249" s="9" t="s">
        <v>1433</v>
      </c>
      <c r="P249" t="s">
        <v>1434</v>
      </c>
      <c r="T249" s="2"/>
      <c r="U249" s="2" t="s">
        <v>718</v>
      </c>
    </row>
    <row r="250" spans="1:21" x14ac:dyDescent="0.3">
      <c r="A250">
        <v>269308</v>
      </c>
      <c r="B250" t="s">
        <v>46</v>
      </c>
      <c r="C250" t="s">
        <v>297</v>
      </c>
      <c r="D250" t="s">
        <v>8</v>
      </c>
      <c r="E250" s="1" t="s">
        <v>1435</v>
      </c>
      <c r="F250">
        <v>25017678</v>
      </c>
      <c r="G250" t="s">
        <v>51</v>
      </c>
      <c r="H250" s="17">
        <v>2763612000161</v>
      </c>
      <c r="I250" s="17">
        <v>90739624003133</v>
      </c>
      <c r="J250" t="s">
        <v>2</v>
      </c>
      <c r="K250" s="9" t="s">
        <v>1436</v>
      </c>
      <c r="L250" t="s">
        <v>44</v>
      </c>
      <c r="M250">
        <v>163138</v>
      </c>
      <c r="N250" s="2" t="s">
        <v>581</v>
      </c>
      <c r="O250" s="9" t="s">
        <v>1436</v>
      </c>
      <c r="P250" t="s">
        <v>1437</v>
      </c>
      <c r="T250" s="2"/>
      <c r="U250" s="2" t="s">
        <v>718</v>
      </c>
    </row>
    <row r="251" spans="1:21" x14ac:dyDescent="0.3">
      <c r="A251">
        <v>269308</v>
      </c>
      <c r="B251" t="s">
        <v>46</v>
      </c>
      <c r="C251" t="s">
        <v>453</v>
      </c>
      <c r="D251" t="s">
        <v>11</v>
      </c>
      <c r="E251" s="1" t="s">
        <v>1438</v>
      </c>
      <c r="F251">
        <v>25017527</v>
      </c>
      <c r="G251" t="s">
        <v>310</v>
      </c>
      <c r="H251" s="17">
        <v>42733072000198</v>
      </c>
      <c r="I251" s="17">
        <v>90739624000380</v>
      </c>
      <c r="J251" t="s">
        <v>2</v>
      </c>
      <c r="K251" s="9" t="s">
        <v>1439</v>
      </c>
      <c r="L251" t="s">
        <v>44</v>
      </c>
      <c r="M251">
        <v>5317</v>
      </c>
      <c r="N251" s="2" t="s">
        <v>583</v>
      </c>
      <c r="O251" s="9" t="s">
        <v>1439</v>
      </c>
      <c r="P251" t="s">
        <v>1440</v>
      </c>
      <c r="T251" s="2"/>
      <c r="U251" s="2" t="s">
        <v>718</v>
      </c>
    </row>
    <row r="252" spans="1:21" x14ac:dyDescent="0.3">
      <c r="A252">
        <v>269308</v>
      </c>
      <c r="B252" t="s">
        <v>46</v>
      </c>
      <c r="C252" t="s">
        <v>529</v>
      </c>
      <c r="D252" t="s">
        <v>0</v>
      </c>
      <c r="E252" s="1" t="s">
        <v>1441</v>
      </c>
      <c r="F252">
        <v>25017231</v>
      </c>
      <c r="G252" t="s">
        <v>272</v>
      </c>
      <c r="H252" s="17">
        <v>15636643000101</v>
      </c>
      <c r="I252" s="17">
        <v>90739624001432</v>
      </c>
      <c r="J252" t="s">
        <v>2</v>
      </c>
      <c r="K252" s="9" t="s">
        <v>1442</v>
      </c>
      <c r="L252" t="s">
        <v>44</v>
      </c>
      <c r="M252">
        <v>138071</v>
      </c>
      <c r="N252" s="2" t="s">
        <v>581</v>
      </c>
      <c r="O252" s="9" t="s">
        <v>1442</v>
      </c>
      <c r="P252" t="s">
        <v>1443</v>
      </c>
      <c r="T252" s="2"/>
      <c r="U252" s="2" t="s">
        <v>718</v>
      </c>
    </row>
    <row r="253" spans="1:21" x14ac:dyDescent="0.3">
      <c r="A253">
        <v>269308</v>
      </c>
      <c r="B253" t="s">
        <v>46</v>
      </c>
      <c r="C253" t="s">
        <v>19</v>
      </c>
      <c r="D253" t="s">
        <v>18</v>
      </c>
      <c r="E253" s="1" t="s">
        <v>1444</v>
      </c>
      <c r="F253">
        <v>25016472</v>
      </c>
      <c r="G253" t="s">
        <v>202</v>
      </c>
      <c r="H253" s="17">
        <v>5065447000162</v>
      </c>
      <c r="I253" s="17">
        <v>90739624000380</v>
      </c>
      <c r="J253" t="s">
        <v>2</v>
      </c>
      <c r="K253" s="9" t="s">
        <v>1445</v>
      </c>
      <c r="L253" t="s">
        <v>44</v>
      </c>
      <c r="M253">
        <v>374085</v>
      </c>
      <c r="N253" s="2" t="s">
        <v>583</v>
      </c>
      <c r="O253" s="9" t="s">
        <v>1445</v>
      </c>
      <c r="P253" t="s">
        <v>1446</v>
      </c>
      <c r="T253" s="2"/>
      <c r="U253" s="2" t="s">
        <v>718</v>
      </c>
    </row>
    <row r="254" spans="1:21" x14ac:dyDescent="0.3">
      <c r="A254">
        <v>269308</v>
      </c>
      <c r="B254" t="s">
        <v>46</v>
      </c>
      <c r="C254" t="s">
        <v>217</v>
      </c>
      <c r="D254" t="s">
        <v>40</v>
      </c>
      <c r="E254" s="1" t="s">
        <v>1447</v>
      </c>
      <c r="F254">
        <v>25016468</v>
      </c>
      <c r="G254" t="s">
        <v>482</v>
      </c>
      <c r="H254" s="17">
        <v>93489243007471</v>
      </c>
      <c r="I254" s="17">
        <v>90739624002323</v>
      </c>
      <c r="J254" t="s">
        <v>2</v>
      </c>
      <c r="K254" s="9" t="s">
        <v>1448</v>
      </c>
      <c r="L254" t="s">
        <v>44</v>
      </c>
      <c r="M254">
        <v>4435</v>
      </c>
      <c r="N254" s="2" t="s">
        <v>581</v>
      </c>
      <c r="O254" s="9" t="s">
        <v>1448</v>
      </c>
      <c r="P254" t="s">
        <v>1449</v>
      </c>
      <c r="T254" s="2"/>
      <c r="U254" s="2" t="s">
        <v>718</v>
      </c>
    </row>
    <row r="255" spans="1:21" x14ac:dyDescent="0.3">
      <c r="A255">
        <v>269308</v>
      </c>
      <c r="B255" t="s">
        <v>46</v>
      </c>
      <c r="C255" t="s">
        <v>519</v>
      </c>
      <c r="D255" t="s">
        <v>170</v>
      </c>
      <c r="E255" s="1" t="s">
        <v>1450</v>
      </c>
      <c r="F255">
        <v>25016154</v>
      </c>
      <c r="G255" t="s">
        <v>178</v>
      </c>
      <c r="H255" s="17">
        <v>83392050000199</v>
      </c>
      <c r="I255" s="17">
        <v>90739624001432</v>
      </c>
      <c r="J255" t="s">
        <v>2</v>
      </c>
      <c r="K255" s="9" t="s">
        <v>1451</v>
      </c>
      <c r="L255" t="s">
        <v>44</v>
      </c>
      <c r="M255">
        <v>129899</v>
      </c>
      <c r="N255" s="2" t="s">
        <v>581</v>
      </c>
      <c r="O255" s="9" t="s">
        <v>1451</v>
      </c>
      <c r="P255" t="s">
        <v>1452</v>
      </c>
      <c r="T255" s="2"/>
      <c r="U255" s="2" t="s">
        <v>718</v>
      </c>
    </row>
    <row r="256" spans="1:21" x14ac:dyDescent="0.3">
      <c r="A256">
        <v>269308</v>
      </c>
      <c r="B256" t="s">
        <v>46</v>
      </c>
      <c r="C256" t="s">
        <v>531</v>
      </c>
      <c r="D256" t="s">
        <v>33</v>
      </c>
      <c r="E256" s="1" t="s">
        <v>1453</v>
      </c>
      <c r="F256">
        <v>25015038</v>
      </c>
      <c r="G256" t="s">
        <v>35</v>
      </c>
      <c r="H256" s="17">
        <v>27933025000102</v>
      </c>
      <c r="I256" s="17">
        <v>9576274000106</v>
      </c>
      <c r="J256" t="s">
        <v>2</v>
      </c>
      <c r="K256" s="9" t="s">
        <v>1454</v>
      </c>
      <c r="L256" t="s">
        <v>44</v>
      </c>
      <c r="M256">
        <v>1142</v>
      </c>
      <c r="N256" s="2" t="s">
        <v>792</v>
      </c>
      <c r="O256" s="9" t="s">
        <v>1454</v>
      </c>
      <c r="P256" t="s">
        <v>1455</v>
      </c>
      <c r="T256" s="2"/>
      <c r="U256" s="2" t="s">
        <v>718</v>
      </c>
    </row>
    <row r="257" spans="1:21" x14ac:dyDescent="0.3">
      <c r="A257">
        <v>269308</v>
      </c>
      <c r="B257" t="s">
        <v>46</v>
      </c>
      <c r="C257" t="s">
        <v>215</v>
      </c>
      <c r="D257" t="s">
        <v>120</v>
      </c>
      <c r="E257" s="1" t="s">
        <v>1456</v>
      </c>
      <c r="F257">
        <v>25014976</v>
      </c>
      <c r="G257" t="s">
        <v>157</v>
      </c>
      <c r="H257" s="17">
        <v>78253424000155</v>
      </c>
      <c r="I257" s="17">
        <v>90739624001432</v>
      </c>
      <c r="J257" t="s">
        <v>2</v>
      </c>
      <c r="K257" s="9" t="s">
        <v>1457</v>
      </c>
      <c r="L257" t="s">
        <v>44</v>
      </c>
      <c r="M257">
        <v>38270</v>
      </c>
      <c r="N257" s="2" t="s">
        <v>581</v>
      </c>
      <c r="O257" s="9" t="s">
        <v>1457</v>
      </c>
      <c r="P257" t="s">
        <v>1458</v>
      </c>
      <c r="T257" s="2"/>
      <c r="U257" s="2" t="s">
        <v>718</v>
      </c>
    </row>
    <row r="258" spans="1:21" x14ac:dyDescent="0.3">
      <c r="A258">
        <v>269308</v>
      </c>
      <c r="B258" t="s">
        <v>46</v>
      </c>
      <c r="C258" t="s">
        <v>138</v>
      </c>
      <c r="D258" t="s">
        <v>11</v>
      </c>
      <c r="E258" s="1" t="s">
        <v>1459</v>
      </c>
      <c r="F258">
        <v>25014943</v>
      </c>
      <c r="G258" t="s">
        <v>24</v>
      </c>
      <c r="H258" s="17">
        <v>46472822000176</v>
      </c>
      <c r="I258" s="17">
        <v>90739624000380</v>
      </c>
      <c r="J258" t="s">
        <v>2</v>
      </c>
      <c r="K258" s="9" t="s">
        <v>1460</v>
      </c>
      <c r="L258" t="s">
        <v>44</v>
      </c>
      <c r="M258">
        <v>23222</v>
      </c>
      <c r="N258" s="2" t="s">
        <v>583</v>
      </c>
      <c r="O258" s="9" t="s">
        <v>1460</v>
      </c>
      <c r="P258" t="s">
        <v>1461</v>
      </c>
      <c r="T258" s="2"/>
      <c r="U258" s="2" t="s">
        <v>718</v>
      </c>
    </row>
    <row r="259" spans="1:21" x14ac:dyDescent="0.3">
      <c r="A259">
        <v>269308</v>
      </c>
      <c r="B259" t="s">
        <v>46</v>
      </c>
      <c r="C259" t="s">
        <v>41</v>
      </c>
      <c r="D259" t="s">
        <v>40</v>
      </c>
      <c r="E259" s="1" t="s">
        <v>1462</v>
      </c>
      <c r="F259">
        <v>25014914</v>
      </c>
      <c r="G259" t="s">
        <v>42</v>
      </c>
      <c r="H259" s="17">
        <v>82156977000248</v>
      </c>
      <c r="I259" s="17">
        <v>90739624001432</v>
      </c>
      <c r="J259" t="s">
        <v>2</v>
      </c>
      <c r="K259" s="9" t="s">
        <v>1463</v>
      </c>
      <c r="L259" t="s">
        <v>44</v>
      </c>
      <c r="M259">
        <v>168613</v>
      </c>
      <c r="N259" s="2" t="s">
        <v>581</v>
      </c>
      <c r="O259" s="9" t="s">
        <v>1463</v>
      </c>
      <c r="P259" t="s">
        <v>1464</v>
      </c>
      <c r="T259" s="2"/>
      <c r="U259" s="2" t="s">
        <v>718</v>
      </c>
    </row>
    <row r="260" spans="1:21" x14ac:dyDescent="0.3">
      <c r="A260">
        <v>269308</v>
      </c>
      <c r="B260" t="s">
        <v>46</v>
      </c>
      <c r="C260" t="s">
        <v>177</v>
      </c>
      <c r="D260" t="s">
        <v>170</v>
      </c>
      <c r="E260" s="1" t="s">
        <v>1465</v>
      </c>
      <c r="F260">
        <v>25014762</v>
      </c>
      <c r="G260" t="s">
        <v>171</v>
      </c>
      <c r="H260" s="17">
        <v>14631967000186</v>
      </c>
      <c r="I260" s="17">
        <v>90739624001432</v>
      </c>
      <c r="J260" t="s">
        <v>2</v>
      </c>
      <c r="K260" s="9" t="s">
        <v>692</v>
      </c>
      <c r="L260" t="s">
        <v>44</v>
      </c>
      <c r="M260">
        <v>47724</v>
      </c>
      <c r="N260" s="2" t="s">
        <v>581</v>
      </c>
      <c r="O260" s="9" t="s">
        <v>692</v>
      </c>
      <c r="P260" t="s">
        <v>1466</v>
      </c>
      <c r="T260" s="2"/>
      <c r="U260" s="2" t="s">
        <v>718</v>
      </c>
    </row>
    <row r="261" spans="1:21" x14ac:dyDescent="0.3">
      <c r="A261">
        <v>269308</v>
      </c>
      <c r="B261" t="s">
        <v>46</v>
      </c>
      <c r="C261" t="s">
        <v>207</v>
      </c>
      <c r="D261" t="s">
        <v>13</v>
      </c>
      <c r="E261" s="1" t="s">
        <v>1467</v>
      </c>
      <c r="F261">
        <v>25014589</v>
      </c>
      <c r="G261" t="s">
        <v>513</v>
      </c>
      <c r="H261" s="17">
        <v>1550726000160</v>
      </c>
      <c r="I261" s="17">
        <v>90739624001190</v>
      </c>
      <c r="J261" t="s">
        <v>2</v>
      </c>
      <c r="K261" s="9" t="s">
        <v>1468</v>
      </c>
      <c r="L261" t="s">
        <v>44</v>
      </c>
      <c r="M261">
        <v>16694</v>
      </c>
      <c r="N261" s="2" t="s">
        <v>583</v>
      </c>
      <c r="O261" s="9" t="s">
        <v>1468</v>
      </c>
      <c r="P261" t="s">
        <v>1469</v>
      </c>
      <c r="T261" s="2"/>
      <c r="U261" s="2" t="s">
        <v>718</v>
      </c>
    </row>
    <row r="262" spans="1:21" x14ac:dyDescent="0.3">
      <c r="A262">
        <v>269308</v>
      </c>
      <c r="B262" t="s">
        <v>46</v>
      </c>
      <c r="C262" t="s">
        <v>481</v>
      </c>
      <c r="D262" t="s">
        <v>58</v>
      </c>
      <c r="E262" s="1" t="s">
        <v>1470</v>
      </c>
      <c r="F262">
        <v>25014389</v>
      </c>
      <c r="G262" t="s">
        <v>480</v>
      </c>
      <c r="H262" s="17">
        <v>7473735019877</v>
      </c>
      <c r="I262" s="17">
        <v>90739624002323</v>
      </c>
      <c r="J262" t="s">
        <v>2</v>
      </c>
      <c r="K262" s="9" t="s">
        <v>1471</v>
      </c>
      <c r="L262" t="s">
        <v>44</v>
      </c>
      <c r="M262">
        <v>57911</v>
      </c>
      <c r="N262" s="2" t="s">
        <v>581</v>
      </c>
      <c r="O262" s="9" t="s">
        <v>1471</v>
      </c>
      <c r="P262" t="s">
        <v>1472</v>
      </c>
      <c r="T262" s="2"/>
      <c r="U262" s="2" t="s">
        <v>718</v>
      </c>
    </row>
    <row r="263" spans="1:21" x14ac:dyDescent="0.3">
      <c r="A263">
        <v>269308</v>
      </c>
      <c r="B263" t="s">
        <v>46</v>
      </c>
      <c r="C263" t="s">
        <v>316</v>
      </c>
      <c r="D263" t="s">
        <v>49</v>
      </c>
      <c r="E263" s="1" t="s">
        <v>1473</v>
      </c>
      <c r="F263">
        <v>25014272</v>
      </c>
      <c r="G263" t="s">
        <v>51</v>
      </c>
      <c r="H263" s="17">
        <v>2763612000161</v>
      </c>
      <c r="I263" s="17">
        <v>90739624003133</v>
      </c>
      <c r="J263" t="s">
        <v>2</v>
      </c>
      <c r="K263" s="9" t="s">
        <v>1474</v>
      </c>
      <c r="L263" t="s">
        <v>44</v>
      </c>
      <c r="M263">
        <v>163126</v>
      </c>
      <c r="N263" s="2" t="s">
        <v>581</v>
      </c>
      <c r="O263" s="9" t="s">
        <v>1474</v>
      </c>
      <c r="P263" t="s">
        <v>1475</v>
      </c>
      <c r="T263" s="2"/>
      <c r="U263" s="2" t="s">
        <v>718</v>
      </c>
    </row>
    <row r="264" spans="1:21" x14ac:dyDescent="0.3">
      <c r="A264">
        <v>269308</v>
      </c>
      <c r="B264" t="s">
        <v>46</v>
      </c>
      <c r="C264" t="s">
        <v>688</v>
      </c>
      <c r="D264" t="s">
        <v>31</v>
      </c>
      <c r="E264" s="1" t="s">
        <v>1476</v>
      </c>
      <c r="F264">
        <v>25014188</v>
      </c>
      <c r="G264" t="s">
        <v>56</v>
      </c>
      <c r="H264" s="17">
        <v>8603562000212</v>
      </c>
      <c r="I264" s="17">
        <v>90739624001866</v>
      </c>
      <c r="J264" t="s">
        <v>2</v>
      </c>
      <c r="K264" s="9" t="s">
        <v>1477</v>
      </c>
      <c r="L264" t="s">
        <v>44</v>
      </c>
      <c r="M264">
        <v>54862</v>
      </c>
      <c r="N264" s="2" t="s">
        <v>581</v>
      </c>
      <c r="O264" s="9" t="s">
        <v>1477</v>
      </c>
      <c r="P264" t="s">
        <v>1478</v>
      </c>
      <c r="T264" s="2"/>
      <c r="U264" s="2" t="s">
        <v>718</v>
      </c>
    </row>
    <row r="265" spans="1:21" x14ac:dyDescent="0.3">
      <c r="A265">
        <v>269308</v>
      </c>
      <c r="B265" t="s">
        <v>46</v>
      </c>
      <c r="C265" t="s">
        <v>511</v>
      </c>
      <c r="D265" t="s">
        <v>28</v>
      </c>
      <c r="E265" s="1" t="s">
        <v>1479</v>
      </c>
      <c r="F265">
        <v>25014184</v>
      </c>
      <c r="G265" t="s">
        <v>48</v>
      </c>
      <c r="H265" s="17">
        <v>1272434001002</v>
      </c>
      <c r="I265" s="17">
        <v>90739624001947</v>
      </c>
      <c r="J265" t="s">
        <v>2</v>
      </c>
      <c r="K265" s="9" t="s">
        <v>1480</v>
      </c>
      <c r="L265" t="s">
        <v>44</v>
      </c>
      <c r="M265">
        <v>81374</v>
      </c>
      <c r="N265" s="2" t="s">
        <v>581</v>
      </c>
      <c r="O265" s="9" t="s">
        <v>1480</v>
      </c>
      <c r="P265" t="s">
        <v>1481</v>
      </c>
      <c r="T265" s="2"/>
      <c r="U265" s="2" t="s">
        <v>718</v>
      </c>
    </row>
    <row r="266" spans="1:21" x14ac:dyDescent="0.3">
      <c r="A266">
        <v>269308</v>
      </c>
      <c r="B266" t="s">
        <v>88</v>
      </c>
      <c r="C266" t="s">
        <v>166</v>
      </c>
      <c r="D266" t="s">
        <v>58</v>
      </c>
      <c r="E266" s="1" t="s">
        <v>1482</v>
      </c>
      <c r="F266">
        <v>25014030</v>
      </c>
      <c r="G266" t="s">
        <v>379</v>
      </c>
      <c r="H266" s="17">
        <v>7473735024609</v>
      </c>
      <c r="I266" s="17"/>
      <c r="J266" t="s">
        <v>2</v>
      </c>
      <c r="K266" s="9" t="s">
        <v>1483</v>
      </c>
      <c r="L266" t="s">
        <v>87</v>
      </c>
      <c r="N266" s="2"/>
      <c r="O266" s="9"/>
      <c r="T266" s="2"/>
      <c r="U266" s="2" t="s">
        <v>718</v>
      </c>
    </row>
    <row r="267" spans="1:21" x14ac:dyDescent="0.3">
      <c r="A267">
        <v>269308</v>
      </c>
      <c r="B267" t="s">
        <v>46</v>
      </c>
      <c r="C267" t="s">
        <v>224</v>
      </c>
      <c r="D267" t="s">
        <v>28</v>
      </c>
      <c r="E267" s="1" t="s">
        <v>1484</v>
      </c>
      <c r="F267">
        <v>25014017</v>
      </c>
      <c r="G267" t="s">
        <v>48</v>
      </c>
      <c r="H267" s="17">
        <v>1272434001002</v>
      </c>
      <c r="I267" s="17">
        <v>90739624001947</v>
      </c>
      <c r="J267" t="s">
        <v>2</v>
      </c>
      <c r="K267" s="9" t="s">
        <v>1485</v>
      </c>
      <c r="L267" t="s">
        <v>44</v>
      </c>
      <c r="M267">
        <v>81373</v>
      </c>
      <c r="N267" s="2" t="s">
        <v>581</v>
      </c>
      <c r="O267" s="9" t="s">
        <v>1485</v>
      </c>
      <c r="P267" t="s">
        <v>1486</v>
      </c>
      <c r="T267" s="2"/>
      <c r="U267" s="2" t="s">
        <v>718</v>
      </c>
    </row>
    <row r="268" spans="1:21" x14ac:dyDescent="0.3">
      <c r="A268">
        <v>269308</v>
      </c>
      <c r="B268" t="s">
        <v>46</v>
      </c>
      <c r="C268" t="s">
        <v>38</v>
      </c>
      <c r="D268" t="s">
        <v>33</v>
      </c>
      <c r="E268" s="1" t="s">
        <v>1487</v>
      </c>
      <c r="F268">
        <v>25014010</v>
      </c>
      <c r="G268" t="s">
        <v>35</v>
      </c>
      <c r="H268" s="17">
        <v>27933025000102</v>
      </c>
      <c r="I268" s="17">
        <v>9576274000106</v>
      </c>
      <c r="J268" t="s">
        <v>2</v>
      </c>
      <c r="K268" s="9" t="s">
        <v>1488</v>
      </c>
      <c r="L268" t="s">
        <v>44</v>
      </c>
      <c r="M268">
        <v>1141</v>
      </c>
      <c r="N268" s="2" t="s">
        <v>792</v>
      </c>
      <c r="O268" s="9" t="s">
        <v>1488</v>
      </c>
      <c r="P268" t="s">
        <v>1489</v>
      </c>
      <c r="T268" s="2"/>
      <c r="U268" s="2" t="s">
        <v>718</v>
      </c>
    </row>
    <row r="269" spans="1:21" x14ac:dyDescent="0.3">
      <c r="A269">
        <v>269308</v>
      </c>
      <c r="B269" t="s">
        <v>46</v>
      </c>
      <c r="C269" t="s">
        <v>570</v>
      </c>
      <c r="D269" t="s">
        <v>18</v>
      </c>
      <c r="E269" s="1" t="s">
        <v>1490</v>
      </c>
      <c r="F269">
        <v>25013998</v>
      </c>
      <c r="G269" t="s">
        <v>57</v>
      </c>
      <c r="H269" s="17">
        <v>50206655000199</v>
      </c>
      <c r="I269" s="17">
        <v>90739624000380</v>
      </c>
      <c r="J269" t="s">
        <v>2</v>
      </c>
      <c r="K269" s="9" t="s">
        <v>1491</v>
      </c>
      <c r="L269" t="s">
        <v>44</v>
      </c>
      <c r="M269">
        <v>15532</v>
      </c>
      <c r="N269" s="2" t="s">
        <v>583</v>
      </c>
      <c r="O269" s="9" t="s">
        <v>1491</v>
      </c>
      <c r="P269" t="s">
        <v>1492</v>
      </c>
      <c r="T269" s="2"/>
      <c r="U269" s="2" t="s">
        <v>718</v>
      </c>
    </row>
    <row r="270" spans="1:21" x14ac:dyDescent="0.3">
      <c r="A270">
        <v>269308</v>
      </c>
      <c r="B270" t="s">
        <v>46</v>
      </c>
      <c r="C270" t="s">
        <v>483</v>
      </c>
      <c r="D270" t="s">
        <v>28</v>
      </c>
      <c r="E270" s="1" t="s">
        <v>1493</v>
      </c>
      <c r="F270">
        <v>25013576</v>
      </c>
      <c r="G270" t="s">
        <v>48</v>
      </c>
      <c r="H270" s="17">
        <v>1272434001002</v>
      </c>
      <c r="I270" s="17">
        <v>90739624001947</v>
      </c>
      <c r="J270" t="s">
        <v>2</v>
      </c>
      <c r="K270" s="9" t="s">
        <v>1494</v>
      </c>
      <c r="L270" t="s">
        <v>44</v>
      </c>
      <c r="M270">
        <v>81370</v>
      </c>
      <c r="N270" s="2" t="s">
        <v>581</v>
      </c>
      <c r="O270" s="9" t="s">
        <v>1494</v>
      </c>
      <c r="P270" t="s">
        <v>1495</v>
      </c>
      <c r="T270" s="2"/>
      <c r="U270" s="2" t="s">
        <v>718</v>
      </c>
    </row>
    <row r="271" spans="1:21" x14ac:dyDescent="0.3">
      <c r="A271">
        <v>269308</v>
      </c>
      <c r="B271" t="s">
        <v>46</v>
      </c>
      <c r="C271" t="s">
        <v>216</v>
      </c>
      <c r="D271" t="s">
        <v>49</v>
      </c>
      <c r="E271" s="1" t="s">
        <v>1496</v>
      </c>
      <c r="F271">
        <v>25013389</v>
      </c>
      <c r="G271" t="s">
        <v>51</v>
      </c>
      <c r="H271" s="17">
        <v>2763612000161</v>
      </c>
      <c r="I271" s="17">
        <v>90739624003133</v>
      </c>
      <c r="J271" t="s">
        <v>17</v>
      </c>
      <c r="K271" s="9" t="s">
        <v>1497</v>
      </c>
      <c r="L271" t="s">
        <v>44</v>
      </c>
      <c r="M271">
        <v>163122</v>
      </c>
      <c r="N271" s="2" t="s">
        <v>581</v>
      </c>
      <c r="O271" s="9" t="s">
        <v>1497</v>
      </c>
      <c r="P271" t="s">
        <v>1498</v>
      </c>
      <c r="T271" s="2"/>
      <c r="U271" s="2" t="s">
        <v>718</v>
      </c>
    </row>
    <row r="272" spans="1:21" x14ac:dyDescent="0.3">
      <c r="A272">
        <v>269308</v>
      </c>
      <c r="B272" t="s">
        <v>46</v>
      </c>
      <c r="C272" t="s">
        <v>216</v>
      </c>
      <c r="D272" t="s">
        <v>49</v>
      </c>
      <c r="E272" s="1" t="s">
        <v>1499</v>
      </c>
      <c r="F272">
        <v>25013382</v>
      </c>
      <c r="G272" t="s">
        <v>51</v>
      </c>
      <c r="H272" s="17">
        <v>2763612000161</v>
      </c>
      <c r="I272" s="17">
        <v>90739624003133</v>
      </c>
      <c r="J272" t="s">
        <v>2</v>
      </c>
      <c r="K272" s="9" t="s">
        <v>1500</v>
      </c>
      <c r="L272" t="s">
        <v>44</v>
      </c>
      <c r="M272">
        <v>163121</v>
      </c>
      <c r="N272" s="2" t="s">
        <v>581</v>
      </c>
      <c r="O272" s="9" t="s">
        <v>1500</v>
      </c>
      <c r="P272" t="s">
        <v>1501</v>
      </c>
      <c r="T272" s="2"/>
      <c r="U272" s="2" t="s">
        <v>718</v>
      </c>
    </row>
    <row r="273" spans="1:21" x14ac:dyDescent="0.3">
      <c r="A273">
        <v>269308</v>
      </c>
      <c r="B273" t="s">
        <v>88</v>
      </c>
      <c r="C273" t="s">
        <v>388</v>
      </c>
      <c r="D273" t="s">
        <v>58</v>
      </c>
      <c r="E273" s="1" t="s">
        <v>1502</v>
      </c>
      <c r="F273">
        <v>25013261</v>
      </c>
      <c r="G273" t="s">
        <v>106</v>
      </c>
      <c r="H273" s="17">
        <v>7473735015103</v>
      </c>
      <c r="I273" s="17"/>
      <c r="J273" t="s">
        <v>2</v>
      </c>
      <c r="K273" s="9" t="s">
        <v>1503</v>
      </c>
      <c r="L273" t="s">
        <v>87</v>
      </c>
      <c r="N273" s="2"/>
      <c r="O273" s="9"/>
      <c r="T273" s="2"/>
      <c r="U273" s="2" t="s">
        <v>718</v>
      </c>
    </row>
    <row r="274" spans="1:21" x14ac:dyDescent="0.3">
      <c r="A274">
        <v>269308</v>
      </c>
      <c r="B274" t="s">
        <v>46</v>
      </c>
      <c r="C274" t="s">
        <v>491</v>
      </c>
      <c r="D274" t="s">
        <v>40</v>
      </c>
      <c r="E274" s="1" t="s">
        <v>1504</v>
      </c>
      <c r="F274">
        <v>25013174</v>
      </c>
      <c r="G274" t="s">
        <v>42</v>
      </c>
      <c r="H274" s="17">
        <v>82156977000248</v>
      </c>
      <c r="I274" s="17">
        <v>90739624001432</v>
      </c>
      <c r="J274" t="s">
        <v>2</v>
      </c>
      <c r="K274" s="9" t="s">
        <v>1505</v>
      </c>
      <c r="L274" t="s">
        <v>44</v>
      </c>
      <c r="M274">
        <v>168601</v>
      </c>
      <c r="N274" s="2" t="s">
        <v>581</v>
      </c>
      <c r="O274" s="9" t="s">
        <v>1505</v>
      </c>
      <c r="P274" t="s">
        <v>1506</v>
      </c>
      <c r="T274" s="2"/>
      <c r="U274" s="2" t="s">
        <v>718</v>
      </c>
    </row>
    <row r="275" spans="1:21" x14ac:dyDescent="0.3">
      <c r="A275">
        <v>269308</v>
      </c>
      <c r="B275" t="s">
        <v>46</v>
      </c>
      <c r="C275" t="s">
        <v>603</v>
      </c>
      <c r="D275" t="s">
        <v>31</v>
      </c>
      <c r="E275" s="1" t="s">
        <v>1507</v>
      </c>
      <c r="F275">
        <v>25013160</v>
      </c>
      <c r="G275" t="s">
        <v>56</v>
      </c>
      <c r="H275" s="17">
        <v>8603562000212</v>
      </c>
      <c r="I275" s="17">
        <v>90739624001866</v>
      </c>
      <c r="J275" t="s">
        <v>2</v>
      </c>
      <c r="K275" s="9" t="s">
        <v>1508</v>
      </c>
      <c r="L275" t="s">
        <v>44</v>
      </c>
      <c r="M275">
        <v>54866</v>
      </c>
      <c r="N275" s="2" t="s">
        <v>581</v>
      </c>
      <c r="O275" s="9" t="s">
        <v>1508</v>
      </c>
      <c r="P275" t="s">
        <v>1509</v>
      </c>
      <c r="T275" s="2"/>
      <c r="U275" s="2" t="s">
        <v>718</v>
      </c>
    </row>
    <row r="276" spans="1:21" x14ac:dyDescent="0.3">
      <c r="A276">
        <v>269308</v>
      </c>
      <c r="B276" t="s">
        <v>46</v>
      </c>
      <c r="C276" t="s">
        <v>218</v>
      </c>
      <c r="D276" t="s">
        <v>61</v>
      </c>
      <c r="E276" s="1" t="s">
        <v>1510</v>
      </c>
      <c r="F276">
        <v>25013158</v>
      </c>
      <c r="G276" t="s">
        <v>85</v>
      </c>
      <c r="H276" s="17">
        <v>1975878000105</v>
      </c>
      <c r="I276" s="17">
        <v>9576274000106</v>
      </c>
      <c r="J276" t="s">
        <v>2</v>
      </c>
      <c r="K276" s="9" t="s">
        <v>1511</v>
      </c>
      <c r="L276" t="s">
        <v>44</v>
      </c>
      <c r="M276">
        <v>2531</v>
      </c>
      <c r="N276" s="2" t="s">
        <v>581</v>
      </c>
      <c r="O276" s="9" t="s">
        <v>1511</v>
      </c>
      <c r="P276" t="s">
        <v>1512</v>
      </c>
      <c r="T276" s="2"/>
      <c r="U276" s="2" t="s">
        <v>718</v>
      </c>
    </row>
    <row r="277" spans="1:21" x14ac:dyDescent="0.3">
      <c r="A277">
        <v>269308</v>
      </c>
      <c r="B277" t="s">
        <v>46</v>
      </c>
      <c r="C277" t="s">
        <v>478</v>
      </c>
      <c r="D277" t="s">
        <v>49</v>
      </c>
      <c r="E277" s="1" t="s">
        <v>1513</v>
      </c>
      <c r="F277">
        <v>25013142</v>
      </c>
      <c r="G277" t="s">
        <v>51</v>
      </c>
      <c r="H277" s="17">
        <v>2763612000161</v>
      </c>
      <c r="I277" s="17">
        <v>90739624003133</v>
      </c>
      <c r="J277" t="s">
        <v>2</v>
      </c>
      <c r="K277" s="9" t="s">
        <v>1514</v>
      </c>
      <c r="L277" t="s">
        <v>44</v>
      </c>
      <c r="M277">
        <v>163119</v>
      </c>
      <c r="N277" s="2" t="s">
        <v>581</v>
      </c>
      <c r="O277" s="9" t="s">
        <v>1514</v>
      </c>
      <c r="P277" t="s">
        <v>1515</v>
      </c>
      <c r="T277" s="2"/>
      <c r="U277" s="2" t="s">
        <v>718</v>
      </c>
    </row>
    <row r="278" spans="1:21" x14ac:dyDescent="0.3">
      <c r="A278">
        <v>269308</v>
      </c>
      <c r="B278" t="s">
        <v>88</v>
      </c>
      <c r="C278" t="s">
        <v>390</v>
      </c>
      <c r="D278" t="s">
        <v>58</v>
      </c>
      <c r="E278" s="1" t="s">
        <v>1516</v>
      </c>
      <c r="F278">
        <v>25013098</v>
      </c>
      <c r="G278" t="s">
        <v>106</v>
      </c>
      <c r="H278" s="17">
        <v>7473735015103</v>
      </c>
      <c r="I278" s="17"/>
      <c r="J278" t="s">
        <v>2</v>
      </c>
      <c r="K278" s="9" t="s">
        <v>1517</v>
      </c>
      <c r="L278" t="s">
        <v>87</v>
      </c>
      <c r="N278" s="2"/>
      <c r="O278" s="9"/>
      <c r="T278" s="2"/>
      <c r="U278" s="2" t="s">
        <v>718</v>
      </c>
    </row>
    <row r="279" spans="1:21" x14ac:dyDescent="0.3">
      <c r="A279">
        <v>269308</v>
      </c>
      <c r="B279" t="s">
        <v>46</v>
      </c>
      <c r="C279" t="s">
        <v>47</v>
      </c>
      <c r="D279" t="s">
        <v>28</v>
      </c>
      <c r="E279" s="1" t="s">
        <v>1518</v>
      </c>
      <c r="F279">
        <v>25012957</v>
      </c>
      <c r="G279" t="s">
        <v>48</v>
      </c>
      <c r="H279" s="17">
        <v>1272434001002</v>
      </c>
      <c r="I279" s="17">
        <v>90739624001947</v>
      </c>
      <c r="J279" t="s">
        <v>2</v>
      </c>
      <c r="K279" s="9" t="s">
        <v>1519</v>
      </c>
      <c r="L279" t="s">
        <v>44</v>
      </c>
      <c r="M279">
        <v>81368</v>
      </c>
      <c r="N279" s="2" t="s">
        <v>581</v>
      </c>
      <c r="O279" s="9" t="s">
        <v>1519</v>
      </c>
      <c r="P279" t="s">
        <v>1520</v>
      </c>
      <c r="T279" s="2"/>
      <c r="U279" s="2" t="s">
        <v>718</v>
      </c>
    </row>
    <row r="280" spans="1:21" x14ac:dyDescent="0.3">
      <c r="A280">
        <v>269308</v>
      </c>
      <c r="B280" t="s">
        <v>88</v>
      </c>
      <c r="C280" t="s">
        <v>226</v>
      </c>
      <c r="D280" t="s">
        <v>65</v>
      </c>
      <c r="E280" s="1" t="s">
        <v>1521</v>
      </c>
      <c r="F280">
        <v>25012937</v>
      </c>
      <c r="G280" t="s">
        <v>67</v>
      </c>
      <c r="H280" s="17">
        <v>7473735006031</v>
      </c>
      <c r="I280" s="17"/>
      <c r="J280" t="s">
        <v>2</v>
      </c>
      <c r="K280" s="9" t="s">
        <v>1522</v>
      </c>
      <c r="L280" t="s">
        <v>87</v>
      </c>
      <c r="N280" s="2"/>
      <c r="O280" s="9"/>
      <c r="T280" s="2"/>
      <c r="U280" s="2" t="s">
        <v>718</v>
      </c>
    </row>
    <row r="281" spans="1:21" x14ac:dyDescent="0.3">
      <c r="A281">
        <v>269308</v>
      </c>
      <c r="B281" t="s">
        <v>46</v>
      </c>
      <c r="C281" t="s">
        <v>50</v>
      </c>
      <c r="D281" t="s">
        <v>49</v>
      </c>
      <c r="E281" s="1" t="s">
        <v>1523</v>
      </c>
      <c r="F281">
        <v>25012915</v>
      </c>
      <c r="G281" t="s">
        <v>51</v>
      </c>
      <c r="H281" s="17">
        <v>2763612000161</v>
      </c>
      <c r="I281" s="17">
        <v>90739624003133</v>
      </c>
      <c r="J281" t="s">
        <v>2</v>
      </c>
      <c r="K281" s="9" t="s">
        <v>1524</v>
      </c>
      <c r="L281" t="s">
        <v>44</v>
      </c>
      <c r="M281">
        <v>163116</v>
      </c>
      <c r="N281" s="2" t="s">
        <v>581</v>
      </c>
      <c r="O281" s="9" t="s">
        <v>1524</v>
      </c>
      <c r="P281" t="s">
        <v>1525</v>
      </c>
      <c r="T281" s="2"/>
      <c r="U281" s="2" t="s">
        <v>718</v>
      </c>
    </row>
    <row r="282" spans="1:21" x14ac:dyDescent="0.3">
      <c r="A282">
        <v>269308</v>
      </c>
      <c r="B282" t="s">
        <v>46</v>
      </c>
      <c r="C282" t="s">
        <v>228</v>
      </c>
      <c r="D282" t="s">
        <v>63</v>
      </c>
      <c r="E282" s="1" t="s">
        <v>1526</v>
      </c>
      <c r="F282">
        <v>25012660</v>
      </c>
      <c r="G282" t="s">
        <v>64</v>
      </c>
      <c r="H282" s="17">
        <v>23448964001921</v>
      </c>
      <c r="I282" s="17">
        <v>90739624001432</v>
      </c>
      <c r="J282" t="s">
        <v>2</v>
      </c>
      <c r="K282" s="9" t="s">
        <v>1527</v>
      </c>
      <c r="L282" t="s">
        <v>44</v>
      </c>
      <c r="M282">
        <v>179426</v>
      </c>
      <c r="N282" s="2" t="s">
        <v>581</v>
      </c>
      <c r="O282" s="9" t="s">
        <v>1527</v>
      </c>
      <c r="P282" t="s">
        <v>1528</v>
      </c>
      <c r="T282" s="2"/>
      <c r="U282" s="2" t="s">
        <v>718</v>
      </c>
    </row>
    <row r="283" spans="1:21" x14ac:dyDescent="0.3">
      <c r="A283">
        <v>269308</v>
      </c>
      <c r="B283" t="s">
        <v>88</v>
      </c>
      <c r="C283" t="s">
        <v>477</v>
      </c>
      <c r="D283" t="s">
        <v>58</v>
      </c>
      <c r="E283" s="1" t="s">
        <v>1529</v>
      </c>
      <c r="F283">
        <v>25012653</v>
      </c>
      <c r="G283" t="s">
        <v>1530</v>
      </c>
      <c r="H283" s="17">
        <v>7473735007941</v>
      </c>
      <c r="I283" s="17"/>
      <c r="J283" t="s">
        <v>17</v>
      </c>
      <c r="K283" s="9" t="s">
        <v>1531</v>
      </c>
      <c r="L283" t="s">
        <v>87</v>
      </c>
      <c r="N283" s="2"/>
      <c r="O283" s="9"/>
      <c r="T283" s="2"/>
      <c r="U283" s="2" t="s">
        <v>718</v>
      </c>
    </row>
    <row r="284" spans="1:21" x14ac:dyDescent="0.3">
      <c r="A284">
        <v>269308</v>
      </c>
      <c r="B284" t="s">
        <v>88</v>
      </c>
      <c r="C284" t="s">
        <v>477</v>
      </c>
      <c r="D284" t="s">
        <v>58</v>
      </c>
      <c r="E284" s="1" t="s">
        <v>1532</v>
      </c>
      <c r="F284">
        <v>25012628</v>
      </c>
      <c r="G284" t="s">
        <v>1530</v>
      </c>
      <c r="H284" s="17">
        <v>7473735007941</v>
      </c>
      <c r="I284" s="17"/>
      <c r="J284" t="s">
        <v>2</v>
      </c>
      <c r="K284" s="9" t="s">
        <v>1533</v>
      </c>
      <c r="L284" t="s">
        <v>87</v>
      </c>
      <c r="N284" s="2"/>
      <c r="O284" s="9"/>
      <c r="T284" s="2"/>
      <c r="U284" s="2" t="s">
        <v>718</v>
      </c>
    </row>
    <row r="285" spans="1:21" x14ac:dyDescent="0.3">
      <c r="A285">
        <v>269308</v>
      </c>
      <c r="B285" t="s">
        <v>46</v>
      </c>
      <c r="C285" t="s">
        <v>214</v>
      </c>
      <c r="D285" t="s">
        <v>28</v>
      </c>
      <c r="E285" s="1" t="s">
        <v>1534</v>
      </c>
      <c r="F285">
        <v>25012459</v>
      </c>
      <c r="G285" t="s">
        <v>48</v>
      </c>
      <c r="H285" s="17">
        <v>1272434001002</v>
      </c>
      <c r="I285" s="17">
        <v>90739624001947</v>
      </c>
      <c r="J285" t="s">
        <v>2</v>
      </c>
      <c r="K285" s="9" t="s">
        <v>1535</v>
      </c>
      <c r="L285" t="s">
        <v>44</v>
      </c>
      <c r="M285">
        <v>81365</v>
      </c>
      <c r="N285" s="2" t="s">
        <v>581</v>
      </c>
      <c r="O285" s="9" t="s">
        <v>1535</v>
      </c>
      <c r="P285" t="s">
        <v>1536</v>
      </c>
      <c r="T285" s="2"/>
      <c r="U285" s="2" t="s">
        <v>718</v>
      </c>
    </row>
    <row r="286" spans="1:21" x14ac:dyDescent="0.3">
      <c r="A286">
        <v>269308</v>
      </c>
      <c r="B286" t="s">
        <v>46</v>
      </c>
      <c r="C286" t="s">
        <v>267</v>
      </c>
      <c r="D286" t="s">
        <v>174</v>
      </c>
      <c r="E286" s="1" t="s">
        <v>1537</v>
      </c>
      <c r="F286">
        <v>25012418</v>
      </c>
      <c r="G286" t="s">
        <v>287</v>
      </c>
      <c r="H286" s="17">
        <v>38132296000177</v>
      </c>
      <c r="I286" s="17">
        <v>90739624000118</v>
      </c>
      <c r="J286" t="s">
        <v>2</v>
      </c>
      <c r="K286" s="9" t="s">
        <v>617</v>
      </c>
      <c r="L286" t="s">
        <v>44</v>
      </c>
      <c r="M286">
        <v>6228</v>
      </c>
      <c r="N286" s="2" t="s">
        <v>581</v>
      </c>
      <c r="O286" s="9" t="s">
        <v>617</v>
      </c>
      <c r="P286" t="s">
        <v>1538</v>
      </c>
      <c r="T286" s="2"/>
      <c r="U286" s="2" t="s">
        <v>718</v>
      </c>
    </row>
    <row r="287" spans="1:21" x14ac:dyDescent="0.3">
      <c r="A287">
        <v>269308</v>
      </c>
      <c r="B287" t="s">
        <v>46</v>
      </c>
      <c r="C287" t="s">
        <v>240</v>
      </c>
      <c r="D287" t="s">
        <v>52</v>
      </c>
      <c r="E287" s="1" t="s">
        <v>1539</v>
      </c>
      <c r="F287">
        <v>25012397</v>
      </c>
      <c r="G287" t="s">
        <v>545</v>
      </c>
      <c r="H287" s="17">
        <v>30429333000282</v>
      </c>
      <c r="I287" s="17">
        <v>9576274000106</v>
      </c>
      <c r="J287" t="s">
        <v>2</v>
      </c>
      <c r="K287" s="9" t="s">
        <v>1540</v>
      </c>
      <c r="L287" t="s">
        <v>44</v>
      </c>
      <c r="M287">
        <v>41099</v>
      </c>
      <c r="N287" s="2" t="s">
        <v>581</v>
      </c>
      <c r="O287" s="9" t="s">
        <v>1540</v>
      </c>
      <c r="P287" t="s">
        <v>1541</v>
      </c>
      <c r="T287" s="2"/>
      <c r="U287" s="2" t="s">
        <v>718</v>
      </c>
    </row>
    <row r="288" spans="1:21" x14ac:dyDescent="0.3">
      <c r="A288">
        <v>269308</v>
      </c>
      <c r="B288" t="s">
        <v>46</v>
      </c>
      <c r="C288" t="s">
        <v>543</v>
      </c>
      <c r="D288" t="s">
        <v>174</v>
      </c>
      <c r="E288" s="1" t="s">
        <v>1542</v>
      </c>
      <c r="F288">
        <v>25012046</v>
      </c>
      <c r="G288" t="s">
        <v>176</v>
      </c>
      <c r="H288" s="17">
        <v>4219621000111</v>
      </c>
      <c r="I288" s="17">
        <v>90739624000118</v>
      </c>
      <c r="J288" t="s">
        <v>2</v>
      </c>
      <c r="K288" s="9" t="s">
        <v>1543</v>
      </c>
      <c r="L288" t="s">
        <v>44</v>
      </c>
      <c r="M288">
        <v>99221</v>
      </c>
      <c r="N288" s="2" t="s">
        <v>583</v>
      </c>
      <c r="O288" s="9" t="s">
        <v>1543</v>
      </c>
      <c r="P288" t="s">
        <v>1544</v>
      </c>
      <c r="T288" s="2"/>
      <c r="U288" s="2" t="s">
        <v>718</v>
      </c>
    </row>
    <row r="289" spans="1:21" x14ac:dyDescent="0.3">
      <c r="A289">
        <v>269308</v>
      </c>
      <c r="B289" t="s">
        <v>46</v>
      </c>
      <c r="C289" t="s">
        <v>771</v>
      </c>
      <c r="D289" t="s">
        <v>40</v>
      </c>
      <c r="E289" s="1" t="s">
        <v>1545</v>
      </c>
      <c r="F289">
        <v>25012026</v>
      </c>
      <c r="G289" t="s">
        <v>42</v>
      </c>
      <c r="H289" s="17">
        <v>82156977000248</v>
      </c>
      <c r="I289" s="17">
        <v>90739624001432</v>
      </c>
      <c r="J289" t="s">
        <v>2</v>
      </c>
      <c r="K289" s="9" t="s">
        <v>1546</v>
      </c>
      <c r="L289" t="s">
        <v>44</v>
      </c>
      <c r="M289">
        <v>168593</v>
      </c>
      <c r="N289" s="2" t="s">
        <v>581</v>
      </c>
      <c r="O289" s="9" t="s">
        <v>1546</v>
      </c>
      <c r="P289" t="s">
        <v>1547</v>
      </c>
      <c r="T289" s="2"/>
      <c r="U289" s="2" t="s">
        <v>718</v>
      </c>
    </row>
    <row r="290" spans="1:21" x14ac:dyDescent="0.3">
      <c r="A290">
        <v>269308</v>
      </c>
      <c r="B290" t="s">
        <v>88</v>
      </c>
      <c r="C290" t="s">
        <v>391</v>
      </c>
      <c r="D290" t="s">
        <v>58</v>
      </c>
      <c r="E290" s="1" t="s">
        <v>1548</v>
      </c>
      <c r="F290">
        <v>25011974</v>
      </c>
      <c r="G290" t="s">
        <v>670</v>
      </c>
      <c r="H290" s="17">
        <v>7473735016851</v>
      </c>
      <c r="I290" s="17"/>
      <c r="J290" t="s">
        <v>2</v>
      </c>
      <c r="K290" s="9" t="s">
        <v>1549</v>
      </c>
      <c r="L290" t="s">
        <v>87</v>
      </c>
      <c r="N290" s="2"/>
      <c r="O290" s="9"/>
      <c r="T290" s="2"/>
      <c r="U290" s="2" t="s">
        <v>718</v>
      </c>
    </row>
    <row r="291" spans="1:21" x14ac:dyDescent="0.3">
      <c r="A291">
        <v>269308</v>
      </c>
      <c r="B291" t="s">
        <v>46</v>
      </c>
      <c r="C291" t="s">
        <v>225</v>
      </c>
      <c r="D291" t="s">
        <v>49</v>
      </c>
      <c r="E291" s="1" t="s">
        <v>1550</v>
      </c>
      <c r="F291">
        <v>25011847</v>
      </c>
      <c r="G291" t="s">
        <v>51</v>
      </c>
      <c r="H291" s="17">
        <v>2763612000161</v>
      </c>
      <c r="I291" s="17">
        <v>90739624003133</v>
      </c>
      <c r="J291" t="s">
        <v>2</v>
      </c>
      <c r="K291" s="9" t="s">
        <v>1445</v>
      </c>
      <c r="L291" t="s">
        <v>44</v>
      </c>
      <c r="M291">
        <v>163114</v>
      </c>
      <c r="N291" s="2" t="s">
        <v>581</v>
      </c>
      <c r="O291" s="9" t="s">
        <v>1445</v>
      </c>
      <c r="P291" t="s">
        <v>1551</v>
      </c>
      <c r="T291" s="2"/>
      <c r="U291" s="2" t="s">
        <v>718</v>
      </c>
    </row>
    <row r="292" spans="1:21" x14ac:dyDescent="0.3">
      <c r="A292">
        <v>269308</v>
      </c>
      <c r="B292" t="s">
        <v>46</v>
      </c>
      <c r="C292" t="s">
        <v>97</v>
      </c>
      <c r="D292" t="s">
        <v>28</v>
      </c>
      <c r="E292" s="1" t="s">
        <v>1552</v>
      </c>
      <c r="F292">
        <v>25011837</v>
      </c>
      <c r="G292" t="s">
        <v>48</v>
      </c>
      <c r="H292" s="17">
        <v>1272434001002</v>
      </c>
      <c r="I292" s="17">
        <v>90739624001947</v>
      </c>
      <c r="J292" t="s">
        <v>2</v>
      </c>
      <c r="K292" s="9" t="s">
        <v>1553</v>
      </c>
      <c r="L292" t="s">
        <v>44</v>
      </c>
      <c r="M292">
        <v>81363</v>
      </c>
      <c r="N292" s="2" t="s">
        <v>581</v>
      </c>
      <c r="O292" s="9" t="s">
        <v>1553</v>
      </c>
      <c r="P292" t="s">
        <v>1554</v>
      </c>
      <c r="T292" s="2"/>
      <c r="U292" s="2" t="s">
        <v>718</v>
      </c>
    </row>
    <row r="293" spans="1:21" x14ac:dyDescent="0.3">
      <c r="A293">
        <v>269308</v>
      </c>
      <c r="B293" t="s">
        <v>46</v>
      </c>
      <c r="C293" t="s">
        <v>245</v>
      </c>
      <c r="D293" t="s">
        <v>52</v>
      </c>
      <c r="E293" s="1" t="s">
        <v>1555</v>
      </c>
      <c r="F293">
        <v>25011736</v>
      </c>
      <c r="G293" t="s">
        <v>545</v>
      </c>
      <c r="H293" s="17">
        <v>30429333000282</v>
      </c>
      <c r="I293" s="17">
        <v>9576274000106</v>
      </c>
      <c r="J293" t="s">
        <v>2</v>
      </c>
      <c r="K293" s="9" t="s">
        <v>1556</v>
      </c>
      <c r="L293" t="s">
        <v>44</v>
      </c>
      <c r="M293">
        <v>41095</v>
      </c>
      <c r="N293" s="2" t="s">
        <v>581</v>
      </c>
      <c r="O293" s="9" t="s">
        <v>1556</v>
      </c>
      <c r="P293" t="s">
        <v>1557</v>
      </c>
      <c r="T293" s="2"/>
      <c r="U293" s="2" t="s">
        <v>718</v>
      </c>
    </row>
    <row r="294" spans="1:21" x14ac:dyDescent="0.3">
      <c r="A294">
        <v>269308</v>
      </c>
      <c r="B294" t="s">
        <v>46</v>
      </c>
      <c r="C294" t="s">
        <v>232</v>
      </c>
      <c r="D294" t="s">
        <v>40</v>
      </c>
      <c r="E294" s="1" t="s">
        <v>1558</v>
      </c>
      <c r="F294">
        <v>25011728</v>
      </c>
      <c r="G294" t="s">
        <v>42</v>
      </c>
      <c r="H294" s="17">
        <v>82156977000248</v>
      </c>
      <c r="I294" s="17">
        <v>90739624001432</v>
      </c>
      <c r="J294" t="s">
        <v>17</v>
      </c>
      <c r="K294" s="9" t="s">
        <v>1559</v>
      </c>
      <c r="L294" t="s">
        <v>44</v>
      </c>
      <c r="M294">
        <v>168592</v>
      </c>
      <c r="N294" s="2" t="s">
        <v>581</v>
      </c>
      <c r="O294" s="9" t="s">
        <v>1559</v>
      </c>
      <c r="P294" t="s">
        <v>1560</v>
      </c>
      <c r="T294" s="2"/>
      <c r="U294" s="2" t="s">
        <v>718</v>
      </c>
    </row>
    <row r="295" spans="1:21" x14ac:dyDescent="0.3">
      <c r="A295">
        <v>269308</v>
      </c>
      <c r="B295" t="s">
        <v>46</v>
      </c>
      <c r="C295" t="s">
        <v>232</v>
      </c>
      <c r="D295" t="s">
        <v>40</v>
      </c>
      <c r="E295" s="1" t="s">
        <v>1561</v>
      </c>
      <c r="F295">
        <v>25011714</v>
      </c>
      <c r="G295" t="s">
        <v>42</v>
      </c>
      <c r="H295" s="17">
        <v>82156977000248</v>
      </c>
      <c r="I295" s="17">
        <v>90739624001432</v>
      </c>
      <c r="J295" t="s">
        <v>2</v>
      </c>
      <c r="K295" s="9" t="s">
        <v>1562</v>
      </c>
      <c r="L295" t="s">
        <v>44</v>
      </c>
      <c r="M295">
        <v>168591</v>
      </c>
      <c r="N295" s="2" t="s">
        <v>581</v>
      </c>
      <c r="O295" s="9" t="s">
        <v>1562</v>
      </c>
      <c r="P295" t="s">
        <v>1563</v>
      </c>
      <c r="T295" s="2"/>
      <c r="U295" s="2" t="s">
        <v>718</v>
      </c>
    </row>
    <row r="296" spans="1:21" x14ac:dyDescent="0.3">
      <c r="A296">
        <v>269308</v>
      </c>
      <c r="B296" t="s">
        <v>88</v>
      </c>
      <c r="C296" t="s">
        <v>78</v>
      </c>
      <c r="D296" t="s">
        <v>58</v>
      </c>
      <c r="E296" s="1" t="s">
        <v>1564</v>
      </c>
      <c r="F296">
        <v>25011709</v>
      </c>
      <c r="G296" t="s">
        <v>60</v>
      </c>
      <c r="H296" s="17">
        <v>7473735018200</v>
      </c>
      <c r="I296" s="17"/>
      <c r="J296" t="s">
        <v>17</v>
      </c>
      <c r="K296" s="9" t="s">
        <v>1565</v>
      </c>
      <c r="L296" t="s">
        <v>87</v>
      </c>
      <c r="N296" s="2"/>
      <c r="O296" s="9"/>
      <c r="T296" s="2"/>
      <c r="U296" s="2" t="s">
        <v>718</v>
      </c>
    </row>
    <row r="297" spans="1:21" x14ac:dyDescent="0.3">
      <c r="A297">
        <v>269308</v>
      </c>
      <c r="B297" t="s">
        <v>46</v>
      </c>
      <c r="C297" t="s">
        <v>172</v>
      </c>
      <c r="D297" t="s">
        <v>31</v>
      </c>
      <c r="E297" s="1" t="s">
        <v>1566</v>
      </c>
      <c r="F297">
        <v>25011707</v>
      </c>
      <c r="G297" t="s">
        <v>56</v>
      </c>
      <c r="H297" s="17">
        <v>8603562000212</v>
      </c>
      <c r="I297" s="17">
        <v>90739624001866</v>
      </c>
      <c r="J297" t="s">
        <v>2</v>
      </c>
      <c r="K297" s="9" t="s">
        <v>1567</v>
      </c>
      <c r="L297" t="s">
        <v>44</v>
      </c>
      <c r="M297">
        <v>54858</v>
      </c>
      <c r="N297" s="2" t="s">
        <v>581</v>
      </c>
      <c r="O297" s="9" t="s">
        <v>1567</v>
      </c>
      <c r="P297" t="s">
        <v>1568</v>
      </c>
      <c r="T297" s="2"/>
      <c r="U297" s="2" t="s">
        <v>718</v>
      </c>
    </row>
    <row r="298" spans="1:21" x14ac:dyDescent="0.3">
      <c r="A298">
        <v>269308</v>
      </c>
      <c r="B298" t="s">
        <v>46</v>
      </c>
      <c r="C298" t="s">
        <v>101</v>
      </c>
      <c r="D298" t="s">
        <v>100</v>
      </c>
      <c r="E298" s="1" t="s">
        <v>1569</v>
      </c>
      <c r="F298">
        <v>25011693</v>
      </c>
      <c r="G298" t="s">
        <v>143</v>
      </c>
      <c r="H298" s="17">
        <v>4505289000151</v>
      </c>
      <c r="I298" s="17">
        <v>90739624001866</v>
      </c>
      <c r="J298" t="s">
        <v>2</v>
      </c>
      <c r="K298" s="9" t="s">
        <v>1570</v>
      </c>
      <c r="L298" t="s">
        <v>44</v>
      </c>
      <c r="M298">
        <v>11675</v>
      </c>
      <c r="N298" s="2" t="s">
        <v>581</v>
      </c>
      <c r="O298" s="9" t="s">
        <v>1570</v>
      </c>
      <c r="P298" t="s">
        <v>1571</v>
      </c>
      <c r="T298" s="2"/>
      <c r="U298" s="2" t="s">
        <v>718</v>
      </c>
    </row>
    <row r="299" spans="1:21" x14ac:dyDescent="0.3">
      <c r="A299">
        <v>269308</v>
      </c>
      <c r="B299" t="s">
        <v>88</v>
      </c>
      <c r="C299" t="s">
        <v>78</v>
      </c>
      <c r="D299" t="s">
        <v>58</v>
      </c>
      <c r="E299" s="1" t="s">
        <v>1572</v>
      </c>
      <c r="F299">
        <v>25011679</v>
      </c>
      <c r="G299" t="s">
        <v>60</v>
      </c>
      <c r="H299" s="17">
        <v>7473735018200</v>
      </c>
      <c r="I299" s="17"/>
      <c r="J299" t="s">
        <v>2</v>
      </c>
      <c r="K299" s="9" t="s">
        <v>1573</v>
      </c>
      <c r="L299" t="s">
        <v>87</v>
      </c>
      <c r="N299" s="2"/>
      <c r="O299" s="9"/>
      <c r="T299" s="2"/>
      <c r="U299" s="2" t="s">
        <v>718</v>
      </c>
    </row>
    <row r="300" spans="1:21" x14ac:dyDescent="0.3">
      <c r="A300">
        <v>269308</v>
      </c>
      <c r="B300" t="s">
        <v>46</v>
      </c>
      <c r="C300" t="s">
        <v>270</v>
      </c>
      <c r="D300" t="s">
        <v>63</v>
      </c>
      <c r="E300" s="1" t="s">
        <v>1574</v>
      </c>
      <c r="F300">
        <v>25011632</v>
      </c>
      <c r="G300" t="s">
        <v>919</v>
      </c>
      <c r="H300" s="17">
        <v>20630766000167</v>
      </c>
      <c r="I300" s="17">
        <v>90739624001432</v>
      </c>
      <c r="J300" t="s">
        <v>2</v>
      </c>
      <c r="K300" s="9" t="s">
        <v>1575</v>
      </c>
      <c r="L300" t="s">
        <v>44</v>
      </c>
      <c r="M300">
        <v>59326</v>
      </c>
      <c r="N300" s="2" t="s">
        <v>581</v>
      </c>
      <c r="O300" s="9" t="s">
        <v>1575</v>
      </c>
      <c r="P300" t="s">
        <v>1576</v>
      </c>
      <c r="T300" s="2"/>
      <c r="U300" s="2" t="s">
        <v>718</v>
      </c>
    </row>
    <row r="301" spans="1:21" x14ac:dyDescent="0.3">
      <c r="A301">
        <v>269308</v>
      </c>
      <c r="B301" t="s">
        <v>46</v>
      </c>
      <c r="C301" t="s">
        <v>567</v>
      </c>
      <c r="D301" t="s">
        <v>170</v>
      </c>
      <c r="E301" s="1" t="s">
        <v>1577</v>
      </c>
      <c r="F301">
        <v>25010998</v>
      </c>
      <c r="G301" t="s">
        <v>178</v>
      </c>
      <c r="H301" s="17">
        <v>83392050000199</v>
      </c>
      <c r="I301" s="17">
        <v>90739624001432</v>
      </c>
      <c r="J301" t="s">
        <v>17</v>
      </c>
      <c r="K301" s="9" t="s">
        <v>1578</v>
      </c>
      <c r="L301" t="s">
        <v>44</v>
      </c>
      <c r="M301">
        <v>129855</v>
      </c>
      <c r="N301" s="2" t="s">
        <v>581</v>
      </c>
      <c r="O301" s="9" t="s">
        <v>1578</v>
      </c>
      <c r="P301" t="s">
        <v>1579</v>
      </c>
      <c r="T301" s="2"/>
      <c r="U301" s="2" t="s">
        <v>718</v>
      </c>
    </row>
    <row r="302" spans="1:21" x14ac:dyDescent="0.3">
      <c r="A302">
        <v>269308</v>
      </c>
      <c r="B302" t="s">
        <v>46</v>
      </c>
      <c r="C302" t="s">
        <v>567</v>
      </c>
      <c r="D302" t="s">
        <v>170</v>
      </c>
      <c r="E302" s="1" t="s">
        <v>1580</v>
      </c>
      <c r="F302">
        <v>25010982</v>
      </c>
      <c r="G302" t="s">
        <v>178</v>
      </c>
      <c r="H302" s="17">
        <v>83392050000199</v>
      </c>
      <c r="I302" s="17">
        <v>90739624001432</v>
      </c>
      <c r="J302" t="s">
        <v>2</v>
      </c>
      <c r="K302" s="9" t="s">
        <v>1581</v>
      </c>
      <c r="L302" t="s">
        <v>44</v>
      </c>
      <c r="M302">
        <v>129854</v>
      </c>
      <c r="N302" s="2" t="s">
        <v>581</v>
      </c>
      <c r="O302" s="9" t="s">
        <v>1581</v>
      </c>
      <c r="P302" t="s">
        <v>1582</v>
      </c>
      <c r="T302" s="2"/>
      <c r="U302" s="2" t="s">
        <v>718</v>
      </c>
    </row>
    <row r="303" spans="1:21" x14ac:dyDescent="0.3">
      <c r="A303">
        <v>269308</v>
      </c>
      <c r="B303" t="s">
        <v>46</v>
      </c>
      <c r="C303" t="s">
        <v>76</v>
      </c>
      <c r="D303" t="s">
        <v>8</v>
      </c>
      <c r="E303" s="1" t="s">
        <v>1583</v>
      </c>
      <c r="F303">
        <v>25010967</v>
      </c>
      <c r="G303" t="s">
        <v>10</v>
      </c>
      <c r="H303" s="17">
        <v>33286065000102</v>
      </c>
      <c r="I303" s="17">
        <v>9576274000106</v>
      </c>
      <c r="J303" t="s">
        <v>2</v>
      </c>
      <c r="K303" s="9" t="s">
        <v>1584</v>
      </c>
      <c r="L303" t="s">
        <v>44</v>
      </c>
      <c r="M303">
        <v>4388</v>
      </c>
      <c r="N303" s="2" t="s">
        <v>581</v>
      </c>
      <c r="O303" s="9" t="s">
        <v>1584</v>
      </c>
      <c r="P303" t="s">
        <v>1585</v>
      </c>
      <c r="T303" s="2"/>
      <c r="U303" s="2" t="s">
        <v>718</v>
      </c>
    </row>
    <row r="304" spans="1:21" x14ac:dyDescent="0.3">
      <c r="A304">
        <v>269308</v>
      </c>
      <c r="B304" t="s">
        <v>46</v>
      </c>
      <c r="C304" t="s">
        <v>247</v>
      </c>
      <c r="D304" t="s">
        <v>11</v>
      </c>
      <c r="E304" s="1" t="s">
        <v>1586</v>
      </c>
      <c r="F304">
        <v>25010819</v>
      </c>
      <c r="G304" t="s">
        <v>27</v>
      </c>
      <c r="H304" s="17">
        <v>2031363000110</v>
      </c>
      <c r="I304" s="17">
        <v>90739624001947</v>
      </c>
      <c r="J304" t="s">
        <v>2</v>
      </c>
      <c r="K304" s="9" t="s">
        <v>1587</v>
      </c>
      <c r="L304" t="s">
        <v>44</v>
      </c>
      <c r="M304">
        <v>138024</v>
      </c>
      <c r="N304" s="2" t="s">
        <v>581</v>
      </c>
      <c r="O304" s="9" t="s">
        <v>1587</v>
      </c>
      <c r="P304" t="s">
        <v>1588</v>
      </c>
      <c r="T304" s="2"/>
      <c r="U304" s="2" t="s">
        <v>718</v>
      </c>
    </row>
    <row r="305" spans="1:21" x14ac:dyDescent="0.3">
      <c r="A305">
        <v>269308</v>
      </c>
      <c r="B305" t="s">
        <v>46</v>
      </c>
      <c r="C305" t="s">
        <v>219</v>
      </c>
      <c r="D305" t="s">
        <v>28</v>
      </c>
      <c r="E305" s="1" t="s">
        <v>1589</v>
      </c>
      <c r="F305">
        <v>25010747</v>
      </c>
      <c r="G305" t="s">
        <v>209</v>
      </c>
      <c r="H305" s="17">
        <v>33360405000190</v>
      </c>
      <c r="I305" s="17">
        <v>90739624001947</v>
      </c>
      <c r="J305" t="s">
        <v>2</v>
      </c>
      <c r="K305" s="9" t="s">
        <v>1590</v>
      </c>
      <c r="L305" t="s">
        <v>44</v>
      </c>
      <c r="M305">
        <v>38309</v>
      </c>
      <c r="N305" s="2" t="s">
        <v>581</v>
      </c>
      <c r="O305" s="9" t="s">
        <v>1590</v>
      </c>
      <c r="P305" t="s">
        <v>1591</v>
      </c>
      <c r="T305" s="2"/>
      <c r="U305" s="2" t="s">
        <v>718</v>
      </c>
    </row>
    <row r="306" spans="1:21" x14ac:dyDescent="0.3">
      <c r="A306">
        <v>269308</v>
      </c>
      <c r="B306" t="s">
        <v>46</v>
      </c>
      <c r="C306" t="s">
        <v>155</v>
      </c>
      <c r="D306" t="s">
        <v>8</v>
      </c>
      <c r="E306" s="1" t="s">
        <v>1592</v>
      </c>
      <c r="F306">
        <v>25010559</v>
      </c>
      <c r="G306" t="s">
        <v>10</v>
      </c>
      <c r="H306" s="17">
        <v>33286065000102</v>
      </c>
      <c r="I306" s="17">
        <v>9576274000106</v>
      </c>
      <c r="J306" t="s">
        <v>2</v>
      </c>
      <c r="K306" s="9" t="s">
        <v>1593</v>
      </c>
      <c r="L306" t="s">
        <v>44</v>
      </c>
      <c r="M306">
        <v>4386</v>
      </c>
      <c r="N306" s="2" t="s">
        <v>581</v>
      </c>
      <c r="O306" s="9" t="s">
        <v>1593</v>
      </c>
      <c r="P306" t="s">
        <v>1594</v>
      </c>
      <c r="T306" s="2"/>
      <c r="U306" s="2" t="s">
        <v>718</v>
      </c>
    </row>
    <row r="307" spans="1:21" x14ac:dyDescent="0.3">
      <c r="A307">
        <v>269308</v>
      </c>
      <c r="B307" t="s">
        <v>46</v>
      </c>
      <c r="C307" t="s">
        <v>1595</v>
      </c>
      <c r="D307" t="s">
        <v>28</v>
      </c>
      <c r="E307" s="1" t="s">
        <v>1596</v>
      </c>
      <c r="F307">
        <v>25010500</v>
      </c>
      <c r="G307" t="s">
        <v>48</v>
      </c>
      <c r="H307" s="17">
        <v>1272434001002</v>
      </c>
      <c r="I307" s="17">
        <v>90739624001947</v>
      </c>
      <c r="J307" t="s">
        <v>2</v>
      </c>
      <c r="K307" s="9" t="s">
        <v>1597</v>
      </c>
      <c r="L307" t="s">
        <v>44</v>
      </c>
      <c r="M307">
        <v>81359</v>
      </c>
      <c r="N307" s="2" t="s">
        <v>581</v>
      </c>
      <c r="O307" s="9" t="s">
        <v>1597</v>
      </c>
      <c r="P307" t="s">
        <v>1598</v>
      </c>
      <c r="T307" s="2"/>
      <c r="U307" s="2" t="s">
        <v>718</v>
      </c>
    </row>
    <row r="308" spans="1:21" x14ac:dyDescent="0.3">
      <c r="A308">
        <v>269308</v>
      </c>
      <c r="B308" t="s">
        <v>46</v>
      </c>
      <c r="C308" t="s">
        <v>455</v>
      </c>
      <c r="D308" t="s">
        <v>52</v>
      </c>
      <c r="E308" s="1" t="s">
        <v>1599</v>
      </c>
      <c r="F308">
        <v>25010359</v>
      </c>
      <c r="G308" t="s">
        <v>545</v>
      </c>
      <c r="H308" s="17">
        <v>30429333000282</v>
      </c>
      <c r="I308" s="17">
        <v>9576274000106</v>
      </c>
      <c r="J308" t="s">
        <v>2</v>
      </c>
      <c r="K308" s="9" t="s">
        <v>1600</v>
      </c>
      <c r="L308" t="s">
        <v>44</v>
      </c>
      <c r="M308">
        <v>41496</v>
      </c>
      <c r="N308" s="2" t="s">
        <v>581</v>
      </c>
      <c r="O308" s="9" t="s">
        <v>1600</v>
      </c>
      <c r="P308" t="s">
        <v>1601</v>
      </c>
      <c r="T308" s="2"/>
      <c r="U308" s="2" t="s">
        <v>718</v>
      </c>
    </row>
    <row r="309" spans="1:21" x14ac:dyDescent="0.3">
      <c r="A309">
        <v>269308</v>
      </c>
      <c r="B309" t="s">
        <v>46</v>
      </c>
      <c r="C309" t="s">
        <v>362</v>
      </c>
      <c r="D309" t="s">
        <v>0</v>
      </c>
      <c r="E309" s="1" t="s">
        <v>1602</v>
      </c>
      <c r="F309">
        <v>25010335</v>
      </c>
      <c r="G309" t="s">
        <v>200</v>
      </c>
      <c r="H309" s="17">
        <v>4308884000520</v>
      </c>
      <c r="I309" s="17">
        <v>90739624001432</v>
      </c>
      <c r="J309" t="s">
        <v>2</v>
      </c>
      <c r="K309" s="9" t="s">
        <v>1603</v>
      </c>
      <c r="L309" t="s">
        <v>44</v>
      </c>
      <c r="M309">
        <v>35521</v>
      </c>
      <c r="N309" s="2" t="s">
        <v>581</v>
      </c>
      <c r="O309" s="9" t="s">
        <v>1603</v>
      </c>
      <c r="P309" t="s">
        <v>1604</v>
      </c>
      <c r="T309" s="2"/>
      <c r="U309" s="2" t="s">
        <v>718</v>
      </c>
    </row>
    <row r="310" spans="1:21" x14ac:dyDescent="0.3">
      <c r="A310">
        <v>269308</v>
      </c>
      <c r="B310" t="s">
        <v>88</v>
      </c>
      <c r="C310" t="s">
        <v>347</v>
      </c>
      <c r="D310" t="s">
        <v>73</v>
      </c>
      <c r="E310" s="1" t="s">
        <v>1605</v>
      </c>
      <c r="F310">
        <v>25010299</v>
      </c>
      <c r="G310" t="s">
        <v>262</v>
      </c>
      <c r="H310" s="17">
        <v>7473735001587</v>
      </c>
      <c r="I310" s="17"/>
      <c r="J310" t="s">
        <v>2</v>
      </c>
      <c r="K310" s="9" t="s">
        <v>1606</v>
      </c>
      <c r="L310" t="s">
        <v>87</v>
      </c>
      <c r="N310" s="2"/>
      <c r="O310" s="9"/>
      <c r="T310" s="2"/>
      <c r="U310" s="2" t="s">
        <v>718</v>
      </c>
    </row>
    <row r="311" spans="1:21" x14ac:dyDescent="0.3">
      <c r="A311">
        <v>269308</v>
      </c>
      <c r="B311" t="s">
        <v>46</v>
      </c>
      <c r="C311" t="s">
        <v>96</v>
      </c>
      <c r="D311" t="s">
        <v>70</v>
      </c>
      <c r="E311" s="1" t="s">
        <v>1607</v>
      </c>
      <c r="F311">
        <v>25010278</v>
      </c>
      <c r="G311" t="s">
        <v>72</v>
      </c>
      <c r="H311" s="17">
        <v>79964177000168</v>
      </c>
      <c r="I311" s="17">
        <v>9576274000106</v>
      </c>
      <c r="J311" t="s">
        <v>2</v>
      </c>
      <c r="K311" s="9" t="s">
        <v>1608</v>
      </c>
      <c r="L311" t="s">
        <v>44</v>
      </c>
      <c r="M311">
        <v>257327</v>
      </c>
      <c r="N311" s="2" t="s">
        <v>581</v>
      </c>
      <c r="O311" s="9" t="s">
        <v>1608</v>
      </c>
      <c r="P311" t="s">
        <v>1609</v>
      </c>
      <c r="T311" s="2"/>
      <c r="U311" s="2" t="s">
        <v>718</v>
      </c>
    </row>
    <row r="312" spans="1:21" x14ac:dyDescent="0.3">
      <c r="A312">
        <v>269308</v>
      </c>
      <c r="B312" t="s">
        <v>46</v>
      </c>
      <c r="C312" t="s">
        <v>110</v>
      </c>
      <c r="D312" t="s">
        <v>31</v>
      </c>
      <c r="E312" s="1" t="s">
        <v>1610</v>
      </c>
      <c r="F312">
        <v>25010207</v>
      </c>
      <c r="G312" t="s">
        <v>142</v>
      </c>
      <c r="H312" s="17">
        <v>54494203000100</v>
      </c>
      <c r="I312" s="17">
        <v>90739624001866</v>
      </c>
      <c r="J312" t="s">
        <v>2</v>
      </c>
      <c r="K312" s="9" t="s">
        <v>1611</v>
      </c>
      <c r="L312" t="s">
        <v>44</v>
      </c>
      <c r="M312">
        <v>16037</v>
      </c>
      <c r="N312" s="2" t="s">
        <v>1039</v>
      </c>
      <c r="O312" s="9" t="s">
        <v>1611</v>
      </c>
      <c r="P312" t="s">
        <v>1612</v>
      </c>
      <c r="T312" s="2"/>
      <c r="U312" s="2" t="s">
        <v>718</v>
      </c>
    </row>
    <row r="313" spans="1:21" x14ac:dyDescent="0.3">
      <c r="A313">
        <v>269308</v>
      </c>
      <c r="B313" t="s">
        <v>46</v>
      </c>
      <c r="C313" t="s">
        <v>387</v>
      </c>
      <c r="D313" t="s">
        <v>58</v>
      </c>
      <c r="E313" s="1" t="s">
        <v>1613</v>
      </c>
      <c r="F313">
        <v>25010203</v>
      </c>
      <c r="G313" t="s">
        <v>480</v>
      </c>
      <c r="H313" s="17">
        <v>7473735019877</v>
      </c>
      <c r="I313" s="17">
        <v>90739624002323</v>
      </c>
      <c r="J313" t="s">
        <v>2</v>
      </c>
      <c r="K313" s="9" t="s">
        <v>1614</v>
      </c>
      <c r="L313" t="s">
        <v>44</v>
      </c>
      <c r="M313">
        <v>57889</v>
      </c>
      <c r="N313" s="2" t="s">
        <v>581</v>
      </c>
      <c r="O313" s="9" t="s">
        <v>1614</v>
      </c>
      <c r="P313" t="s">
        <v>1615</v>
      </c>
      <c r="T313" s="2"/>
      <c r="U313" s="2" t="s">
        <v>718</v>
      </c>
    </row>
    <row r="314" spans="1:21" x14ac:dyDescent="0.3">
      <c r="A314">
        <v>269308</v>
      </c>
      <c r="B314" t="s">
        <v>46</v>
      </c>
      <c r="C314" t="s">
        <v>30</v>
      </c>
      <c r="D314" t="s">
        <v>11</v>
      </c>
      <c r="E314" s="1" t="s">
        <v>1616</v>
      </c>
      <c r="F314">
        <v>25010141</v>
      </c>
      <c r="G314" t="s">
        <v>27</v>
      </c>
      <c r="H314" s="17">
        <v>2031363000110</v>
      </c>
      <c r="I314" s="17">
        <v>90739624001947</v>
      </c>
      <c r="J314" t="s">
        <v>2</v>
      </c>
      <c r="K314" s="9" t="s">
        <v>1617</v>
      </c>
      <c r="L314" t="s">
        <v>44</v>
      </c>
      <c r="M314">
        <v>138019</v>
      </c>
      <c r="N314" s="2" t="s">
        <v>581</v>
      </c>
      <c r="O314" s="9" t="s">
        <v>1617</v>
      </c>
      <c r="P314" t="s">
        <v>1618</v>
      </c>
      <c r="T314" s="2"/>
      <c r="U314" s="2" t="s">
        <v>718</v>
      </c>
    </row>
    <row r="315" spans="1:21" x14ac:dyDescent="0.3">
      <c r="A315">
        <v>269308</v>
      </c>
      <c r="B315" t="s">
        <v>46</v>
      </c>
      <c r="C315" t="s">
        <v>249</v>
      </c>
      <c r="D315" t="s">
        <v>52</v>
      </c>
      <c r="E315" s="1" t="s">
        <v>1619</v>
      </c>
      <c r="F315">
        <v>25009954</v>
      </c>
      <c r="G315" t="s">
        <v>545</v>
      </c>
      <c r="H315" s="17">
        <v>30429333000282</v>
      </c>
      <c r="I315" s="17">
        <v>9576274000106</v>
      </c>
      <c r="J315" t="s">
        <v>2</v>
      </c>
      <c r="K315" s="9" t="s">
        <v>587</v>
      </c>
      <c r="L315" t="s">
        <v>44</v>
      </c>
      <c r="M315">
        <v>41073</v>
      </c>
      <c r="N315" s="2" t="s">
        <v>581</v>
      </c>
      <c r="O315" s="9" t="s">
        <v>587</v>
      </c>
      <c r="P315" t="s">
        <v>1620</v>
      </c>
      <c r="T315" s="2"/>
      <c r="U315" s="2" t="s">
        <v>718</v>
      </c>
    </row>
    <row r="316" spans="1:21" x14ac:dyDescent="0.3">
      <c r="A316">
        <v>269308</v>
      </c>
      <c r="B316" t="s">
        <v>46</v>
      </c>
      <c r="C316" t="s">
        <v>1279</v>
      </c>
      <c r="D316" t="s">
        <v>0</v>
      </c>
      <c r="E316" s="1" t="s">
        <v>1621</v>
      </c>
      <c r="F316">
        <v>25009927</v>
      </c>
      <c r="G316" t="s">
        <v>200</v>
      </c>
      <c r="H316" s="17">
        <v>4308884000520</v>
      </c>
      <c r="I316" s="17">
        <v>90739624001432</v>
      </c>
      <c r="J316" t="s">
        <v>2</v>
      </c>
      <c r="K316" s="9" t="s">
        <v>1622</v>
      </c>
      <c r="L316" t="s">
        <v>44</v>
      </c>
      <c r="M316">
        <v>35487</v>
      </c>
      <c r="N316" s="2" t="s">
        <v>581</v>
      </c>
      <c r="O316" s="9" t="s">
        <v>1623</v>
      </c>
      <c r="P316" t="s">
        <v>1624</v>
      </c>
      <c r="T316" s="2"/>
      <c r="U316" s="2" t="s">
        <v>718</v>
      </c>
    </row>
    <row r="317" spans="1:21" x14ac:dyDescent="0.3">
      <c r="A317">
        <v>269308</v>
      </c>
      <c r="B317" t="s">
        <v>46</v>
      </c>
      <c r="C317" t="s">
        <v>108</v>
      </c>
      <c r="D317" t="s">
        <v>25</v>
      </c>
      <c r="E317" s="1" t="s">
        <v>1625</v>
      </c>
      <c r="F317">
        <v>25009836</v>
      </c>
      <c r="G317" t="s">
        <v>1626</v>
      </c>
      <c r="H317" s="17">
        <v>22620102000142</v>
      </c>
      <c r="I317" s="17">
        <v>90739624001866</v>
      </c>
      <c r="J317" t="s">
        <v>2</v>
      </c>
      <c r="K317" s="9" t="s">
        <v>1627</v>
      </c>
      <c r="L317" t="s">
        <v>44</v>
      </c>
      <c r="M317">
        <v>49087</v>
      </c>
      <c r="N317" s="2" t="s">
        <v>581</v>
      </c>
      <c r="O317" s="9" t="s">
        <v>1627</v>
      </c>
      <c r="P317" t="s">
        <v>1628</v>
      </c>
      <c r="T317" s="2"/>
      <c r="U317" s="2" t="s">
        <v>718</v>
      </c>
    </row>
    <row r="318" spans="1:21" x14ac:dyDescent="0.3">
      <c r="A318">
        <v>269308</v>
      </c>
      <c r="B318" t="s">
        <v>46</v>
      </c>
      <c r="C318" t="s">
        <v>89</v>
      </c>
      <c r="D318" t="s">
        <v>11</v>
      </c>
      <c r="E318" s="1" t="s">
        <v>1629</v>
      </c>
      <c r="F318">
        <v>25009830</v>
      </c>
      <c r="G318" t="s">
        <v>90</v>
      </c>
      <c r="H318" s="17">
        <v>50780684000160</v>
      </c>
      <c r="I318" s="17">
        <v>90739624001947</v>
      </c>
      <c r="J318" t="s">
        <v>2</v>
      </c>
      <c r="K318" s="9" t="s">
        <v>1630</v>
      </c>
      <c r="L318" t="s">
        <v>44</v>
      </c>
      <c r="M318">
        <v>11149</v>
      </c>
      <c r="N318" s="2" t="s">
        <v>581</v>
      </c>
      <c r="O318" s="9" t="s">
        <v>1631</v>
      </c>
      <c r="P318" t="s">
        <v>1632</v>
      </c>
      <c r="T318" s="2"/>
      <c r="U318" s="2" t="s">
        <v>718</v>
      </c>
    </row>
    <row r="319" spans="1:21" x14ac:dyDescent="0.3">
      <c r="A319">
        <v>269308</v>
      </c>
      <c r="B319" t="s">
        <v>46</v>
      </c>
      <c r="C319" t="s">
        <v>536</v>
      </c>
      <c r="D319" t="s">
        <v>52</v>
      </c>
      <c r="E319" s="1" t="s">
        <v>1633</v>
      </c>
      <c r="F319">
        <v>25009812</v>
      </c>
      <c r="G319" t="s">
        <v>545</v>
      </c>
      <c r="H319" s="17">
        <v>30429333000282</v>
      </c>
      <c r="I319" s="17">
        <v>9576274000106</v>
      </c>
      <c r="J319" t="s">
        <v>2</v>
      </c>
      <c r="K319" s="9" t="s">
        <v>1634</v>
      </c>
      <c r="L319" t="s">
        <v>44</v>
      </c>
      <c r="M319">
        <v>41070</v>
      </c>
      <c r="N319" s="2" t="s">
        <v>581</v>
      </c>
      <c r="O319" s="9" t="s">
        <v>1635</v>
      </c>
      <c r="P319" t="s">
        <v>1636</v>
      </c>
      <c r="T319" s="2"/>
      <c r="U319" s="2" t="s">
        <v>718</v>
      </c>
    </row>
    <row r="320" spans="1:21" x14ac:dyDescent="0.3">
      <c r="A320">
        <v>269308</v>
      </c>
      <c r="B320" t="s">
        <v>46</v>
      </c>
      <c r="C320" t="s">
        <v>485</v>
      </c>
      <c r="D320" t="s">
        <v>52</v>
      </c>
      <c r="E320" s="1" t="s">
        <v>1637</v>
      </c>
      <c r="F320">
        <v>25009811</v>
      </c>
      <c r="G320" t="s">
        <v>54</v>
      </c>
      <c r="H320" s="17">
        <v>79130647000198</v>
      </c>
      <c r="I320" s="17">
        <v>9576274000106</v>
      </c>
      <c r="J320" t="s">
        <v>2</v>
      </c>
      <c r="K320" s="9" t="s">
        <v>1638</v>
      </c>
      <c r="L320" t="s">
        <v>44</v>
      </c>
      <c r="M320">
        <v>16835</v>
      </c>
      <c r="N320" s="2" t="s">
        <v>581</v>
      </c>
      <c r="O320" s="9" t="s">
        <v>1638</v>
      </c>
      <c r="P320" t="s">
        <v>1639</v>
      </c>
      <c r="T320" s="2"/>
      <c r="U320" s="2" t="s">
        <v>718</v>
      </c>
    </row>
    <row r="321" spans="1:21" x14ac:dyDescent="0.3">
      <c r="A321">
        <v>269308</v>
      </c>
      <c r="B321" t="s">
        <v>46</v>
      </c>
      <c r="C321" t="s">
        <v>540</v>
      </c>
      <c r="D321" t="s">
        <v>0</v>
      </c>
      <c r="E321" s="1" t="s">
        <v>1640</v>
      </c>
      <c r="F321">
        <v>25009668</v>
      </c>
      <c r="G321" t="s">
        <v>234</v>
      </c>
      <c r="H321" s="17">
        <v>81326258001580</v>
      </c>
      <c r="I321" s="17">
        <v>90739624001432</v>
      </c>
      <c r="J321" t="s">
        <v>2</v>
      </c>
      <c r="K321" s="9" t="s">
        <v>1641</v>
      </c>
      <c r="L321" t="s">
        <v>44</v>
      </c>
      <c r="M321">
        <v>1420</v>
      </c>
      <c r="N321" s="2" t="s">
        <v>792</v>
      </c>
      <c r="O321" s="9" t="s">
        <v>1641</v>
      </c>
      <c r="P321" t="s">
        <v>1642</v>
      </c>
      <c r="T321" s="2"/>
      <c r="U321" s="2" t="s">
        <v>718</v>
      </c>
    </row>
    <row r="322" spans="1:21" x14ac:dyDescent="0.3">
      <c r="A322">
        <v>269308</v>
      </c>
      <c r="B322" t="s">
        <v>46</v>
      </c>
      <c r="C322" t="s">
        <v>494</v>
      </c>
      <c r="D322" t="s">
        <v>61</v>
      </c>
      <c r="E322" s="1" t="s">
        <v>1643</v>
      </c>
      <c r="F322">
        <v>25009664</v>
      </c>
      <c r="G322" t="s">
        <v>85</v>
      </c>
      <c r="H322" s="17">
        <v>1975878000105</v>
      </c>
      <c r="I322" s="17">
        <v>9576274000106</v>
      </c>
      <c r="J322" t="s">
        <v>2</v>
      </c>
      <c r="K322" s="9" t="s">
        <v>1644</v>
      </c>
      <c r="L322" t="s">
        <v>44</v>
      </c>
      <c r="M322">
        <v>2529</v>
      </c>
      <c r="N322" s="2" t="s">
        <v>581</v>
      </c>
      <c r="O322" s="9" t="s">
        <v>1645</v>
      </c>
      <c r="P322" t="s">
        <v>1646</v>
      </c>
      <c r="T322" s="2"/>
      <c r="U322" s="2" t="s">
        <v>718</v>
      </c>
    </row>
    <row r="323" spans="1:21" x14ac:dyDescent="0.3">
      <c r="A323">
        <v>269308</v>
      </c>
      <c r="B323" t="s">
        <v>46</v>
      </c>
      <c r="C323" t="s">
        <v>1647</v>
      </c>
      <c r="D323" t="s">
        <v>8</v>
      </c>
      <c r="E323" s="1" t="s">
        <v>1648</v>
      </c>
      <c r="F323">
        <v>25009510</v>
      </c>
      <c r="G323" t="s">
        <v>85</v>
      </c>
      <c r="H323" s="17">
        <v>1975878000105</v>
      </c>
      <c r="I323" s="17">
        <v>9576274000106</v>
      </c>
      <c r="J323" t="s">
        <v>2</v>
      </c>
      <c r="K323" s="9" t="s">
        <v>1649</v>
      </c>
      <c r="L323" t="s">
        <v>44</v>
      </c>
      <c r="M323">
        <v>2528</v>
      </c>
      <c r="N323" s="2" t="s">
        <v>581</v>
      </c>
      <c r="O323" s="9" t="s">
        <v>1649</v>
      </c>
      <c r="P323" t="s">
        <v>1650</v>
      </c>
      <c r="T323" s="2"/>
      <c r="U323" s="2" t="s">
        <v>718</v>
      </c>
    </row>
    <row r="324" spans="1:21" x14ac:dyDescent="0.3">
      <c r="A324">
        <v>269308</v>
      </c>
      <c r="B324" t="s">
        <v>46</v>
      </c>
      <c r="C324" t="s">
        <v>77</v>
      </c>
      <c r="D324" t="s">
        <v>0</v>
      </c>
      <c r="E324" s="1" t="s">
        <v>1651</v>
      </c>
      <c r="F324">
        <v>25009506</v>
      </c>
      <c r="G324" t="s">
        <v>64</v>
      </c>
      <c r="H324" s="17">
        <v>23448964001921</v>
      </c>
      <c r="I324" s="17">
        <v>90739624001432</v>
      </c>
      <c r="J324" t="s">
        <v>17</v>
      </c>
      <c r="K324" s="9" t="s">
        <v>1652</v>
      </c>
      <c r="L324" t="s">
        <v>44</v>
      </c>
      <c r="M324">
        <v>179405</v>
      </c>
      <c r="N324" s="2" t="s">
        <v>581</v>
      </c>
      <c r="O324" s="9" t="s">
        <v>1652</v>
      </c>
      <c r="P324" t="s">
        <v>1653</v>
      </c>
      <c r="T324" s="2"/>
      <c r="U324" s="2" t="s">
        <v>718</v>
      </c>
    </row>
    <row r="325" spans="1:21" x14ac:dyDescent="0.3">
      <c r="A325">
        <v>269308</v>
      </c>
      <c r="B325" t="s">
        <v>46</v>
      </c>
      <c r="C325" t="s">
        <v>195</v>
      </c>
      <c r="D325" t="s">
        <v>63</v>
      </c>
      <c r="E325" s="1" t="s">
        <v>1654</v>
      </c>
      <c r="F325">
        <v>25009495</v>
      </c>
      <c r="G325" t="s">
        <v>919</v>
      </c>
      <c r="H325" s="17">
        <v>20630766000167</v>
      </c>
      <c r="I325" s="17">
        <v>90739624001432</v>
      </c>
      <c r="J325" t="s">
        <v>2</v>
      </c>
      <c r="K325" s="9" t="s">
        <v>1655</v>
      </c>
      <c r="L325" t="s">
        <v>44</v>
      </c>
      <c r="M325">
        <v>59320</v>
      </c>
      <c r="N325" s="2" t="s">
        <v>581</v>
      </c>
      <c r="O325" s="9" t="s">
        <v>1655</v>
      </c>
      <c r="P325" t="s">
        <v>1656</v>
      </c>
      <c r="T325" s="2"/>
      <c r="U325" s="2" t="s">
        <v>718</v>
      </c>
    </row>
    <row r="326" spans="1:21" x14ac:dyDescent="0.3">
      <c r="A326">
        <v>269308</v>
      </c>
      <c r="B326" t="s">
        <v>46</v>
      </c>
      <c r="C326" t="s">
        <v>77</v>
      </c>
      <c r="D326" t="s">
        <v>0</v>
      </c>
      <c r="E326" s="1" t="s">
        <v>1657</v>
      </c>
      <c r="F326">
        <v>25009475</v>
      </c>
      <c r="G326" t="s">
        <v>64</v>
      </c>
      <c r="H326" s="17">
        <v>23448964001921</v>
      </c>
      <c r="I326" s="17">
        <v>90739624001432</v>
      </c>
      <c r="J326" t="s">
        <v>2</v>
      </c>
      <c r="K326" s="9" t="s">
        <v>1658</v>
      </c>
      <c r="L326" t="s">
        <v>44</v>
      </c>
      <c r="M326">
        <v>179403</v>
      </c>
      <c r="N326" s="2" t="s">
        <v>581</v>
      </c>
      <c r="O326" s="9" t="s">
        <v>1658</v>
      </c>
      <c r="P326" t="s">
        <v>1659</v>
      </c>
      <c r="T326" s="2"/>
      <c r="U326" s="2" t="s">
        <v>718</v>
      </c>
    </row>
    <row r="327" spans="1:21" x14ac:dyDescent="0.3">
      <c r="A327">
        <v>269308</v>
      </c>
      <c r="B327" t="s">
        <v>46</v>
      </c>
      <c r="C327" t="s">
        <v>472</v>
      </c>
      <c r="D327" t="s">
        <v>33</v>
      </c>
      <c r="E327" s="1" t="s">
        <v>1660</v>
      </c>
      <c r="F327">
        <v>25009400</v>
      </c>
      <c r="G327" t="s">
        <v>35</v>
      </c>
      <c r="H327" s="17">
        <v>27933025000102</v>
      </c>
      <c r="I327" s="17">
        <v>9576274000106</v>
      </c>
      <c r="J327" t="s">
        <v>2</v>
      </c>
      <c r="K327" s="9" t="s">
        <v>1661</v>
      </c>
      <c r="L327" t="s">
        <v>44</v>
      </c>
      <c r="M327">
        <v>1140</v>
      </c>
      <c r="N327" s="2" t="s">
        <v>792</v>
      </c>
      <c r="O327" s="9" t="s">
        <v>1661</v>
      </c>
      <c r="P327" t="s">
        <v>1662</v>
      </c>
      <c r="T327" s="2"/>
      <c r="U327" s="2" t="s">
        <v>718</v>
      </c>
    </row>
    <row r="328" spans="1:21" x14ac:dyDescent="0.3">
      <c r="A328">
        <v>269308</v>
      </c>
      <c r="B328" t="s">
        <v>46</v>
      </c>
      <c r="C328" t="s">
        <v>317</v>
      </c>
      <c r="D328" t="s">
        <v>49</v>
      </c>
      <c r="E328" s="1" t="s">
        <v>1663</v>
      </c>
      <c r="F328">
        <v>25009355</v>
      </c>
      <c r="G328" t="s">
        <v>51</v>
      </c>
      <c r="H328" s="17">
        <v>2763612000161</v>
      </c>
      <c r="I328" s="17">
        <v>90739624003133</v>
      </c>
      <c r="J328" t="s">
        <v>2</v>
      </c>
      <c r="K328" s="9" t="s">
        <v>1664</v>
      </c>
      <c r="L328" t="s">
        <v>44</v>
      </c>
      <c r="M328">
        <v>163100</v>
      </c>
      <c r="N328" s="2" t="s">
        <v>581</v>
      </c>
      <c r="O328" s="9" t="s">
        <v>1664</v>
      </c>
      <c r="P328" t="s">
        <v>1665</v>
      </c>
      <c r="T328" s="2"/>
      <c r="U328" s="2" t="s">
        <v>718</v>
      </c>
    </row>
    <row r="329" spans="1:21" x14ac:dyDescent="0.3">
      <c r="A329">
        <v>269308</v>
      </c>
      <c r="B329" t="s">
        <v>46</v>
      </c>
      <c r="C329" t="s">
        <v>562</v>
      </c>
      <c r="D329" t="s">
        <v>33</v>
      </c>
      <c r="E329" s="1" t="s">
        <v>1666</v>
      </c>
      <c r="F329">
        <v>25009348</v>
      </c>
      <c r="G329" t="s">
        <v>35</v>
      </c>
      <c r="H329" s="17">
        <v>27933025000102</v>
      </c>
      <c r="I329" s="17">
        <v>9576274000106</v>
      </c>
      <c r="J329" t="s">
        <v>2</v>
      </c>
      <c r="K329" s="9" t="s">
        <v>1667</v>
      </c>
      <c r="L329" t="s">
        <v>44</v>
      </c>
      <c r="M329">
        <v>1139</v>
      </c>
      <c r="N329" s="2" t="s">
        <v>792</v>
      </c>
      <c r="O329" s="9" t="s">
        <v>1667</v>
      </c>
      <c r="P329" t="s">
        <v>1668</v>
      </c>
      <c r="T329" s="2"/>
      <c r="U329" s="2" t="s">
        <v>718</v>
      </c>
    </row>
    <row r="330" spans="1:21" x14ac:dyDescent="0.3">
      <c r="A330">
        <v>269308</v>
      </c>
      <c r="B330" t="s">
        <v>88</v>
      </c>
      <c r="C330" t="s">
        <v>392</v>
      </c>
      <c r="D330" t="s">
        <v>58</v>
      </c>
      <c r="E330" s="1" t="s">
        <v>1669</v>
      </c>
      <c r="F330">
        <v>25009272</v>
      </c>
      <c r="G330" t="s">
        <v>106</v>
      </c>
      <c r="H330" s="17">
        <v>7473735015103</v>
      </c>
      <c r="I330" s="17"/>
      <c r="J330" t="s">
        <v>2</v>
      </c>
      <c r="K330" s="9" t="s">
        <v>1670</v>
      </c>
      <c r="L330" t="s">
        <v>87</v>
      </c>
      <c r="N330" s="2"/>
      <c r="O330" s="9"/>
      <c r="T330" s="2"/>
      <c r="U330" s="2" t="s">
        <v>718</v>
      </c>
    </row>
    <row r="331" spans="1:21" x14ac:dyDescent="0.3">
      <c r="A331">
        <v>269308</v>
      </c>
      <c r="B331" t="s">
        <v>88</v>
      </c>
      <c r="C331" t="s">
        <v>555</v>
      </c>
      <c r="D331" t="s">
        <v>58</v>
      </c>
      <c r="E331" s="1" t="s">
        <v>1671</v>
      </c>
      <c r="F331">
        <v>25009255</v>
      </c>
      <c r="G331" t="s">
        <v>106</v>
      </c>
      <c r="H331" s="17">
        <v>7473735015103</v>
      </c>
      <c r="I331" s="17"/>
      <c r="J331" t="s">
        <v>17</v>
      </c>
      <c r="K331" s="9" t="s">
        <v>1672</v>
      </c>
      <c r="L331" t="s">
        <v>87</v>
      </c>
      <c r="N331" s="2"/>
      <c r="O331" s="9"/>
      <c r="T331" s="2"/>
      <c r="U331" s="2" t="s">
        <v>718</v>
      </c>
    </row>
    <row r="332" spans="1:21" x14ac:dyDescent="0.3">
      <c r="A332">
        <v>269308</v>
      </c>
      <c r="B332" t="s">
        <v>88</v>
      </c>
      <c r="C332" t="s">
        <v>555</v>
      </c>
      <c r="D332" t="s">
        <v>58</v>
      </c>
      <c r="E332" s="1" t="s">
        <v>1673</v>
      </c>
      <c r="F332">
        <v>25009240</v>
      </c>
      <c r="G332" t="s">
        <v>106</v>
      </c>
      <c r="H332" s="17">
        <v>7473735015103</v>
      </c>
      <c r="I332" s="17"/>
      <c r="J332" t="s">
        <v>2</v>
      </c>
      <c r="K332" s="9" t="s">
        <v>1674</v>
      </c>
      <c r="L332" t="s">
        <v>87</v>
      </c>
      <c r="N332" s="2"/>
      <c r="O332" s="9"/>
      <c r="T332" s="2"/>
      <c r="U332" s="2" t="s">
        <v>718</v>
      </c>
    </row>
    <row r="333" spans="1:21" x14ac:dyDescent="0.3">
      <c r="A333">
        <v>269308</v>
      </c>
      <c r="B333" t="s">
        <v>88</v>
      </c>
      <c r="C333" t="s">
        <v>311</v>
      </c>
      <c r="D333" t="s">
        <v>73</v>
      </c>
      <c r="E333" s="1" t="s">
        <v>1675</v>
      </c>
      <c r="F333">
        <v>25009081</v>
      </c>
      <c r="G333" t="s">
        <v>384</v>
      </c>
      <c r="H333" s="17">
        <v>7473735003520</v>
      </c>
      <c r="I333" s="17"/>
      <c r="J333" t="s">
        <v>17</v>
      </c>
      <c r="K333" s="9" t="s">
        <v>1676</v>
      </c>
      <c r="L333" t="s">
        <v>87</v>
      </c>
      <c r="N333" s="2"/>
      <c r="O333" s="9"/>
      <c r="T333" s="2"/>
      <c r="U333" s="2" t="s">
        <v>718</v>
      </c>
    </row>
    <row r="334" spans="1:21" x14ac:dyDescent="0.3">
      <c r="A334">
        <v>269308</v>
      </c>
      <c r="B334" t="s">
        <v>46</v>
      </c>
      <c r="C334" t="s">
        <v>227</v>
      </c>
      <c r="D334" t="s">
        <v>40</v>
      </c>
      <c r="E334" s="1" t="s">
        <v>1677</v>
      </c>
      <c r="F334">
        <v>25009077</v>
      </c>
      <c r="G334" t="s">
        <v>42</v>
      </c>
      <c r="H334" s="17">
        <v>82156977000248</v>
      </c>
      <c r="I334" s="17">
        <v>90739624001432</v>
      </c>
      <c r="J334" t="s">
        <v>2</v>
      </c>
      <c r="K334" s="9" t="s">
        <v>1678</v>
      </c>
      <c r="L334" t="s">
        <v>44</v>
      </c>
      <c r="M334">
        <v>168572</v>
      </c>
      <c r="N334" s="2" t="s">
        <v>581</v>
      </c>
      <c r="O334" s="9" t="s">
        <v>1678</v>
      </c>
      <c r="P334" t="s">
        <v>1679</v>
      </c>
      <c r="T334" s="2"/>
      <c r="U334" s="2" t="s">
        <v>718</v>
      </c>
    </row>
    <row r="335" spans="1:21" x14ac:dyDescent="0.3">
      <c r="A335">
        <v>269308</v>
      </c>
      <c r="B335" t="s">
        <v>88</v>
      </c>
      <c r="C335" t="s">
        <v>311</v>
      </c>
      <c r="D335" t="s">
        <v>73</v>
      </c>
      <c r="E335" s="1" t="s">
        <v>1680</v>
      </c>
      <c r="F335">
        <v>25009042</v>
      </c>
      <c r="G335" t="s">
        <v>384</v>
      </c>
      <c r="H335" s="17">
        <v>7473735003520</v>
      </c>
      <c r="I335" s="17"/>
      <c r="J335" t="s">
        <v>2</v>
      </c>
      <c r="K335" s="9" t="s">
        <v>1681</v>
      </c>
      <c r="L335" t="s">
        <v>87</v>
      </c>
      <c r="N335" s="2"/>
      <c r="O335" s="9"/>
      <c r="T335" s="2"/>
      <c r="U335" s="2" t="s">
        <v>718</v>
      </c>
    </row>
    <row r="336" spans="1:21" x14ac:dyDescent="0.3">
      <c r="A336">
        <v>269308</v>
      </c>
      <c r="B336" t="s">
        <v>88</v>
      </c>
      <c r="C336" t="s">
        <v>304</v>
      </c>
      <c r="D336" t="s">
        <v>61</v>
      </c>
      <c r="E336" s="1" t="s">
        <v>1682</v>
      </c>
      <c r="F336">
        <v>25009027</v>
      </c>
      <c r="G336" t="s">
        <v>79</v>
      </c>
      <c r="H336" s="17">
        <v>7473735000777</v>
      </c>
      <c r="I336" s="17"/>
      <c r="J336" t="s">
        <v>2</v>
      </c>
      <c r="K336" s="9" t="s">
        <v>1683</v>
      </c>
      <c r="L336" t="s">
        <v>87</v>
      </c>
      <c r="N336" s="2"/>
      <c r="O336" s="9"/>
      <c r="T336" s="2"/>
      <c r="U336" s="2" t="s">
        <v>718</v>
      </c>
    </row>
    <row r="337" spans="1:21" x14ac:dyDescent="0.3">
      <c r="A337">
        <v>269308</v>
      </c>
      <c r="B337" t="s">
        <v>46</v>
      </c>
      <c r="C337" t="s">
        <v>71</v>
      </c>
      <c r="D337" t="s">
        <v>70</v>
      </c>
      <c r="E337" s="1" t="s">
        <v>1684</v>
      </c>
      <c r="F337">
        <v>25009007</v>
      </c>
      <c r="G337" t="s">
        <v>72</v>
      </c>
      <c r="H337" s="17">
        <v>79964177000168</v>
      </c>
      <c r="I337" s="17">
        <v>9576274000106</v>
      </c>
      <c r="J337" t="s">
        <v>17</v>
      </c>
      <c r="K337" s="9" t="s">
        <v>1685</v>
      </c>
      <c r="L337" t="s">
        <v>44</v>
      </c>
      <c r="M337">
        <v>257320</v>
      </c>
      <c r="N337" s="2" t="s">
        <v>581</v>
      </c>
      <c r="O337" s="9" t="s">
        <v>1685</v>
      </c>
      <c r="P337" t="s">
        <v>1686</v>
      </c>
      <c r="T337" s="2"/>
      <c r="U337" s="2" t="s">
        <v>718</v>
      </c>
    </row>
    <row r="338" spans="1:21" x14ac:dyDescent="0.3">
      <c r="A338">
        <v>269308</v>
      </c>
      <c r="B338" t="s">
        <v>46</v>
      </c>
      <c r="C338" t="s">
        <v>71</v>
      </c>
      <c r="D338" t="s">
        <v>70</v>
      </c>
      <c r="E338" s="1" t="s">
        <v>1687</v>
      </c>
      <c r="F338">
        <v>25008991</v>
      </c>
      <c r="G338" t="s">
        <v>72</v>
      </c>
      <c r="H338" s="17">
        <v>79964177000168</v>
      </c>
      <c r="I338" s="17">
        <v>9576274000106</v>
      </c>
      <c r="J338" t="s">
        <v>2</v>
      </c>
      <c r="K338" s="9" t="s">
        <v>1688</v>
      </c>
      <c r="L338" t="s">
        <v>44</v>
      </c>
      <c r="M338">
        <v>257319</v>
      </c>
      <c r="N338" s="2" t="s">
        <v>581</v>
      </c>
      <c r="O338" s="9" t="s">
        <v>1688</v>
      </c>
      <c r="P338" t="s">
        <v>1689</v>
      </c>
      <c r="T338" s="2"/>
      <c r="U338" s="2" t="s">
        <v>718</v>
      </c>
    </row>
    <row r="339" spans="1:21" x14ac:dyDescent="0.3">
      <c r="A339">
        <v>269308</v>
      </c>
      <c r="B339" t="s">
        <v>46</v>
      </c>
      <c r="C339" t="s">
        <v>1690</v>
      </c>
      <c r="D339" t="s">
        <v>126</v>
      </c>
      <c r="E339" s="1" t="s">
        <v>1691</v>
      </c>
      <c r="F339">
        <v>25008986</v>
      </c>
      <c r="G339" t="s">
        <v>127</v>
      </c>
      <c r="H339" s="17">
        <v>76493295000147</v>
      </c>
      <c r="I339" s="17">
        <v>9576274000106</v>
      </c>
      <c r="J339" t="s">
        <v>2</v>
      </c>
      <c r="K339" s="9" t="s">
        <v>1692</v>
      </c>
      <c r="L339" t="s">
        <v>44</v>
      </c>
      <c r="M339">
        <v>28956</v>
      </c>
      <c r="N339" s="2" t="s">
        <v>581</v>
      </c>
      <c r="O339" s="9" t="s">
        <v>1692</v>
      </c>
      <c r="P339" t="s">
        <v>1693</v>
      </c>
      <c r="T339" s="2"/>
      <c r="U339" s="2" t="s">
        <v>718</v>
      </c>
    </row>
    <row r="340" spans="1:21" x14ac:dyDescent="0.3">
      <c r="A340">
        <v>269308</v>
      </c>
      <c r="B340" t="s">
        <v>46</v>
      </c>
      <c r="C340" t="s">
        <v>154</v>
      </c>
      <c r="D340" t="s">
        <v>8</v>
      </c>
      <c r="E340" s="1" t="s">
        <v>1694</v>
      </c>
      <c r="F340">
        <v>25008981</v>
      </c>
      <c r="G340" t="s">
        <v>144</v>
      </c>
      <c r="H340" s="17">
        <v>37607755000169</v>
      </c>
      <c r="I340" s="17">
        <v>9576274000106</v>
      </c>
      <c r="J340" t="s">
        <v>2</v>
      </c>
      <c r="K340" s="9" t="s">
        <v>1695</v>
      </c>
      <c r="L340" t="s">
        <v>44</v>
      </c>
      <c r="M340">
        <v>8636</v>
      </c>
      <c r="N340" s="2" t="s">
        <v>581</v>
      </c>
      <c r="O340" s="9" t="s">
        <v>1695</v>
      </c>
      <c r="P340" t="s">
        <v>1696</v>
      </c>
      <c r="T340" s="2"/>
      <c r="U340" s="2" t="s">
        <v>718</v>
      </c>
    </row>
    <row r="341" spans="1:21" x14ac:dyDescent="0.3">
      <c r="A341">
        <v>269308</v>
      </c>
      <c r="B341" t="s">
        <v>88</v>
      </c>
      <c r="C341" t="s">
        <v>662</v>
      </c>
      <c r="D341" t="s">
        <v>13</v>
      </c>
      <c r="E341" s="1" t="s">
        <v>1697</v>
      </c>
      <c r="F341">
        <v>25008973</v>
      </c>
      <c r="G341" t="s">
        <v>15</v>
      </c>
      <c r="H341" s="17">
        <v>30432373000100</v>
      </c>
      <c r="I341" s="17"/>
      <c r="J341" t="s">
        <v>2</v>
      </c>
      <c r="K341" s="9" t="s">
        <v>1698</v>
      </c>
      <c r="L341" t="s">
        <v>87</v>
      </c>
      <c r="N341" s="2"/>
      <c r="O341" s="9"/>
      <c r="T341" s="2"/>
      <c r="U341" s="2" t="s">
        <v>718</v>
      </c>
    </row>
    <row r="342" spans="1:21" x14ac:dyDescent="0.3">
      <c r="A342">
        <v>269308</v>
      </c>
      <c r="B342" t="s">
        <v>46</v>
      </c>
      <c r="C342" t="s">
        <v>383</v>
      </c>
      <c r="D342" t="s">
        <v>61</v>
      </c>
      <c r="E342" s="1" t="s">
        <v>1699</v>
      </c>
      <c r="F342">
        <v>25008865</v>
      </c>
      <c r="G342" t="s">
        <v>85</v>
      </c>
      <c r="H342" s="17">
        <v>1975878000105</v>
      </c>
      <c r="I342" s="17">
        <v>9576274000106</v>
      </c>
      <c r="J342" t="s">
        <v>2</v>
      </c>
      <c r="K342" s="9" t="s">
        <v>1700</v>
      </c>
      <c r="L342" t="s">
        <v>44</v>
      </c>
      <c r="M342">
        <v>2527</v>
      </c>
      <c r="N342" s="2" t="s">
        <v>581</v>
      </c>
      <c r="O342" s="9" t="s">
        <v>1700</v>
      </c>
      <c r="P342" t="s">
        <v>1701</v>
      </c>
      <c r="T342" s="2"/>
      <c r="U342" s="2" t="s">
        <v>718</v>
      </c>
    </row>
    <row r="343" spans="1:21" x14ac:dyDescent="0.3">
      <c r="A343">
        <v>269308</v>
      </c>
      <c r="B343" t="s">
        <v>46</v>
      </c>
      <c r="C343" t="s">
        <v>934</v>
      </c>
      <c r="D343" t="s">
        <v>52</v>
      </c>
      <c r="E343" s="1" t="s">
        <v>1702</v>
      </c>
      <c r="F343">
        <v>25008850</v>
      </c>
      <c r="G343" t="s">
        <v>545</v>
      </c>
      <c r="H343" s="17">
        <v>30429333000282</v>
      </c>
      <c r="I343" s="17">
        <v>9576274000106</v>
      </c>
      <c r="J343" t="s">
        <v>2</v>
      </c>
      <c r="K343" s="9" t="s">
        <v>1703</v>
      </c>
      <c r="L343" t="s">
        <v>44</v>
      </c>
      <c r="M343">
        <v>41059</v>
      </c>
      <c r="N343" s="2" t="s">
        <v>581</v>
      </c>
      <c r="O343" s="9" t="s">
        <v>1703</v>
      </c>
      <c r="P343" t="s">
        <v>1704</v>
      </c>
      <c r="T343" s="2"/>
      <c r="U343" s="2" t="s">
        <v>718</v>
      </c>
    </row>
    <row r="344" spans="1:21" x14ac:dyDescent="0.3">
      <c r="A344">
        <v>269308</v>
      </c>
      <c r="B344" t="s">
        <v>88</v>
      </c>
      <c r="C344" t="s">
        <v>74</v>
      </c>
      <c r="D344" t="s">
        <v>73</v>
      </c>
      <c r="E344" s="1" t="s">
        <v>1705</v>
      </c>
      <c r="F344">
        <v>25008733</v>
      </c>
      <c r="G344" t="s">
        <v>633</v>
      </c>
      <c r="H344" s="17">
        <v>7473735003369</v>
      </c>
      <c r="I344" s="17"/>
      <c r="J344" t="s">
        <v>2</v>
      </c>
      <c r="K344" s="9" t="s">
        <v>1706</v>
      </c>
      <c r="L344" t="s">
        <v>87</v>
      </c>
      <c r="N344" s="2"/>
      <c r="O344" s="9"/>
      <c r="T344" s="2"/>
      <c r="U344" s="2" t="s">
        <v>718</v>
      </c>
    </row>
    <row r="345" spans="1:21" x14ac:dyDescent="0.3">
      <c r="A345">
        <v>269308</v>
      </c>
      <c r="B345" t="s">
        <v>46</v>
      </c>
      <c r="C345" t="s">
        <v>260</v>
      </c>
      <c r="D345" t="s">
        <v>70</v>
      </c>
      <c r="E345" s="1" t="s">
        <v>1707</v>
      </c>
      <c r="F345">
        <v>25008547</v>
      </c>
      <c r="G345" t="s">
        <v>72</v>
      </c>
      <c r="H345" s="17">
        <v>79964177000168</v>
      </c>
      <c r="I345" s="17">
        <v>9576274000106</v>
      </c>
      <c r="J345" t="s">
        <v>2</v>
      </c>
      <c r="K345" s="9" t="s">
        <v>1708</v>
      </c>
      <c r="L345" t="s">
        <v>44</v>
      </c>
      <c r="M345">
        <v>257314</v>
      </c>
      <c r="N345" s="2" t="s">
        <v>581</v>
      </c>
      <c r="O345" s="9" t="s">
        <v>1708</v>
      </c>
      <c r="P345" t="s">
        <v>1709</v>
      </c>
      <c r="T345" s="2"/>
      <c r="U345" s="2" t="s">
        <v>718</v>
      </c>
    </row>
    <row r="346" spans="1:21" x14ac:dyDescent="0.3">
      <c r="A346">
        <v>269308</v>
      </c>
      <c r="B346" t="s">
        <v>46</v>
      </c>
      <c r="C346" t="s">
        <v>156</v>
      </c>
      <c r="D346" t="s">
        <v>120</v>
      </c>
      <c r="E346" s="1" t="s">
        <v>1710</v>
      </c>
      <c r="F346">
        <v>25008537</v>
      </c>
      <c r="G346" t="s">
        <v>157</v>
      </c>
      <c r="H346" s="17">
        <v>78253424000155</v>
      </c>
      <c r="I346" s="17">
        <v>90739624001432</v>
      </c>
      <c r="J346" t="s">
        <v>2</v>
      </c>
      <c r="K346" s="9" t="s">
        <v>1711</v>
      </c>
      <c r="L346" t="s">
        <v>44</v>
      </c>
      <c r="M346">
        <v>38250</v>
      </c>
      <c r="N346" s="2" t="s">
        <v>581</v>
      </c>
      <c r="O346" s="9" t="s">
        <v>1711</v>
      </c>
      <c r="P346" t="s">
        <v>1712</v>
      </c>
      <c r="T346" s="2"/>
      <c r="U346" s="2" t="s">
        <v>718</v>
      </c>
    </row>
    <row r="347" spans="1:21" x14ac:dyDescent="0.3">
      <c r="A347">
        <v>269308</v>
      </c>
      <c r="B347" t="s">
        <v>46</v>
      </c>
      <c r="C347" t="s">
        <v>1713</v>
      </c>
      <c r="D347" t="s">
        <v>126</v>
      </c>
      <c r="E347" s="1" t="s">
        <v>1714</v>
      </c>
      <c r="F347">
        <v>25008534</v>
      </c>
      <c r="G347" t="s">
        <v>127</v>
      </c>
      <c r="H347" s="17">
        <v>76493295000147</v>
      </c>
      <c r="I347" s="17">
        <v>9576274000106</v>
      </c>
      <c r="J347" t="s">
        <v>2</v>
      </c>
      <c r="K347" s="9" t="s">
        <v>1715</v>
      </c>
      <c r="L347" t="s">
        <v>44</v>
      </c>
      <c r="M347">
        <v>28952</v>
      </c>
      <c r="N347" s="2" t="s">
        <v>581</v>
      </c>
      <c r="O347" s="9" t="s">
        <v>1715</v>
      </c>
      <c r="P347" t="s">
        <v>1716</v>
      </c>
      <c r="T347" s="2"/>
      <c r="U347" s="2" t="s">
        <v>718</v>
      </c>
    </row>
    <row r="348" spans="1:21" x14ac:dyDescent="0.3">
      <c r="A348">
        <v>269308</v>
      </c>
      <c r="B348" t="s">
        <v>88</v>
      </c>
      <c r="C348" t="s">
        <v>159</v>
      </c>
      <c r="D348" t="s">
        <v>73</v>
      </c>
      <c r="E348" s="1" t="s">
        <v>1717</v>
      </c>
      <c r="F348">
        <v>25008395</v>
      </c>
      <c r="G348" t="s">
        <v>75</v>
      </c>
      <c r="H348" s="17">
        <v>7473735000858</v>
      </c>
      <c r="I348" s="17"/>
      <c r="J348" t="s">
        <v>2</v>
      </c>
      <c r="K348" s="9" t="s">
        <v>1718</v>
      </c>
      <c r="L348" t="s">
        <v>87</v>
      </c>
      <c r="N348" s="2"/>
      <c r="O348" s="9"/>
      <c r="T348" s="2"/>
      <c r="U348" s="2" t="s">
        <v>718</v>
      </c>
    </row>
    <row r="349" spans="1:21" x14ac:dyDescent="0.3">
      <c r="A349">
        <v>269308</v>
      </c>
      <c r="B349" t="s">
        <v>46</v>
      </c>
      <c r="C349" t="s">
        <v>194</v>
      </c>
      <c r="D349" t="s">
        <v>61</v>
      </c>
      <c r="E349" s="1" t="s">
        <v>1719</v>
      </c>
      <c r="F349">
        <v>25008343</v>
      </c>
      <c r="G349" t="s">
        <v>62</v>
      </c>
      <c r="H349" s="17">
        <v>79964177000591</v>
      </c>
      <c r="I349" s="17">
        <v>9576274000106</v>
      </c>
      <c r="J349" t="s">
        <v>2</v>
      </c>
      <c r="K349" s="9" t="s">
        <v>1720</v>
      </c>
      <c r="L349" t="s">
        <v>44</v>
      </c>
      <c r="M349">
        <v>820580</v>
      </c>
      <c r="N349" s="2" t="s">
        <v>581</v>
      </c>
      <c r="O349" s="9" t="s">
        <v>1720</v>
      </c>
      <c r="P349" t="s">
        <v>1721</v>
      </c>
      <c r="T349" s="2"/>
      <c r="U349" s="2" t="s">
        <v>718</v>
      </c>
    </row>
    <row r="350" spans="1:21" x14ac:dyDescent="0.3">
      <c r="A350">
        <v>269308</v>
      </c>
      <c r="B350" t="s">
        <v>46</v>
      </c>
      <c r="C350" t="s">
        <v>124</v>
      </c>
      <c r="D350" t="s">
        <v>40</v>
      </c>
      <c r="E350" s="1" t="s">
        <v>1722</v>
      </c>
      <c r="F350">
        <v>25008312</v>
      </c>
      <c r="G350" t="s">
        <v>42</v>
      </c>
      <c r="H350" s="17">
        <v>82156977000248</v>
      </c>
      <c r="I350" s="17">
        <v>90739624001432</v>
      </c>
      <c r="J350" t="s">
        <v>2</v>
      </c>
      <c r="K350" s="9" t="s">
        <v>1723</v>
      </c>
      <c r="L350" t="s">
        <v>44</v>
      </c>
      <c r="M350">
        <v>168560</v>
      </c>
      <c r="N350" s="2" t="s">
        <v>581</v>
      </c>
      <c r="O350" s="9" t="s">
        <v>1723</v>
      </c>
      <c r="P350" t="s">
        <v>1724</v>
      </c>
      <c r="T350" s="2"/>
      <c r="U350" s="2" t="s">
        <v>718</v>
      </c>
    </row>
    <row r="351" spans="1:21" x14ac:dyDescent="0.3">
      <c r="A351">
        <v>269308</v>
      </c>
      <c r="B351" t="s">
        <v>46</v>
      </c>
      <c r="C351" t="s">
        <v>597</v>
      </c>
      <c r="D351" t="s">
        <v>49</v>
      </c>
      <c r="E351" s="1" t="s">
        <v>1725</v>
      </c>
      <c r="F351">
        <v>25008106</v>
      </c>
      <c r="G351" t="s">
        <v>51</v>
      </c>
      <c r="H351" s="17">
        <v>2763612000161</v>
      </c>
      <c r="I351" s="17">
        <v>90739624003133</v>
      </c>
      <c r="J351" t="s">
        <v>2</v>
      </c>
      <c r="K351" s="9" t="s">
        <v>1631</v>
      </c>
      <c r="L351" t="s">
        <v>44</v>
      </c>
      <c r="M351">
        <v>163094</v>
      </c>
      <c r="N351" s="2" t="s">
        <v>581</v>
      </c>
      <c r="O351" s="9" t="s">
        <v>1631</v>
      </c>
      <c r="P351" t="s">
        <v>1726</v>
      </c>
      <c r="T351" s="2"/>
      <c r="U351" s="2" t="s">
        <v>718</v>
      </c>
    </row>
    <row r="352" spans="1:21" x14ac:dyDescent="0.3">
      <c r="A352">
        <v>269308</v>
      </c>
      <c r="B352" t="s">
        <v>46</v>
      </c>
      <c r="C352" t="s">
        <v>628</v>
      </c>
      <c r="D352" t="s">
        <v>170</v>
      </c>
      <c r="E352" s="1" t="s">
        <v>1727</v>
      </c>
      <c r="F352">
        <v>25007946</v>
      </c>
      <c r="G352" t="s">
        <v>178</v>
      </c>
      <c r="H352" s="17">
        <v>83392050000199</v>
      </c>
      <c r="I352" s="17">
        <v>90739624001432</v>
      </c>
      <c r="J352" t="s">
        <v>2</v>
      </c>
      <c r="K352" s="9" t="s">
        <v>1728</v>
      </c>
      <c r="L352" t="s">
        <v>44</v>
      </c>
      <c r="M352">
        <v>129827</v>
      </c>
      <c r="N352" s="2" t="s">
        <v>581</v>
      </c>
      <c r="O352" s="9" t="s">
        <v>1728</v>
      </c>
      <c r="P352" t="s">
        <v>1729</v>
      </c>
      <c r="T352" s="2"/>
      <c r="U352" s="2" t="s">
        <v>718</v>
      </c>
    </row>
    <row r="353" spans="1:21" x14ac:dyDescent="0.3">
      <c r="A353">
        <v>269308</v>
      </c>
      <c r="B353" t="s">
        <v>46</v>
      </c>
      <c r="C353" t="s">
        <v>265</v>
      </c>
      <c r="D353" t="s">
        <v>25</v>
      </c>
      <c r="E353" s="1" t="s">
        <v>1730</v>
      </c>
      <c r="F353">
        <v>25007921</v>
      </c>
      <c r="G353" t="s">
        <v>132</v>
      </c>
      <c r="H353" s="17">
        <v>10588554000105</v>
      </c>
      <c r="I353" s="17">
        <v>90739624003486</v>
      </c>
      <c r="J353" t="s">
        <v>2</v>
      </c>
      <c r="K353" s="9" t="s">
        <v>1731</v>
      </c>
      <c r="L353" t="s">
        <v>44</v>
      </c>
      <c r="M353">
        <v>34006</v>
      </c>
      <c r="N353" s="2" t="s">
        <v>581</v>
      </c>
      <c r="O353" s="9" t="s">
        <v>1731</v>
      </c>
      <c r="P353" t="s">
        <v>1732</v>
      </c>
      <c r="T353" s="2"/>
      <c r="U353" s="2" t="s">
        <v>718</v>
      </c>
    </row>
    <row r="354" spans="1:21" x14ac:dyDescent="0.3">
      <c r="A354">
        <v>269308</v>
      </c>
      <c r="B354" t="s">
        <v>46</v>
      </c>
      <c r="C354" t="s">
        <v>23</v>
      </c>
      <c r="D354" t="s">
        <v>22</v>
      </c>
      <c r="E354" s="1" t="s">
        <v>1733</v>
      </c>
      <c r="F354">
        <v>25007899</v>
      </c>
      <c r="G354" t="s">
        <v>1734</v>
      </c>
      <c r="H354" s="17">
        <v>6124016000516</v>
      </c>
      <c r="I354" s="17">
        <v>9576274000106</v>
      </c>
      <c r="J354" t="s">
        <v>2</v>
      </c>
      <c r="K354" s="9" t="s">
        <v>1735</v>
      </c>
      <c r="L354" t="s">
        <v>44</v>
      </c>
      <c r="M354">
        <v>39533</v>
      </c>
      <c r="N354" s="2" t="s">
        <v>581</v>
      </c>
      <c r="O354" s="9" t="s">
        <v>1735</v>
      </c>
      <c r="P354" t="s">
        <v>1736</v>
      </c>
      <c r="T354" s="2"/>
      <c r="U354" s="2" t="s">
        <v>718</v>
      </c>
    </row>
    <row r="355" spans="1:21" x14ac:dyDescent="0.3">
      <c r="A355">
        <v>269308</v>
      </c>
      <c r="B355" t="s">
        <v>46</v>
      </c>
      <c r="C355" t="s">
        <v>55</v>
      </c>
      <c r="D355" t="s">
        <v>31</v>
      </c>
      <c r="E355" s="1" t="s">
        <v>1737</v>
      </c>
      <c r="F355">
        <v>25007870</v>
      </c>
      <c r="G355" t="s">
        <v>56</v>
      </c>
      <c r="H355" s="17">
        <v>8603562000212</v>
      </c>
      <c r="I355" s="17">
        <v>90739624001866</v>
      </c>
      <c r="J355" t="s">
        <v>2</v>
      </c>
      <c r="K355" s="9" t="s">
        <v>1738</v>
      </c>
      <c r="L355" t="s">
        <v>44</v>
      </c>
      <c r="M355">
        <v>54844</v>
      </c>
      <c r="N355" s="2" t="s">
        <v>581</v>
      </c>
      <c r="O355" s="9" t="s">
        <v>1738</v>
      </c>
      <c r="P355" t="s">
        <v>1739</v>
      </c>
      <c r="T355" s="2"/>
      <c r="U355" s="2" t="s">
        <v>718</v>
      </c>
    </row>
    <row r="356" spans="1:21" x14ac:dyDescent="0.3">
      <c r="A356">
        <v>269308</v>
      </c>
      <c r="B356" t="s">
        <v>46</v>
      </c>
      <c r="C356" t="s">
        <v>544</v>
      </c>
      <c r="D356" t="s">
        <v>31</v>
      </c>
      <c r="E356" s="1" t="s">
        <v>1740</v>
      </c>
      <c r="F356">
        <v>25007720</v>
      </c>
      <c r="G356" t="s">
        <v>56</v>
      </c>
      <c r="H356" s="17">
        <v>8603562000212</v>
      </c>
      <c r="I356" s="17">
        <v>90739624001866</v>
      </c>
      <c r="J356" t="s">
        <v>2</v>
      </c>
      <c r="K356" s="9" t="s">
        <v>1741</v>
      </c>
      <c r="L356" t="s">
        <v>44</v>
      </c>
      <c r="M356">
        <v>54842</v>
      </c>
      <c r="N356" s="2" t="s">
        <v>581</v>
      </c>
      <c r="O356" s="9" t="s">
        <v>1741</v>
      </c>
      <c r="P356" t="s">
        <v>1742</v>
      </c>
      <c r="T356" s="2"/>
      <c r="U356" s="2" t="s">
        <v>718</v>
      </c>
    </row>
    <row r="357" spans="1:21" x14ac:dyDescent="0.3">
      <c r="A357">
        <v>269308</v>
      </c>
      <c r="B357" t="s">
        <v>46</v>
      </c>
      <c r="C357" t="s">
        <v>476</v>
      </c>
      <c r="D357" t="s">
        <v>170</v>
      </c>
      <c r="E357" s="1" t="s">
        <v>1743</v>
      </c>
      <c r="F357">
        <v>25007717</v>
      </c>
      <c r="G357" t="s">
        <v>178</v>
      </c>
      <c r="H357" s="17">
        <v>83392050000199</v>
      </c>
      <c r="I357" s="17">
        <v>90739624001432</v>
      </c>
      <c r="J357" t="s">
        <v>2</v>
      </c>
      <c r="K357" s="9" t="s">
        <v>1744</v>
      </c>
      <c r="L357" t="s">
        <v>44</v>
      </c>
      <c r="M357">
        <v>129823</v>
      </c>
      <c r="N357" s="2" t="s">
        <v>581</v>
      </c>
      <c r="O357" s="9" t="s">
        <v>1744</v>
      </c>
      <c r="P357" t="s">
        <v>1745</v>
      </c>
      <c r="T357" s="2"/>
      <c r="U357" s="2" t="s">
        <v>718</v>
      </c>
    </row>
    <row r="358" spans="1:21" x14ac:dyDescent="0.3">
      <c r="A358">
        <v>269308</v>
      </c>
      <c r="B358" t="s">
        <v>46</v>
      </c>
      <c r="C358" t="s">
        <v>276</v>
      </c>
      <c r="D358" t="s">
        <v>63</v>
      </c>
      <c r="E358" s="1" t="s">
        <v>1746</v>
      </c>
      <c r="F358">
        <v>25007715</v>
      </c>
      <c r="G358" t="s">
        <v>64</v>
      </c>
      <c r="H358" s="17">
        <v>23448964001921</v>
      </c>
      <c r="I358" s="17">
        <v>90739624001432</v>
      </c>
      <c r="J358" t="s">
        <v>2</v>
      </c>
      <c r="K358" s="9" t="s">
        <v>1747</v>
      </c>
      <c r="L358" t="s">
        <v>44</v>
      </c>
      <c r="M358">
        <v>179382</v>
      </c>
      <c r="N358" s="2" t="s">
        <v>581</v>
      </c>
      <c r="O358" s="9" t="s">
        <v>1747</v>
      </c>
      <c r="P358" t="s">
        <v>1748</v>
      </c>
      <c r="T358" s="2"/>
      <c r="U358" s="2" t="s">
        <v>718</v>
      </c>
    </row>
    <row r="359" spans="1:21" x14ac:dyDescent="0.3">
      <c r="A359">
        <v>269308</v>
      </c>
      <c r="B359" t="s">
        <v>46</v>
      </c>
      <c r="C359" t="s">
        <v>173</v>
      </c>
      <c r="D359" t="s">
        <v>61</v>
      </c>
      <c r="E359" s="1" t="s">
        <v>1749</v>
      </c>
      <c r="F359">
        <v>25007712</v>
      </c>
      <c r="G359" t="s">
        <v>85</v>
      </c>
      <c r="H359" s="17">
        <v>1975878000105</v>
      </c>
      <c r="I359" s="17">
        <v>9576274000106</v>
      </c>
      <c r="J359" t="s">
        <v>2</v>
      </c>
      <c r="K359" s="9" t="s">
        <v>1750</v>
      </c>
      <c r="L359" t="s">
        <v>44</v>
      </c>
      <c r="M359">
        <v>2526</v>
      </c>
      <c r="N359" s="2" t="s">
        <v>581</v>
      </c>
      <c r="O359" s="9" t="s">
        <v>1750</v>
      </c>
      <c r="P359" t="s">
        <v>1751</v>
      </c>
      <c r="T359" s="2"/>
      <c r="U359" s="2" t="s">
        <v>718</v>
      </c>
    </row>
    <row r="360" spans="1:21" x14ac:dyDescent="0.3">
      <c r="A360">
        <v>269308</v>
      </c>
      <c r="B360" t="s">
        <v>46</v>
      </c>
      <c r="C360" t="s">
        <v>547</v>
      </c>
      <c r="D360" t="s">
        <v>28</v>
      </c>
      <c r="E360" s="1" t="s">
        <v>1752</v>
      </c>
      <c r="F360">
        <v>25007708</v>
      </c>
      <c r="G360" t="s">
        <v>48</v>
      </c>
      <c r="H360" s="17">
        <v>1272434001002</v>
      </c>
      <c r="I360" s="17">
        <v>90739624001947</v>
      </c>
      <c r="J360" t="s">
        <v>2</v>
      </c>
      <c r="K360" s="9" t="s">
        <v>1753</v>
      </c>
      <c r="L360" t="s">
        <v>44</v>
      </c>
      <c r="M360">
        <v>81346</v>
      </c>
      <c r="N360" s="2" t="s">
        <v>581</v>
      </c>
      <c r="O360" s="9" t="s">
        <v>1753</v>
      </c>
      <c r="P360" t="s">
        <v>1754</v>
      </c>
      <c r="T360" s="2"/>
      <c r="U360" s="2" t="s">
        <v>718</v>
      </c>
    </row>
    <row r="361" spans="1:21" x14ac:dyDescent="0.3">
      <c r="A361">
        <v>269308</v>
      </c>
      <c r="B361" t="s">
        <v>46</v>
      </c>
      <c r="C361" t="s">
        <v>114</v>
      </c>
      <c r="D361" t="s">
        <v>99</v>
      </c>
      <c r="E361" s="1" t="s">
        <v>1755</v>
      </c>
      <c r="F361">
        <v>25007595</v>
      </c>
      <c r="G361" t="s">
        <v>507</v>
      </c>
      <c r="H361" s="17">
        <v>3626094001330</v>
      </c>
      <c r="I361" s="17">
        <v>9576274000106</v>
      </c>
      <c r="J361" t="s">
        <v>2</v>
      </c>
      <c r="K361" s="9" t="s">
        <v>1756</v>
      </c>
      <c r="L361" t="s">
        <v>44</v>
      </c>
      <c r="M361">
        <v>50570</v>
      </c>
      <c r="N361" s="2" t="s">
        <v>581</v>
      </c>
      <c r="O361" s="9" t="s">
        <v>1756</v>
      </c>
      <c r="P361" t="s">
        <v>1757</v>
      </c>
      <c r="T361" s="2"/>
      <c r="U361" s="2" t="s">
        <v>718</v>
      </c>
    </row>
    <row r="362" spans="1:21" x14ac:dyDescent="0.3">
      <c r="A362">
        <v>269308</v>
      </c>
      <c r="B362" t="s">
        <v>46</v>
      </c>
      <c r="C362" t="s">
        <v>246</v>
      </c>
      <c r="D362" t="s">
        <v>40</v>
      </c>
      <c r="E362" s="1" t="s">
        <v>1758</v>
      </c>
      <c r="F362">
        <v>25007504</v>
      </c>
      <c r="G362" t="s">
        <v>42</v>
      </c>
      <c r="H362" s="17">
        <v>82156977000248</v>
      </c>
      <c r="I362" s="17">
        <v>90739624001432</v>
      </c>
      <c r="J362" t="s">
        <v>2</v>
      </c>
      <c r="K362" s="9" t="s">
        <v>1759</v>
      </c>
      <c r="L362" t="s">
        <v>44</v>
      </c>
      <c r="M362">
        <v>169168</v>
      </c>
      <c r="N362" s="2" t="s">
        <v>1760</v>
      </c>
      <c r="O362" s="9" t="s">
        <v>1759</v>
      </c>
      <c r="P362" t="s">
        <v>1761</v>
      </c>
      <c r="T362" s="2"/>
      <c r="U362" s="2" t="s">
        <v>718</v>
      </c>
    </row>
    <row r="363" spans="1:21" x14ac:dyDescent="0.3">
      <c r="A363">
        <v>269308</v>
      </c>
      <c r="B363" t="s">
        <v>88</v>
      </c>
      <c r="C363" t="s">
        <v>372</v>
      </c>
      <c r="D363" t="s">
        <v>58</v>
      </c>
      <c r="E363" s="1" t="s">
        <v>1762</v>
      </c>
      <c r="F363">
        <v>25007398</v>
      </c>
      <c r="G363" t="s">
        <v>629</v>
      </c>
      <c r="H363" s="17">
        <v>7473735021260</v>
      </c>
      <c r="I363" s="17"/>
      <c r="J363" t="s">
        <v>2</v>
      </c>
      <c r="K363" s="9" t="s">
        <v>1763</v>
      </c>
      <c r="L363" t="s">
        <v>87</v>
      </c>
      <c r="N363" s="2"/>
      <c r="O363" s="9"/>
      <c r="T363" s="2"/>
      <c r="U363" s="2" t="s">
        <v>718</v>
      </c>
    </row>
    <row r="364" spans="1:21" x14ac:dyDescent="0.3">
      <c r="A364">
        <v>269308</v>
      </c>
      <c r="B364" t="s">
        <v>46</v>
      </c>
      <c r="C364" t="s">
        <v>251</v>
      </c>
      <c r="D364" t="s">
        <v>8</v>
      </c>
      <c r="E364" s="1" t="s">
        <v>1764</v>
      </c>
      <c r="F364">
        <v>25007391</v>
      </c>
      <c r="G364" t="s">
        <v>333</v>
      </c>
      <c r="H364" s="17">
        <v>2764141000106</v>
      </c>
      <c r="I364" s="17">
        <v>9576274000106</v>
      </c>
      <c r="J364" t="s">
        <v>2</v>
      </c>
      <c r="K364" s="9" t="s">
        <v>1765</v>
      </c>
      <c r="L364" t="s">
        <v>44</v>
      </c>
      <c r="M364">
        <v>839167</v>
      </c>
      <c r="N364" s="2" t="s">
        <v>583</v>
      </c>
      <c r="O364" s="9" t="s">
        <v>1765</v>
      </c>
      <c r="P364" t="s">
        <v>1766</v>
      </c>
      <c r="T364" s="2"/>
      <c r="U364" s="2" t="s">
        <v>718</v>
      </c>
    </row>
    <row r="365" spans="1:21" x14ac:dyDescent="0.3">
      <c r="A365">
        <v>269308</v>
      </c>
      <c r="B365" t="s">
        <v>88</v>
      </c>
      <c r="C365" t="s">
        <v>148</v>
      </c>
      <c r="D365" t="s">
        <v>73</v>
      </c>
      <c r="E365" s="1" t="s">
        <v>1767</v>
      </c>
      <c r="F365">
        <v>25007243</v>
      </c>
      <c r="G365" t="s">
        <v>1768</v>
      </c>
      <c r="H365" s="17">
        <v>7473735024528</v>
      </c>
      <c r="I365" s="17"/>
      <c r="J365" t="s">
        <v>17</v>
      </c>
      <c r="K365" s="9" t="s">
        <v>1769</v>
      </c>
      <c r="L365" t="s">
        <v>87</v>
      </c>
      <c r="N365" s="2"/>
      <c r="O365" s="9"/>
      <c r="T365" s="2"/>
      <c r="U365" s="2" t="s">
        <v>718</v>
      </c>
    </row>
    <row r="366" spans="1:21" x14ac:dyDescent="0.3">
      <c r="A366">
        <v>269308</v>
      </c>
      <c r="B366" t="s">
        <v>46</v>
      </c>
      <c r="C366" t="s">
        <v>19</v>
      </c>
      <c r="D366" t="s">
        <v>18</v>
      </c>
      <c r="E366" s="1" t="s">
        <v>1770</v>
      </c>
      <c r="F366">
        <v>25007237</v>
      </c>
      <c r="G366" t="s">
        <v>54</v>
      </c>
      <c r="H366" s="17">
        <v>79130647000198</v>
      </c>
      <c r="I366" s="17">
        <v>9576274000106</v>
      </c>
      <c r="J366" t="s">
        <v>2</v>
      </c>
      <c r="K366" s="9" t="s">
        <v>1088</v>
      </c>
      <c r="L366" t="s">
        <v>44</v>
      </c>
      <c r="M366">
        <v>16833</v>
      </c>
      <c r="N366" s="2" t="s">
        <v>581</v>
      </c>
      <c r="O366" s="9" t="s">
        <v>1088</v>
      </c>
      <c r="P366" t="s">
        <v>1771</v>
      </c>
      <c r="T366" s="2"/>
      <c r="U366" s="2" t="s">
        <v>718</v>
      </c>
    </row>
    <row r="367" spans="1:21" x14ac:dyDescent="0.3">
      <c r="A367">
        <v>269308</v>
      </c>
      <c r="B367" t="s">
        <v>46</v>
      </c>
      <c r="C367" t="s">
        <v>509</v>
      </c>
      <c r="D367" t="s">
        <v>100</v>
      </c>
      <c r="E367" s="1" t="s">
        <v>1772</v>
      </c>
      <c r="F367">
        <v>25007235</v>
      </c>
      <c r="G367" t="s">
        <v>241</v>
      </c>
      <c r="H367" s="17">
        <v>14948822000103</v>
      </c>
      <c r="I367" s="17">
        <v>90739624001866</v>
      </c>
      <c r="J367" t="s">
        <v>2</v>
      </c>
      <c r="K367" s="9" t="s">
        <v>1773</v>
      </c>
      <c r="L367" t="s">
        <v>44</v>
      </c>
      <c r="M367">
        <v>154913</v>
      </c>
      <c r="N367" s="2" t="s">
        <v>581</v>
      </c>
      <c r="O367" s="9" t="s">
        <v>1773</v>
      </c>
      <c r="P367" t="s">
        <v>1774</v>
      </c>
      <c r="T367" s="2"/>
      <c r="U367" s="2" t="s">
        <v>718</v>
      </c>
    </row>
    <row r="368" spans="1:21" x14ac:dyDescent="0.3">
      <c r="A368">
        <v>269308</v>
      </c>
      <c r="B368" t="s">
        <v>88</v>
      </c>
      <c r="C368" t="s">
        <v>148</v>
      </c>
      <c r="D368" t="s">
        <v>73</v>
      </c>
      <c r="E368" s="1" t="s">
        <v>1775</v>
      </c>
      <c r="F368">
        <v>25007210</v>
      </c>
      <c r="G368" t="s">
        <v>1768</v>
      </c>
      <c r="H368" s="17">
        <v>7473735024528</v>
      </c>
      <c r="I368" s="17"/>
      <c r="J368" t="s">
        <v>2</v>
      </c>
      <c r="K368" s="9" t="s">
        <v>1776</v>
      </c>
      <c r="L368" t="s">
        <v>87</v>
      </c>
      <c r="N368" s="2"/>
      <c r="O368" s="9"/>
      <c r="T368" s="2"/>
      <c r="U368" s="2" t="s">
        <v>718</v>
      </c>
    </row>
    <row r="369" spans="1:21" x14ac:dyDescent="0.3">
      <c r="A369">
        <v>269308</v>
      </c>
      <c r="B369" t="s">
        <v>46</v>
      </c>
      <c r="C369" t="s">
        <v>511</v>
      </c>
      <c r="D369" t="s">
        <v>28</v>
      </c>
      <c r="E369" s="1" t="s">
        <v>1777</v>
      </c>
      <c r="F369">
        <v>25007173</v>
      </c>
      <c r="G369" t="s">
        <v>339</v>
      </c>
      <c r="H369" s="17">
        <v>53741408000180</v>
      </c>
      <c r="I369" s="17">
        <v>90739624001947</v>
      </c>
      <c r="J369" t="s">
        <v>2</v>
      </c>
      <c r="K369" s="9" t="s">
        <v>1778</v>
      </c>
      <c r="L369" t="s">
        <v>44</v>
      </c>
      <c r="M369">
        <v>9279</v>
      </c>
      <c r="N369" s="2" t="s">
        <v>581</v>
      </c>
      <c r="O369" s="9" t="s">
        <v>1779</v>
      </c>
      <c r="P369" t="s">
        <v>1780</v>
      </c>
      <c r="T369" s="2"/>
      <c r="U369" s="2" t="s">
        <v>718</v>
      </c>
    </row>
    <row r="370" spans="1:21" x14ac:dyDescent="0.3">
      <c r="A370">
        <v>269308</v>
      </c>
      <c r="B370" t="s">
        <v>46</v>
      </c>
      <c r="C370" t="s">
        <v>336</v>
      </c>
      <c r="D370" t="s">
        <v>13</v>
      </c>
      <c r="E370" s="1" t="s">
        <v>1781</v>
      </c>
      <c r="F370">
        <v>25007019</v>
      </c>
      <c r="G370" t="s">
        <v>337</v>
      </c>
      <c r="H370" s="17">
        <v>6068493000188</v>
      </c>
      <c r="I370" s="17">
        <v>90739624000380</v>
      </c>
      <c r="J370" t="s">
        <v>17</v>
      </c>
      <c r="K370" s="9" t="s">
        <v>1782</v>
      </c>
      <c r="L370" t="s">
        <v>44</v>
      </c>
      <c r="M370">
        <v>264137</v>
      </c>
      <c r="N370" s="2" t="s">
        <v>602</v>
      </c>
      <c r="O370" s="9" t="s">
        <v>1783</v>
      </c>
      <c r="P370" t="s">
        <v>1784</v>
      </c>
      <c r="T370" s="2"/>
      <c r="U370" s="2" t="s">
        <v>718</v>
      </c>
    </row>
    <row r="371" spans="1:21" x14ac:dyDescent="0.3">
      <c r="A371">
        <v>269308</v>
      </c>
      <c r="B371" t="s">
        <v>46</v>
      </c>
      <c r="C371" t="s">
        <v>336</v>
      </c>
      <c r="D371" t="s">
        <v>13</v>
      </c>
      <c r="E371" s="1" t="s">
        <v>1785</v>
      </c>
      <c r="F371">
        <v>25007012</v>
      </c>
      <c r="G371" t="s">
        <v>337</v>
      </c>
      <c r="H371" s="17">
        <v>6068493000188</v>
      </c>
      <c r="I371" s="17">
        <v>90739624000380</v>
      </c>
      <c r="J371" t="s">
        <v>2</v>
      </c>
      <c r="K371" s="9" t="s">
        <v>1786</v>
      </c>
      <c r="L371" t="s">
        <v>44</v>
      </c>
      <c r="M371">
        <v>264137</v>
      </c>
      <c r="N371" s="2" t="s">
        <v>602</v>
      </c>
      <c r="O371" s="9" t="s">
        <v>1783</v>
      </c>
      <c r="P371" t="s">
        <v>1784</v>
      </c>
      <c r="T371" s="2"/>
      <c r="U371" s="2" t="s">
        <v>718</v>
      </c>
    </row>
    <row r="372" spans="1:21" x14ac:dyDescent="0.3">
      <c r="A372">
        <v>269308</v>
      </c>
      <c r="B372" t="s">
        <v>46</v>
      </c>
      <c r="C372" t="s">
        <v>91</v>
      </c>
      <c r="D372" t="s">
        <v>28</v>
      </c>
      <c r="E372" s="1" t="s">
        <v>1787</v>
      </c>
      <c r="F372">
        <v>25006846</v>
      </c>
      <c r="G372" t="s">
        <v>92</v>
      </c>
      <c r="H372" s="17">
        <v>2310460000141</v>
      </c>
      <c r="I372" s="17">
        <v>90739624001947</v>
      </c>
      <c r="J372" t="s">
        <v>2</v>
      </c>
      <c r="K372" s="9" t="s">
        <v>1788</v>
      </c>
      <c r="L372" t="s">
        <v>44</v>
      </c>
      <c r="M372">
        <v>53811</v>
      </c>
      <c r="N372" s="2" t="s">
        <v>581</v>
      </c>
      <c r="O372" s="9" t="s">
        <v>1788</v>
      </c>
      <c r="P372" t="s">
        <v>1789</v>
      </c>
      <c r="T372" s="2"/>
      <c r="U372" s="2" t="s">
        <v>718</v>
      </c>
    </row>
    <row r="373" spans="1:21" x14ac:dyDescent="0.3">
      <c r="A373">
        <v>269308</v>
      </c>
      <c r="B373" t="s">
        <v>46</v>
      </c>
      <c r="C373" t="s">
        <v>175</v>
      </c>
      <c r="D373" t="s">
        <v>174</v>
      </c>
      <c r="E373" s="1" t="s">
        <v>1790</v>
      </c>
      <c r="F373">
        <v>25006836</v>
      </c>
      <c r="G373" t="s">
        <v>268</v>
      </c>
      <c r="H373" s="17">
        <v>4985282000184</v>
      </c>
      <c r="I373" s="17">
        <v>90739624000118</v>
      </c>
      <c r="J373" t="s">
        <v>2</v>
      </c>
      <c r="K373" s="9" t="s">
        <v>685</v>
      </c>
      <c r="L373" t="s">
        <v>44</v>
      </c>
      <c r="M373">
        <v>5578</v>
      </c>
      <c r="N373" s="2" t="s">
        <v>581</v>
      </c>
      <c r="O373" s="9" t="s">
        <v>685</v>
      </c>
      <c r="P373" t="s">
        <v>1791</v>
      </c>
      <c r="T373" s="2"/>
      <c r="U373" s="2" t="s">
        <v>718</v>
      </c>
    </row>
    <row r="374" spans="1:21" x14ac:dyDescent="0.3">
      <c r="A374">
        <v>269308</v>
      </c>
      <c r="B374" t="s">
        <v>88</v>
      </c>
      <c r="C374" t="s">
        <v>291</v>
      </c>
      <c r="D374" t="s">
        <v>170</v>
      </c>
      <c r="E374" s="1" t="s">
        <v>1792</v>
      </c>
      <c r="F374">
        <v>25006621</v>
      </c>
      <c r="G374" t="s">
        <v>492</v>
      </c>
      <c r="H374" s="17">
        <v>7473735004098</v>
      </c>
      <c r="I374" s="17"/>
      <c r="J374" t="s">
        <v>2</v>
      </c>
      <c r="K374" s="9" t="s">
        <v>1793</v>
      </c>
      <c r="L374" t="s">
        <v>87</v>
      </c>
      <c r="N374" s="2"/>
      <c r="O374" s="9"/>
      <c r="T374" s="2"/>
      <c r="U374" s="2" t="s">
        <v>718</v>
      </c>
    </row>
    <row r="375" spans="1:21" x14ac:dyDescent="0.3">
      <c r="A375">
        <v>269308</v>
      </c>
      <c r="B375" t="s">
        <v>46</v>
      </c>
      <c r="C375" t="s">
        <v>97</v>
      </c>
      <c r="D375" t="s">
        <v>28</v>
      </c>
      <c r="E375" s="1" t="s">
        <v>1794</v>
      </c>
      <c r="F375">
        <v>25006530</v>
      </c>
      <c r="G375" t="s">
        <v>98</v>
      </c>
      <c r="H375" s="17">
        <v>26914325000173</v>
      </c>
      <c r="I375" s="17">
        <v>90739624001947</v>
      </c>
      <c r="J375" t="s">
        <v>2</v>
      </c>
      <c r="K375" s="9" t="s">
        <v>589</v>
      </c>
      <c r="L375" t="s">
        <v>44</v>
      </c>
      <c r="M375">
        <v>42934</v>
      </c>
      <c r="N375" s="2" t="s">
        <v>792</v>
      </c>
      <c r="O375" s="9" t="s">
        <v>589</v>
      </c>
      <c r="P375" t="s">
        <v>1795</v>
      </c>
      <c r="T375" s="2"/>
      <c r="U375" s="2" t="s">
        <v>718</v>
      </c>
    </row>
    <row r="376" spans="1:21" x14ac:dyDescent="0.3">
      <c r="A376">
        <v>269308</v>
      </c>
      <c r="B376" t="s">
        <v>46</v>
      </c>
      <c r="C376" t="s">
        <v>326</v>
      </c>
      <c r="D376" t="s">
        <v>52</v>
      </c>
      <c r="E376" s="1" t="s">
        <v>1796</v>
      </c>
      <c r="F376">
        <v>25006509</v>
      </c>
      <c r="G376" t="s">
        <v>54</v>
      </c>
      <c r="H376" s="17">
        <v>79130647000198</v>
      </c>
      <c r="I376" s="17">
        <v>9576274000106</v>
      </c>
      <c r="J376" t="s">
        <v>17</v>
      </c>
      <c r="K376" s="9" t="s">
        <v>1797</v>
      </c>
      <c r="L376" t="s">
        <v>44</v>
      </c>
      <c r="M376">
        <v>16832</v>
      </c>
      <c r="N376" s="2" t="s">
        <v>581</v>
      </c>
      <c r="O376" s="9" t="s">
        <v>1797</v>
      </c>
      <c r="P376" t="s">
        <v>1798</v>
      </c>
      <c r="T376" s="2"/>
      <c r="U376" s="2" t="s">
        <v>718</v>
      </c>
    </row>
    <row r="377" spans="1:21" x14ac:dyDescent="0.3">
      <c r="A377">
        <v>269308</v>
      </c>
      <c r="B377" t="s">
        <v>46</v>
      </c>
      <c r="C377" t="s">
        <v>326</v>
      </c>
      <c r="D377" t="s">
        <v>52</v>
      </c>
      <c r="E377" s="1" t="s">
        <v>1799</v>
      </c>
      <c r="F377">
        <v>25006390</v>
      </c>
      <c r="G377" t="s">
        <v>54</v>
      </c>
      <c r="H377" s="17">
        <v>79130647000198</v>
      </c>
      <c r="I377" s="17">
        <v>9576274000106</v>
      </c>
      <c r="J377" t="s">
        <v>2</v>
      </c>
      <c r="K377" s="9" t="s">
        <v>1800</v>
      </c>
      <c r="L377" t="s">
        <v>44</v>
      </c>
      <c r="M377">
        <v>16831</v>
      </c>
      <c r="N377" s="2" t="s">
        <v>581</v>
      </c>
      <c r="O377" s="9" t="s">
        <v>1800</v>
      </c>
      <c r="P377" t="s">
        <v>1801</v>
      </c>
      <c r="T377" s="2"/>
      <c r="U377" s="2" t="s">
        <v>718</v>
      </c>
    </row>
    <row r="378" spans="1:21" x14ac:dyDescent="0.3">
      <c r="A378">
        <v>269308</v>
      </c>
      <c r="B378" t="s">
        <v>46</v>
      </c>
      <c r="C378" t="s">
        <v>104</v>
      </c>
      <c r="D378" t="s">
        <v>63</v>
      </c>
      <c r="E378" s="1" t="s">
        <v>1802</v>
      </c>
      <c r="F378">
        <v>25006199</v>
      </c>
      <c r="G378" t="s">
        <v>482</v>
      </c>
      <c r="H378" s="17">
        <v>93489243007471</v>
      </c>
      <c r="I378" s="17">
        <v>90739624002323</v>
      </c>
      <c r="J378" t="s">
        <v>17</v>
      </c>
      <c r="K378" s="9" t="s">
        <v>1803</v>
      </c>
      <c r="L378" t="s">
        <v>44</v>
      </c>
      <c r="M378">
        <v>4432</v>
      </c>
      <c r="N378" s="2" t="s">
        <v>581</v>
      </c>
      <c r="O378" s="9" t="s">
        <v>1803</v>
      </c>
      <c r="P378" t="s">
        <v>1804</v>
      </c>
      <c r="T378" s="2"/>
      <c r="U378" s="2" t="s">
        <v>718</v>
      </c>
    </row>
    <row r="379" spans="1:21" x14ac:dyDescent="0.3">
      <c r="A379">
        <v>269308</v>
      </c>
      <c r="B379" t="s">
        <v>46</v>
      </c>
      <c r="C379" t="s">
        <v>271</v>
      </c>
      <c r="D379" t="s">
        <v>0</v>
      </c>
      <c r="E379" s="1" t="s">
        <v>1805</v>
      </c>
      <c r="F379">
        <v>25006080</v>
      </c>
      <c r="G379" t="s">
        <v>461</v>
      </c>
      <c r="H379" s="17">
        <v>1172040000183</v>
      </c>
      <c r="I379" s="17">
        <v>90739624001432</v>
      </c>
      <c r="J379" t="s">
        <v>2</v>
      </c>
      <c r="K379" s="9" t="s">
        <v>1806</v>
      </c>
      <c r="L379" t="s">
        <v>44</v>
      </c>
      <c r="M379">
        <v>52872</v>
      </c>
      <c r="N379" s="2" t="s">
        <v>581</v>
      </c>
      <c r="O379" s="9" t="s">
        <v>1806</v>
      </c>
      <c r="P379" t="s">
        <v>1807</v>
      </c>
      <c r="T379" s="2"/>
      <c r="U379" s="2" t="s">
        <v>718</v>
      </c>
    </row>
    <row r="380" spans="1:21" x14ac:dyDescent="0.3">
      <c r="A380">
        <v>269308</v>
      </c>
      <c r="B380" t="s">
        <v>46</v>
      </c>
      <c r="C380" t="s">
        <v>104</v>
      </c>
      <c r="D380" t="s">
        <v>63</v>
      </c>
      <c r="E380" s="1" t="s">
        <v>1808</v>
      </c>
      <c r="F380">
        <v>25006071</v>
      </c>
      <c r="G380" t="s">
        <v>482</v>
      </c>
      <c r="H380" s="17">
        <v>93489243007471</v>
      </c>
      <c r="I380" s="17">
        <v>90739624002323</v>
      </c>
      <c r="J380" t="s">
        <v>2</v>
      </c>
      <c r="K380" s="9" t="s">
        <v>1809</v>
      </c>
      <c r="L380" t="s">
        <v>44</v>
      </c>
      <c r="M380">
        <v>4431</v>
      </c>
      <c r="N380" s="2" t="s">
        <v>581</v>
      </c>
      <c r="O380" s="9" t="s">
        <v>1809</v>
      </c>
      <c r="P380" t="s">
        <v>1810</v>
      </c>
      <c r="T380" s="2"/>
      <c r="U380" s="2" t="s">
        <v>718</v>
      </c>
    </row>
    <row r="381" spans="1:21" x14ac:dyDescent="0.3">
      <c r="A381">
        <v>269308</v>
      </c>
      <c r="B381" t="s">
        <v>46</v>
      </c>
      <c r="C381" t="s">
        <v>474</v>
      </c>
      <c r="D381" t="s">
        <v>99</v>
      </c>
      <c r="E381" s="1" t="s">
        <v>1811</v>
      </c>
      <c r="F381">
        <v>25006046</v>
      </c>
      <c r="G381" t="s">
        <v>507</v>
      </c>
      <c r="H381" s="17">
        <v>3626094001330</v>
      </c>
      <c r="I381" s="17">
        <v>9576274000106</v>
      </c>
      <c r="J381" t="s">
        <v>2</v>
      </c>
      <c r="K381" s="9" t="s">
        <v>1812</v>
      </c>
      <c r="L381" t="s">
        <v>44</v>
      </c>
      <c r="M381">
        <v>50568</v>
      </c>
      <c r="N381" s="2" t="s">
        <v>581</v>
      </c>
      <c r="O381" s="9" t="s">
        <v>1812</v>
      </c>
      <c r="P381" t="s">
        <v>1813</v>
      </c>
      <c r="T381" s="2"/>
      <c r="U381" s="2" t="s">
        <v>718</v>
      </c>
    </row>
    <row r="382" spans="1:21" x14ac:dyDescent="0.3">
      <c r="A382">
        <v>269308</v>
      </c>
      <c r="B382" t="s">
        <v>46</v>
      </c>
      <c r="C382" t="s">
        <v>289</v>
      </c>
      <c r="D382" t="s">
        <v>61</v>
      </c>
      <c r="E382" s="1" t="s">
        <v>1814</v>
      </c>
      <c r="F382">
        <v>25005784</v>
      </c>
      <c r="G382" t="s">
        <v>62</v>
      </c>
      <c r="H382" s="17">
        <v>79964177000591</v>
      </c>
      <c r="I382" s="17">
        <v>9576274000106</v>
      </c>
      <c r="J382" t="s">
        <v>2</v>
      </c>
      <c r="K382" s="9" t="s">
        <v>1815</v>
      </c>
      <c r="L382" t="s">
        <v>44</v>
      </c>
      <c r="M382">
        <v>820567</v>
      </c>
      <c r="N382" s="2" t="s">
        <v>581</v>
      </c>
      <c r="O382" s="9" t="s">
        <v>1816</v>
      </c>
      <c r="P382" t="s">
        <v>1817</v>
      </c>
      <c r="T382" s="2"/>
      <c r="U382" s="2" t="s">
        <v>718</v>
      </c>
    </row>
    <row r="383" spans="1:21" x14ac:dyDescent="0.3">
      <c r="A383">
        <v>269308</v>
      </c>
      <c r="B383" t="s">
        <v>88</v>
      </c>
      <c r="C383" t="s">
        <v>112</v>
      </c>
      <c r="D383" t="s">
        <v>100</v>
      </c>
      <c r="E383" s="1" t="s">
        <v>1818</v>
      </c>
      <c r="F383">
        <v>25005358</v>
      </c>
      <c r="G383" t="s">
        <v>113</v>
      </c>
      <c r="H383" s="17">
        <v>20499184000193</v>
      </c>
      <c r="I383" s="17"/>
      <c r="J383" t="s">
        <v>2</v>
      </c>
      <c r="K383" s="9" t="s">
        <v>1819</v>
      </c>
      <c r="L383" t="s">
        <v>87</v>
      </c>
      <c r="N383" s="2"/>
      <c r="O383" s="9"/>
      <c r="T383" s="2"/>
      <c r="U383" s="2" t="s">
        <v>718</v>
      </c>
    </row>
    <row r="384" spans="1:21" x14ac:dyDescent="0.3">
      <c r="A384">
        <v>269308</v>
      </c>
      <c r="B384" t="s">
        <v>46</v>
      </c>
      <c r="C384" t="s">
        <v>576</v>
      </c>
      <c r="D384" t="s">
        <v>61</v>
      </c>
      <c r="E384" s="1" t="s">
        <v>1820</v>
      </c>
      <c r="F384">
        <v>25002032</v>
      </c>
      <c r="G384" t="s">
        <v>85</v>
      </c>
      <c r="H384" s="17">
        <v>1975878000105</v>
      </c>
      <c r="I384" s="17">
        <v>9576274000106</v>
      </c>
      <c r="J384" t="s">
        <v>2</v>
      </c>
      <c r="K384" s="9" t="s">
        <v>1821</v>
      </c>
      <c r="L384" t="s">
        <v>44</v>
      </c>
      <c r="M384">
        <v>2525</v>
      </c>
      <c r="N384" s="2" t="s">
        <v>581</v>
      </c>
      <c r="O384" s="9" t="s">
        <v>1822</v>
      </c>
      <c r="P384" t="s">
        <v>1823</v>
      </c>
      <c r="T384" s="2"/>
      <c r="U384" s="2" t="s">
        <v>718</v>
      </c>
    </row>
    <row r="385" spans="1:21" x14ac:dyDescent="0.3">
      <c r="A385">
        <v>269308</v>
      </c>
      <c r="B385" t="s">
        <v>46</v>
      </c>
      <c r="C385" t="s">
        <v>256</v>
      </c>
      <c r="D385" t="s">
        <v>174</v>
      </c>
      <c r="E385" s="1" t="s">
        <v>1824</v>
      </c>
      <c r="F385">
        <v>25001972</v>
      </c>
      <c r="G385" t="s">
        <v>346</v>
      </c>
      <c r="H385" s="17">
        <v>8318079000105</v>
      </c>
      <c r="I385" s="17">
        <v>90739624000118</v>
      </c>
      <c r="J385" t="s">
        <v>2</v>
      </c>
      <c r="K385" s="9" t="s">
        <v>1825</v>
      </c>
      <c r="L385" t="s">
        <v>44</v>
      </c>
      <c r="M385">
        <v>8348</v>
      </c>
      <c r="N385" s="2" t="s">
        <v>581</v>
      </c>
      <c r="O385" s="9" t="s">
        <v>1825</v>
      </c>
      <c r="P385" t="s">
        <v>1826</v>
      </c>
      <c r="T385" s="2"/>
      <c r="U385" s="2" t="s">
        <v>718</v>
      </c>
    </row>
    <row r="386" spans="1:21" x14ac:dyDescent="0.3">
      <c r="A386">
        <v>269308</v>
      </c>
      <c r="B386" t="s">
        <v>88</v>
      </c>
      <c r="C386" t="s">
        <v>335</v>
      </c>
      <c r="D386" t="s">
        <v>65</v>
      </c>
      <c r="E386" s="1" t="s">
        <v>1827</v>
      </c>
      <c r="F386">
        <v>25001539</v>
      </c>
      <c r="G386" t="s">
        <v>67</v>
      </c>
      <c r="H386" s="17">
        <v>7473735006031</v>
      </c>
      <c r="I386" s="17"/>
      <c r="J386" t="s">
        <v>2</v>
      </c>
      <c r="K386" s="9" t="s">
        <v>1828</v>
      </c>
      <c r="L386" t="s">
        <v>87</v>
      </c>
      <c r="N386" s="2"/>
      <c r="O386" s="9"/>
      <c r="T386" s="2"/>
      <c r="U386" s="2" t="s">
        <v>718</v>
      </c>
    </row>
    <row r="387" spans="1:21" x14ac:dyDescent="0.3">
      <c r="A387">
        <v>269308</v>
      </c>
      <c r="B387" t="s">
        <v>46</v>
      </c>
      <c r="C387" t="s">
        <v>353</v>
      </c>
      <c r="D387" t="s">
        <v>18</v>
      </c>
      <c r="E387" s="1" t="s">
        <v>1829</v>
      </c>
      <c r="F387">
        <v>25001406</v>
      </c>
      <c r="G387" t="s">
        <v>57</v>
      </c>
      <c r="H387" s="17">
        <v>50206655000199</v>
      </c>
      <c r="I387" s="17">
        <v>90739624000380</v>
      </c>
      <c r="J387" t="s">
        <v>2</v>
      </c>
      <c r="K387" s="9" t="s">
        <v>1830</v>
      </c>
      <c r="L387" t="s">
        <v>44</v>
      </c>
      <c r="M387">
        <v>15531</v>
      </c>
      <c r="N387" s="2" t="s">
        <v>583</v>
      </c>
      <c r="O387" s="9" t="s">
        <v>1830</v>
      </c>
      <c r="P387" t="s">
        <v>1831</v>
      </c>
      <c r="T387" s="2"/>
      <c r="U387" s="2" t="s">
        <v>718</v>
      </c>
    </row>
    <row r="388" spans="1:21" x14ac:dyDescent="0.3">
      <c r="A388">
        <v>269308</v>
      </c>
      <c r="B388" t="s">
        <v>88</v>
      </c>
      <c r="C388" t="s">
        <v>389</v>
      </c>
      <c r="D388" t="s">
        <v>58</v>
      </c>
      <c r="E388" s="1" t="s">
        <v>1832</v>
      </c>
      <c r="F388">
        <v>25001236</v>
      </c>
      <c r="G388" t="s">
        <v>106</v>
      </c>
      <c r="H388" s="17">
        <v>7473735015103</v>
      </c>
      <c r="I388" s="17"/>
      <c r="J388" t="s">
        <v>2</v>
      </c>
      <c r="K388" s="9" t="s">
        <v>1833</v>
      </c>
      <c r="L388" t="s">
        <v>87</v>
      </c>
      <c r="N388" s="2"/>
      <c r="O388" s="9"/>
      <c r="T388" s="2"/>
      <c r="U388" s="2" t="s">
        <v>718</v>
      </c>
    </row>
    <row r="389" spans="1:21" x14ac:dyDescent="0.3">
      <c r="A389">
        <v>269308</v>
      </c>
      <c r="B389" t="s">
        <v>46</v>
      </c>
      <c r="C389" t="s">
        <v>108</v>
      </c>
      <c r="D389" t="s">
        <v>25</v>
      </c>
      <c r="E389" s="1" t="s">
        <v>1834</v>
      </c>
      <c r="F389">
        <v>25001018</v>
      </c>
      <c r="G389" t="s">
        <v>591</v>
      </c>
      <c r="H389" s="17">
        <v>41779350000185</v>
      </c>
      <c r="I389" s="17">
        <v>90739624001866</v>
      </c>
      <c r="J389" t="s">
        <v>2</v>
      </c>
      <c r="K389" s="9" t="s">
        <v>1835</v>
      </c>
      <c r="L389" t="s">
        <v>44</v>
      </c>
      <c r="M389">
        <v>95893</v>
      </c>
      <c r="N389" s="2" t="s">
        <v>581</v>
      </c>
      <c r="O389" s="9" t="s">
        <v>1835</v>
      </c>
      <c r="P389" t="s">
        <v>1836</v>
      </c>
      <c r="T389" s="2"/>
      <c r="U389" s="2" t="s">
        <v>718</v>
      </c>
    </row>
    <row r="390" spans="1:21" x14ac:dyDescent="0.3">
      <c r="A390">
        <v>269308</v>
      </c>
      <c r="B390" t="s">
        <v>46</v>
      </c>
      <c r="C390" t="s">
        <v>631</v>
      </c>
      <c r="D390" t="s">
        <v>31</v>
      </c>
      <c r="E390" s="1" t="s">
        <v>1837</v>
      </c>
      <c r="F390">
        <v>25000776</v>
      </c>
      <c r="G390" t="s">
        <v>56</v>
      </c>
      <c r="H390" s="17">
        <v>8603562000212</v>
      </c>
      <c r="I390" s="17">
        <v>90739624001866</v>
      </c>
      <c r="J390" t="s">
        <v>2</v>
      </c>
      <c r="K390" s="9" t="s">
        <v>1838</v>
      </c>
      <c r="L390" t="s">
        <v>44</v>
      </c>
      <c r="M390">
        <v>54838</v>
      </c>
      <c r="N390" s="2" t="s">
        <v>581</v>
      </c>
      <c r="O390" s="9" t="s">
        <v>1838</v>
      </c>
      <c r="P390" t="s">
        <v>1839</v>
      </c>
      <c r="T390" s="2"/>
      <c r="U390" s="2" t="s">
        <v>718</v>
      </c>
    </row>
    <row r="391" spans="1:21" x14ac:dyDescent="0.3">
      <c r="A391">
        <v>269308</v>
      </c>
      <c r="B391" t="s">
        <v>88</v>
      </c>
      <c r="C391" t="s">
        <v>107</v>
      </c>
      <c r="D391" t="s">
        <v>65</v>
      </c>
      <c r="E391" s="1" t="s">
        <v>1840</v>
      </c>
      <c r="F391">
        <v>25000724</v>
      </c>
      <c r="G391" t="s">
        <v>67</v>
      </c>
      <c r="H391" s="17">
        <v>7473735006031</v>
      </c>
      <c r="I391" s="17"/>
      <c r="J391" t="s">
        <v>17</v>
      </c>
      <c r="K391" s="9" t="s">
        <v>1841</v>
      </c>
      <c r="L391" t="s">
        <v>87</v>
      </c>
      <c r="N391" s="2"/>
      <c r="O391" s="9"/>
      <c r="T391" s="2"/>
      <c r="U391" s="2" t="s">
        <v>718</v>
      </c>
    </row>
    <row r="392" spans="1:21" x14ac:dyDescent="0.3">
      <c r="A392">
        <v>269308</v>
      </c>
      <c r="B392" t="s">
        <v>88</v>
      </c>
      <c r="C392" t="s">
        <v>107</v>
      </c>
      <c r="D392" t="s">
        <v>65</v>
      </c>
      <c r="E392" s="1" t="s">
        <v>1842</v>
      </c>
      <c r="F392">
        <v>25000699</v>
      </c>
      <c r="G392" t="s">
        <v>67</v>
      </c>
      <c r="H392" s="17">
        <v>7473735006031</v>
      </c>
      <c r="I392" s="17"/>
      <c r="J392" t="s">
        <v>2</v>
      </c>
      <c r="K392" s="9" t="s">
        <v>1708</v>
      </c>
      <c r="L392" t="s">
        <v>87</v>
      </c>
      <c r="N392" s="2"/>
      <c r="O392" s="9"/>
      <c r="T392" s="2"/>
      <c r="U392" s="2" t="s">
        <v>718</v>
      </c>
    </row>
    <row r="393" spans="1:21" x14ac:dyDescent="0.3">
      <c r="A393">
        <v>269308</v>
      </c>
      <c r="B393" t="s">
        <v>46</v>
      </c>
      <c r="C393" t="s">
        <v>470</v>
      </c>
      <c r="D393" t="s">
        <v>13</v>
      </c>
      <c r="E393" s="1" t="s">
        <v>1843</v>
      </c>
      <c r="F393">
        <v>25000540</v>
      </c>
      <c r="G393" t="s">
        <v>471</v>
      </c>
      <c r="H393" s="17">
        <v>300969000188</v>
      </c>
      <c r="I393" s="17">
        <v>90739624001190</v>
      </c>
      <c r="J393" t="s">
        <v>2</v>
      </c>
      <c r="K393" s="9" t="s">
        <v>1844</v>
      </c>
      <c r="L393" t="s">
        <v>44</v>
      </c>
      <c r="M393">
        <v>38584</v>
      </c>
      <c r="N393" s="2" t="s">
        <v>581</v>
      </c>
      <c r="O393" s="9" t="s">
        <v>1844</v>
      </c>
      <c r="P393" t="s">
        <v>1845</v>
      </c>
      <c r="T393" s="2"/>
      <c r="U393" s="2" t="s">
        <v>718</v>
      </c>
    </row>
    <row r="394" spans="1:21" x14ac:dyDescent="0.3">
      <c r="A394">
        <v>269308</v>
      </c>
      <c r="B394" t="s">
        <v>46</v>
      </c>
      <c r="C394" t="s">
        <v>253</v>
      </c>
      <c r="D394" t="s">
        <v>99</v>
      </c>
      <c r="E394" s="1" t="s">
        <v>1846</v>
      </c>
      <c r="F394">
        <v>25000414</v>
      </c>
      <c r="G394" t="s">
        <v>507</v>
      </c>
      <c r="H394" s="17">
        <v>3626094001330</v>
      </c>
      <c r="I394" s="17">
        <v>9576274000106</v>
      </c>
      <c r="J394" t="s">
        <v>2</v>
      </c>
      <c r="K394" s="9" t="s">
        <v>1847</v>
      </c>
      <c r="L394" t="s">
        <v>44</v>
      </c>
      <c r="M394">
        <v>50567</v>
      </c>
      <c r="N394" s="2" t="s">
        <v>581</v>
      </c>
      <c r="O394" s="9" t="s">
        <v>1847</v>
      </c>
      <c r="P394" t="s">
        <v>1848</v>
      </c>
      <c r="T394" s="2"/>
      <c r="U394" s="2" t="s">
        <v>718</v>
      </c>
    </row>
    <row r="395" spans="1:21" x14ac:dyDescent="0.3">
      <c r="A395">
        <v>269308</v>
      </c>
      <c r="B395" t="s">
        <v>46</v>
      </c>
      <c r="C395" t="s">
        <v>665</v>
      </c>
      <c r="D395" t="s">
        <v>13</v>
      </c>
      <c r="E395" s="1" t="s">
        <v>1849</v>
      </c>
      <c r="F395">
        <v>25000376</v>
      </c>
      <c r="G395" t="s">
        <v>15</v>
      </c>
      <c r="H395" s="17">
        <v>30432373000100</v>
      </c>
      <c r="I395" s="17">
        <v>90739624001190</v>
      </c>
      <c r="J395" t="s">
        <v>2</v>
      </c>
      <c r="K395" s="9" t="s">
        <v>1850</v>
      </c>
      <c r="L395" t="s">
        <v>44</v>
      </c>
      <c r="M395">
        <v>24547</v>
      </c>
      <c r="N395" s="2" t="s">
        <v>581</v>
      </c>
      <c r="O395" s="9" t="s">
        <v>1851</v>
      </c>
      <c r="P395" t="s">
        <v>1852</v>
      </c>
      <c r="T395" s="2"/>
      <c r="U395" s="2" t="s">
        <v>718</v>
      </c>
    </row>
    <row r="396" spans="1:21" x14ac:dyDescent="0.3">
      <c r="A396">
        <v>269308</v>
      </c>
      <c r="B396" t="s">
        <v>46</v>
      </c>
      <c r="C396" t="s">
        <v>137</v>
      </c>
      <c r="D396" t="s">
        <v>52</v>
      </c>
      <c r="E396" s="1" t="s">
        <v>1853</v>
      </c>
      <c r="F396">
        <v>25000327</v>
      </c>
      <c r="G396" t="s">
        <v>54</v>
      </c>
      <c r="H396" s="17">
        <v>79130647000198</v>
      </c>
      <c r="I396" s="17">
        <v>9576274000106</v>
      </c>
      <c r="J396" t="s">
        <v>17</v>
      </c>
      <c r="K396" s="9" t="s">
        <v>1854</v>
      </c>
      <c r="L396" t="s">
        <v>44</v>
      </c>
      <c r="M396">
        <v>20213</v>
      </c>
      <c r="N396" s="2" t="s">
        <v>581</v>
      </c>
      <c r="O396" s="9" t="s">
        <v>1854</v>
      </c>
      <c r="P396" t="s">
        <v>1855</v>
      </c>
      <c r="T396" s="2"/>
      <c r="U396" s="2" t="s">
        <v>718</v>
      </c>
    </row>
    <row r="397" spans="1:21" x14ac:dyDescent="0.3">
      <c r="A397">
        <v>269308</v>
      </c>
      <c r="B397" t="s">
        <v>46</v>
      </c>
      <c r="C397" t="s">
        <v>137</v>
      </c>
      <c r="D397" t="s">
        <v>52</v>
      </c>
      <c r="E397" s="1" t="s">
        <v>1856</v>
      </c>
      <c r="F397">
        <v>25000309</v>
      </c>
      <c r="G397" t="s">
        <v>54</v>
      </c>
      <c r="H397" s="17">
        <v>79130647000198</v>
      </c>
      <c r="I397" s="17">
        <v>9576274000106</v>
      </c>
      <c r="J397" t="s">
        <v>2</v>
      </c>
      <c r="K397" s="9" t="s">
        <v>1857</v>
      </c>
      <c r="L397" t="s">
        <v>44</v>
      </c>
      <c r="M397">
        <v>56381</v>
      </c>
      <c r="N397" s="2" t="s">
        <v>581</v>
      </c>
      <c r="O397" s="9" t="s">
        <v>1857</v>
      </c>
      <c r="P397" t="s">
        <v>1858</v>
      </c>
      <c r="T397" s="2"/>
      <c r="U397" s="2" t="s">
        <v>718</v>
      </c>
    </row>
    <row r="398" spans="1:21" x14ac:dyDescent="0.3">
      <c r="A398">
        <v>269308</v>
      </c>
      <c r="B398" t="s">
        <v>46</v>
      </c>
      <c r="C398" t="s">
        <v>286</v>
      </c>
      <c r="D398" t="s">
        <v>174</v>
      </c>
      <c r="E398" s="1" t="s">
        <v>1859</v>
      </c>
      <c r="F398">
        <v>25000289</v>
      </c>
      <c r="G398" t="s">
        <v>268</v>
      </c>
      <c r="H398" s="17">
        <v>4985282000184</v>
      </c>
      <c r="I398" s="17">
        <v>90739624000118</v>
      </c>
      <c r="J398" t="s">
        <v>2</v>
      </c>
      <c r="K398" s="9" t="s">
        <v>1860</v>
      </c>
      <c r="L398" t="s">
        <v>44</v>
      </c>
      <c r="M398">
        <v>5575</v>
      </c>
      <c r="N398" s="2" t="s">
        <v>581</v>
      </c>
      <c r="O398" s="9" t="s">
        <v>1860</v>
      </c>
      <c r="P398" t="s">
        <v>1861</v>
      </c>
      <c r="T398" s="2"/>
      <c r="U398" s="2" t="s">
        <v>718</v>
      </c>
    </row>
    <row r="399" spans="1:21" x14ac:dyDescent="0.3">
      <c r="A399">
        <v>269308</v>
      </c>
      <c r="B399" t="s">
        <v>46</v>
      </c>
      <c r="C399" t="s">
        <v>352</v>
      </c>
      <c r="D399" t="s">
        <v>49</v>
      </c>
      <c r="E399" s="1" t="s">
        <v>1862</v>
      </c>
      <c r="F399">
        <v>25000179</v>
      </c>
      <c r="G399" t="s">
        <v>299</v>
      </c>
      <c r="H399" s="17">
        <v>7388800000170</v>
      </c>
      <c r="I399" s="17">
        <v>9576274000106</v>
      </c>
      <c r="J399" t="s">
        <v>17</v>
      </c>
      <c r="K399" s="9" t="s">
        <v>1863</v>
      </c>
      <c r="L399" t="s">
        <v>44</v>
      </c>
      <c r="M399">
        <v>103693</v>
      </c>
      <c r="N399" s="2" t="s">
        <v>581</v>
      </c>
      <c r="O399" s="9" t="s">
        <v>1863</v>
      </c>
      <c r="P399" t="s">
        <v>1864</v>
      </c>
      <c r="T399" s="2"/>
      <c r="U399" s="2" t="s">
        <v>718</v>
      </c>
    </row>
    <row r="400" spans="1:21" x14ac:dyDescent="0.3">
      <c r="A400">
        <v>269308</v>
      </c>
      <c r="B400" t="s">
        <v>46</v>
      </c>
      <c r="C400" t="s">
        <v>301</v>
      </c>
      <c r="D400" t="s">
        <v>61</v>
      </c>
      <c r="E400" s="1" t="s">
        <v>1865</v>
      </c>
      <c r="F400">
        <v>25000176</v>
      </c>
      <c r="G400" t="s">
        <v>62</v>
      </c>
      <c r="H400" s="17">
        <v>79964177000591</v>
      </c>
      <c r="I400" s="17">
        <v>9576274000106</v>
      </c>
      <c r="J400" t="s">
        <v>2</v>
      </c>
      <c r="K400" s="9" t="s">
        <v>1866</v>
      </c>
      <c r="L400" t="s">
        <v>44</v>
      </c>
      <c r="M400">
        <v>820553</v>
      </c>
      <c r="N400" s="2" t="s">
        <v>581</v>
      </c>
      <c r="O400" s="9" t="s">
        <v>1866</v>
      </c>
      <c r="P400" t="s">
        <v>1867</v>
      </c>
      <c r="T400" s="2"/>
      <c r="U400" s="2" t="s">
        <v>718</v>
      </c>
    </row>
    <row r="401" spans="1:21" x14ac:dyDescent="0.3">
      <c r="A401">
        <v>269308</v>
      </c>
      <c r="B401" t="s">
        <v>46</v>
      </c>
      <c r="C401" t="s">
        <v>352</v>
      </c>
      <c r="D401" t="s">
        <v>49</v>
      </c>
      <c r="E401" s="1" t="s">
        <v>1868</v>
      </c>
      <c r="F401">
        <v>25000172</v>
      </c>
      <c r="G401" t="s">
        <v>299</v>
      </c>
      <c r="H401" s="17">
        <v>7388800000170</v>
      </c>
      <c r="I401" s="17">
        <v>9576274000106</v>
      </c>
      <c r="J401" t="s">
        <v>2</v>
      </c>
      <c r="K401" s="9" t="s">
        <v>1869</v>
      </c>
      <c r="L401" t="s">
        <v>44</v>
      </c>
      <c r="M401">
        <v>103692</v>
      </c>
      <c r="N401" s="2" t="s">
        <v>581</v>
      </c>
      <c r="O401" s="9" t="s">
        <v>1869</v>
      </c>
      <c r="P401" t="s">
        <v>1870</v>
      </c>
      <c r="T401" s="2"/>
      <c r="U401" s="2" t="s">
        <v>718</v>
      </c>
    </row>
    <row r="402" spans="1:21" x14ac:dyDescent="0.3">
      <c r="A402">
        <v>269308</v>
      </c>
      <c r="B402" t="s">
        <v>46</v>
      </c>
      <c r="C402" t="s">
        <v>490</v>
      </c>
      <c r="D402" t="s">
        <v>61</v>
      </c>
      <c r="E402" s="1" t="s">
        <v>1871</v>
      </c>
      <c r="F402">
        <v>25000162</v>
      </c>
      <c r="G402" t="s">
        <v>62</v>
      </c>
      <c r="H402" s="17">
        <v>79964177000591</v>
      </c>
      <c r="I402" s="17">
        <v>9576274000106</v>
      </c>
      <c r="J402" t="s">
        <v>2</v>
      </c>
      <c r="K402" s="9" t="s">
        <v>1872</v>
      </c>
      <c r="L402" t="s">
        <v>44</v>
      </c>
      <c r="M402">
        <v>820552</v>
      </c>
      <c r="N402" s="2" t="s">
        <v>581</v>
      </c>
      <c r="O402" s="9" t="s">
        <v>1872</v>
      </c>
      <c r="P402" t="s">
        <v>1873</v>
      </c>
      <c r="T402" s="2"/>
      <c r="U402" s="2" t="s">
        <v>718</v>
      </c>
    </row>
    <row r="403" spans="1:21" x14ac:dyDescent="0.3">
      <c r="A403">
        <v>269308</v>
      </c>
      <c r="B403" t="s">
        <v>46</v>
      </c>
      <c r="C403" t="s">
        <v>495</v>
      </c>
      <c r="D403" t="s">
        <v>13</v>
      </c>
      <c r="E403" s="1" t="s">
        <v>1874</v>
      </c>
      <c r="F403">
        <v>24999847</v>
      </c>
      <c r="G403" t="s">
        <v>496</v>
      </c>
      <c r="H403" s="17">
        <v>6073995000105</v>
      </c>
      <c r="I403" s="17">
        <v>90739624001190</v>
      </c>
      <c r="J403" t="s">
        <v>17</v>
      </c>
      <c r="K403" s="9" t="s">
        <v>1875</v>
      </c>
      <c r="L403" t="s">
        <v>44</v>
      </c>
      <c r="M403">
        <v>45905</v>
      </c>
      <c r="N403" s="2" t="s">
        <v>602</v>
      </c>
      <c r="O403" s="9" t="s">
        <v>1875</v>
      </c>
      <c r="P403" t="s">
        <v>1876</v>
      </c>
      <c r="T403" s="2"/>
      <c r="U403" s="2" t="s">
        <v>718</v>
      </c>
    </row>
    <row r="404" spans="1:21" x14ac:dyDescent="0.3">
      <c r="A404">
        <v>269308</v>
      </c>
      <c r="B404" t="s">
        <v>46</v>
      </c>
      <c r="C404" t="s">
        <v>460</v>
      </c>
      <c r="D404" t="s">
        <v>25</v>
      </c>
      <c r="E404" s="1" t="s">
        <v>1877</v>
      </c>
      <c r="F404">
        <v>24999821</v>
      </c>
      <c r="G404" t="s">
        <v>80</v>
      </c>
      <c r="H404" s="17">
        <v>8603562001103</v>
      </c>
      <c r="I404" s="17">
        <v>90739624001866</v>
      </c>
      <c r="J404" t="s">
        <v>2</v>
      </c>
      <c r="K404" s="9" t="s">
        <v>1878</v>
      </c>
      <c r="L404" t="s">
        <v>44</v>
      </c>
      <c r="M404">
        <v>1814</v>
      </c>
      <c r="N404" s="2" t="s">
        <v>581</v>
      </c>
      <c r="O404" s="9" t="s">
        <v>1878</v>
      </c>
      <c r="P404" t="s">
        <v>1879</v>
      </c>
      <c r="T404" s="2"/>
      <c r="U404" s="2" t="s">
        <v>718</v>
      </c>
    </row>
    <row r="405" spans="1:21" x14ac:dyDescent="0.3">
      <c r="A405">
        <v>269308</v>
      </c>
      <c r="B405" t="s">
        <v>46</v>
      </c>
      <c r="C405" t="s">
        <v>495</v>
      </c>
      <c r="D405" t="s">
        <v>13</v>
      </c>
      <c r="E405" s="1" t="s">
        <v>1880</v>
      </c>
      <c r="F405">
        <v>24999806</v>
      </c>
      <c r="G405" t="s">
        <v>496</v>
      </c>
      <c r="H405" s="17">
        <v>6073995000105</v>
      </c>
      <c r="I405" s="17">
        <v>90739624001190</v>
      </c>
      <c r="J405" t="s">
        <v>2</v>
      </c>
      <c r="K405" s="9" t="s">
        <v>1881</v>
      </c>
      <c r="L405" t="s">
        <v>44</v>
      </c>
      <c r="M405">
        <v>45904</v>
      </c>
      <c r="N405" s="2" t="s">
        <v>602</v>
      </c>
      <c r="O405" s="9" t="s">
        <v>1881</v>
      </c>
      <c r="P405" t="s">
        <v>1882</v>
      </c>
      <c r="T405" s="2"/>
      <c r="U405" s="2" t="s">
        <v>718</v>
      </c>
    </row>
    <row r="406" spans="1:21" x14ac:dyDescent="0.3">
      <c r="A406">
        <v>269308</v>
      </c>
      <c r="B406" t="s">
        <v>46</v>
      </c>
      <c r="C406" t="s">
        <v>539</v>
      </c>
      <c r="D406" t="s">
        <v>58</v>
      </c>
      <c r="E406" s="1" t="s">
        <v>1883</v>
      </c>
      <c r="F406">
        <v>24999515</v>
      </c>
      <c r="G406" t="s">
        <v>106</v>
      </c>
      <c r="H406" s="17">
        <v>7473735015103</v>
      </c>
      <c r="I406" s="17">
        <v>90739624002323</v>
      </c>
      <c r="J406" t="s">
        <v>2</v>
      </c>
      <c r="K406" s="9" t="s">
        <v>1884</v>
      </c>
      <c r="L406" t="s">
        <v>44</v>
      </c>
      <c r="M406">
        <v>111094</v>
      </c>
      <c r="N406" s="2" t="s">
        <v>581</v>
      </c>
      <c r="O406" s="9" t="s">
        <v>1884</v>
      </c>
      <c r="P406" t="s">
        <v>1885</v>
      </c>
      <c r="T406" s="2"/>
      <c r="U406" s="2" t="s">
        <v>718</v>
      </c>
    </row>
    <row r="407" spans="1:21" x14ac:dyDescent="0.3">
      <c r="A407">
        <v>269308</v>
      </c>
      <c r="B407" t="s">
        <v>46</v>
      </c>
      <c r="C407" t="s">
        <v>118</v>
      </c>
      <c r="D407" t="s">
        <v>31</v>
      </c>
      <c r="E407" s="1" t="s">
        <v>1886</v>
      </c>
      <c r="F407">
        <v>24999437</v>
      </c>
      <c r="G407" t="s">
        <v>119</v>
      </c>
      <c r="H407" s="17">
        <v>25220634000342</v>
      </c>
      <c r="I407" s="17">
        <v>90739624001866</v>
      </c>
      <c r="J407" t="s">
        <v>2</v>
      </c>
      <c r="K407" s="9" t="s">
        <v>1887</v>
      </c>
      <c r="L407" t="s">
        <v>44</v>
      </c>
      <c r="M407">
        <v>168367</v>
      </c>
      <c r="N407" s="2" t="s">
        <v>581</v>
      </c>
      <c r="O407" s="9" t="s">
        <v>1887</v>
      </c>
      <c r="P407" t="s">
        <v>1888</v>
      </c>
      <c r="T407" s="2"/>
      <c r="U407" s="2" t="s">
        <v>718</v>
      </c>
    </row>
    <row r="408" spans="1:21" x14ac:dyDescent="0.3">
      <c r="A408">
        <v>269308</v>
      </c>
      <c r="B408" t="s">
        <v>46</v>
      </c>
      <c r="C408" t="s">
        <v>514</v>
      </c>
      <c r="D408" t="s">
        <v>61</v>
      </c>
      <c r="E408" s="1" t="s">
        <v>1889</v>
      </c>
      <c r="F408">
        <v>24999427</v>
      </c>
      <c r="G408" t="s">
        <v>85</v>
      </c>
      <c r="H408" s="17">
        <v>1975878000105</v>
      </c>
      <c r="I408" s="17">
        <v>9576274000106</v>
      </c>
      <c r="J408" t="s">
        <v>2</v>
      </c>
      <c r="K408" s="9" t="s">
        <v>1890</v>
      </c>
      <c r="L408" t="s">
        <v>44</v>
      </c>
      <c r="M408">
        <v>2524</v>
      </c>
      <c r="N408" s="2" t="s">
        <v>581</v>
      </c>
      <c r="O408" s="9" t="s">
        <v>1890</v>
      </c>
      <c r="P408" t="s">
        <v>1891</v>
      </c>
      <c r="T408" s="2"/>
      <c r="U408" s="2" t="s">
        <v>718</v>
      </c>
    </row>
    <row r="409" spans="1:21" x14ac:dyDescent="0.3">
      <c r="A409">
        <v>269308</v>
      </c>
      <c r="B409" t="s">
        <v>46</v>
      </c>
      <c r="C409" t="s">
        <v>363</v>
      </c>
      <c r="D409" t="s">
        <v>8</v>
      </c>
      <c r="E409" s="1" t="s">
        <v>1892</v>
      </c>
      <c r="F409">
        <v>24999417</v>
      </c>
      <c r="G409" t="s">
        <v>221</v>
      </c>
      <c r="H409" s="17">
        <v>8810726000100</v>
      </c>
      <c r="I409" s="17">
        <v>9576274000106</v>
      </c>
      <c r="J409" t="s">
        <v>2</v>
      </c>
      <c r="K409" s="9" t="s">
        <v>1893</v>
      </c>
      <c r="L409" t="s">
        <v>44</v>
      </c>
      <c r="M409">
        <v>6415</v>
      </c>
      <c r="N409" s="2" t="s">
        <v>581</v>
      </c>
      <c r="O409" s="9" t="s">
        <v>1893</v>
      </c>
      <c r="P409" t="s">
        <v>1894</v>
      </c>
      <c r="T409" s="2"/>
      <c r="U409" s="2" t="s">
        <v>718</v>
      </c>
    </row>
    <row r="410" spans="1:21" x14ac:dyDescent="0.3">
      <c r="A410">
        <v>269308</v>
      </c>
      <c r="B410" t="s">
        <v>46</v>
      </c>
      <c r="C410" t="s">
        <v>172</v>
      </c>
      <c r="D410" t="s">
        <v>31</v>
      </c>
      <c r="E410" s="1" t="s">
        <v>1895</v>
      </c>
      <c r="F410">
        <v>24999406</v>
      </c>
      <c r="G410" t="s">
        <v>119</v>
      </c>
      <c r="H410" s="17">
        <v>25220634000342</v>
      </c>
      <c r="I410" s="17">
        <v>90739624001866</v>
      </c>
      <c r="J410" t="s">
        <v>2</v>
      </c>
      <c r="K410" s="9" t="s">
        <v>1896</v>
      </c>
      <c r="L410" t="s">
        <v>44</v>
      </c>
      <c r="M410">
        <v>168366</v>
      </c>
      <c r="N410" s="2" t="s">
        <v>581</v>
      </c>
      <c r="O410" s="9" t="s">
        <v>1896</v>
      </c>
      <c r="P410" t="s">
        <v>1897</v>
      </c>
      <c r="T410" s="2"/>
      <c r="U410" s="2" t="s">
        <v>718</v>
      </c>
    </row>
    <row r="411" spans="1:21" x14ac:dyDescent="0.3">
      <c r="A411">
        <v>269308</v>
      </c>
      <c r="B411" t="s">
        <v>46</v>
      </c>
      <c r="C411" t="s">
        <v>9</v>
      </c>
      <c r="D411" t="s">
        <v>8</v>
      </c>
      <c r="E411" s="1" t="s">
        <v>1898</v>
      </c>
      <c r="F411">
        <v>24999381</v>
      </c>
      <c r="G411" t="s">
        <v>10</v>
      </c>
      <c r="H411" s="17">
        <v>33286065000102</v>
      </c>
      <c r="I411" s="17">
        <v>9576274000106</v>
      </c>
      <c r="J411" t="s">
        <v>2</v>
      </c>
      <c r="K411" s="9" t="s">
        <v>1899</v>
      </c>
      <c r="L411" t="s">
        <v>44</v>
      </c>
      <c r="M411">
        <v>10464</v>
      </c>
      <c r="N411" s="2" t="s">
        <v>581</v>
      </c>
      <c r="O411" s="9" t="s">
        <v>1899</v>
      </c>
      <c r="P411" t="s">
        <v>1900</v>
      </c>
      <c r="T411" s="2"/>
      <c r="U411" s="2" t="s">
        <v>718</v>
      </c>
    </row>
    <row r="412" spans="1:21" x14ac:dyDescent="0.3">
      <c r="A412">
        <v>269308</v>
      </c>
      <c r="B412" t="s">
        <v>88</v>
      </c>
      <c r="C412" t="s">
        <v>259</v>
      </c>
      <c r="D412" t="s">
        <v>58</v>
      </c>
      <c r="E412" s="1" t="s">
        <v>1901</v>
      </c>
      <c r="F412">
        <v>24999349</v>
      </c>
      <c r="G412" t="s">
        <v>167</v>
      </c>
      <c r="H412" s="17">
        <v>7473735016266</v>
      </c>
      <c r="I412" s="17"/>
      <c r="J412" t="s">
        <v>2</v>
      </c>
      <c r="K412" s="9" t="s">
        <v>1902</v>
      </c>
      <c r="L412" t="s">
        <v>87</v>
      </c>
      <c r="N412" s="2"/>
      <c r="O412" s="9"/>
      <c r="T412" s="2"/>
      <c r="U412" s="2" t="s">
        <v>718</v>
      </c>
    </row>
    <row r="413" spans="1:21" x14ac:dyDescent="0.3">
      <c r="A413">
        <v>269308</v>
      </c>
      <c r="B413" t="s">
        <v>46</v>
      </c>
      <c r="C413" t="s">
        <v>380</v>
      </c>
      <c r="D413" t="s">
        <v>18</v>
      </c>
      <c r="E413" s="1" t="s">
        <v>1903</v>
      </c>
      <c r="F413">
        <v>24999344</v>
      </c>
      <c r="G413" t="s">
        <v>57</v>
      </c>
      <c r="H413" s="17">
        <v>50206655000199</v>
      </c>
      <c r="I413" s="17">
        <v>90739624000380</v>
      </c>
      <c r="J413" t="s">
        <v>2</v>
      </c>
      <c r="K413" s="9" t="s">
        <v>1904</v>
      </c>
      <c r="L413" t="s">
        <v>44</v>
      </c>
      <c r="M413">
        <v>15530</v>
      </c>
      <c r="N413" s="2" t="s">
        <v>583</v>
      </c>
      <c r="O413" s="9" t="s">
        <v>1904</v>
      </c>
      <c r="P413" t="s">
        <v>1905</v>
      </c>
      <c r="T413" s="2"/>
      <c r="U413" s="2" t="s">
        <v>718</v>
      </c>
    </row>
    <row r="414" spans="1:21" x14ac:dyDescent="0.3">
      <c r="A414">
        <v>269308</v>
      </c>
      <c r="B414" t="s">
        <v>46</v>
      </c>
      <c r="C414" t="s">
        <v>12</v>
      </c>
      <c r="D414" t="s">
        <v>11</v>
      </c>
      <c r="E414" s="1" t="s">
        <v>1906</v>
      </c>
      <c r="F414">
        <v>24999332</v>
      </c>
      <c r="G414" t="s">
        <v>117</v>
      </c>
      <c r="H414" s="17">
        <v>1756915000194</v>
      </c>
      <c r="I414" s="17">
        <v>90739624001947</v>
      </c>
      <c r="J414" t="s">
        <v>2</v>
      </c>
      <c r="K414" s="9" t="s">
        <v>1907</v>
      </c>
      <c r="L414" t="s">
        <v>44</v>
      </c>
      <c r="M414">
        <v>4442</v>
      </c>
      <c r="N414" s="2" t="s">
        <v>583</v>
      </c>
      <c r="O414" s="9" t="s">
        <v>1907</v>
      </c>
      <c r="P414" t="s">
        <v>1908</v>
      </c>
      <c r="T414" s="2"/>
      <c r="U414" s="2" t="s">
        <v>718</v>
      </c>
    </row>
    <row r="415" spans="1:21" x14ac:dyDescent="0.3">
      <c r="A415">
        <v>269308</v>
      </c>
      <c r="B415" t="s">
        <v>46</v>
      </c>
      <c r="C415" t="s">
        <v>650</v>
      </c>
      <c r="D415" t="s">
        <v>25</v>
      </c>
      <c r="E415" s="1" t="s">
        <v>1909</v>
      </c>
      <c r="F415">
        <v>24999314</v>
      </c>
      <c r="G415" t="s">
        <v>206</v>
      </c>
      <c r="H415" s="17">
        <v>50128357000128</v>
      </c>
      <c r="I415" s="17">
        <v>90739624003486</v>
      </c>
      <c r="J415" t="s">
        <v>2</v>
      </c>
      <c r="K415" s="9" t="s">
        <v>1910</v>
      </c>
      <c r="L415" t="s">
        <v>44</v>
      </c>
      <c r="M415">
        <v>144965</v>
      </c>
      <c r="N415" s="2" t="s">
        <v>581</v>
      </c>
      <c r="O415" s="9" t="s">
        <v>1910</v>
      </c>
      <c r="P415" t="s">
        <v>1911</v>
      </c>
      <c r="T415" s="2"/>
      <c r="U415" s="2" t="s">
        <v>718</v>
      </c>
    </row>
    <row r="416" spans="1:21" x14ac:dyDescent="0.3">
      <c r="A416">
        <v>269308</v>
      </c>
      <c r="B416" t="s">
        <v>46</v>
      </c>
      <c r="C416" t="s">
        <v>207</v>
      </c>
      <c r="D416" t="s">
        <v>13</v>
      </c>
      <c r="E416" s="1" t="s">
        <v>1912</v>
      </c>
      <c r="F416">
        <v>24999270</v>
      </c>
      <c r="G416" t="s">
        <v>340</v>
      </c>
      <c r="H416" s="17">
        <v>29127799000163</v>
      </c>
      <c r="I416" s="17">
        <v>90739624000380</v>
      </c>
      <c r="J416" t="s">
        <v>2</v>
      </c>
      <c r="K416" s="9" t="s">
        <v>1913</v>
      </c>
      <c r="L416" t="s">
        <v>44</v>
      </c>
      <c r="M416">
        <v>117363</v>
      </c>
      <c r="N416" s="2" t="s">
        <v>581</v>
      </c>
      <c r="O416" s="9" t="s">
        <v>1913</v>
      </c>
      <c r="P416" t="s">
        <v>1914</v>
      </c>
      <c r="T416" s="2"/>
      <c r="U416" s="2" t="s">
        <v>718</v>
      </c>
    </row>
    <row r="417" spans="1:21" x14ac:dyDescent="0.3">
      <c r="A417">
        <v>269308</v>
      </c>
      <c r="B417" t="s">
        <v>46</v>
      </c>
      <c r="C417" t="s">
        <v>644</v>
      </c>
      <c r="D417" t="s">
        <v>65</v>
      </c>
      <c r="E417" s="1" t="s">
        <v>1915</v>
      </c>
      <c r="F417">
        <v>24999157</v>
      </c>
      <c r="G417" t="s">
        <v>646</v>
      </c>
      <c r="H417" s="17">
        <v>7473735009308</v>
      </c>
      <c r="I417" s="17">
        <v>90739624002323</v>
      </c>
      <c r="J417" t="s">
        <v>2</v>
      </c>
      <c r="K417" s="9" t="s">
        <v>1916</v>
      </c>
      <c r="L417" t="s">
        <v>44</v>
      </c>
      <c r="M417">
        <v>24406</v>
      </c>
      <c r="N417" s="2" t="s">
        <v>581</v>
      </c>
      <c r="O417" s="9" t="s">
        <v>1916</v>
      </c>
      <c r="P417" t="s">
        <v>1917</v>
      </c>
      <c r="T417" s="2"/>
      <c r="U417" s="2" t="s">
        <v>718</v>
      </c>
    </row>
    <row r="418" spans="1:21" x14ac:dyDescent="0.3">
      <c r="A418">
        <v>269308</v>
      </c>
      <c r="B418" t="s">
        <v>46</v>
      </c>
      <c r="C418" t="s">
        <v>229</v>
      </c>
      <c r="D418" t="s">
        <v>100</v>
      </c>
      <c r="E418" s="1" t="s">
        <v>1918</v>
      </c>
      <c r="F418">
        <v>24998923</v>
      </c>
      <c r="G418" t="s">
        <v>152</v>
      </c>
      <c r="H418" s="17">
        <v>23891404000118</v>
      </c>
      <c r="I418" s="17">
        <v>90739624001866</v>
      </c>
      <c r="J418" t="s">
        <v>2</v>
      </c>
      <c r="K418" s="9" t="s">
        <v>1919</v>
      </c>
      <c r="L418" t="s">
        <v>44</v>
      </c>
      <c r="M418">
        <v>131745</v>
      </c>
      <c r="N418" s="2" t="s">
        <v>581</v>
      </c>
      <c r="O418" s="9" t="s">
        <v>1919</v>
      </c>
      <c r="P418" t="s">
        <v>1920</v>
      </c>
      <c r="T418" s="2"/>
      <c r="U418" s="2" t="s">
        <v>718</v>
      </c>
    </row>
    <row r="419" spans="1:21" x14ac:dyDescent="0.3">
      <c r="A419">
        <v>269308</v>
      </c>
      <c r="B419" t="s">
        <v>46</v>
      </c>
      <c r="C419" t="s">
        <v>66</v>
      </c>
      <c r="D419" t="s">
        <v>65</v>
      </c>
      <c r="E419" s="1" t="s">
        <v>1921</v>
      </c>
      <c r="F419">
        <v>24998896</v>
      </c>
      <c r="G419" t="s">
        <v>67</v>
      </c>
      <c r="H419" s="17">
        <v>7473735006031</v>
      </c>
      <c r="I419" s="17">
        <v>90739624002323</v>
      </c>
      <c r="J419" t="s">
        <v>2</v>
      </c>
      <c r="K419" s="9" t="s">
        <v>1922</v>
      </c>
      <c r="L419" t="s">
        <v>44</v>
      </c>
      <c r="M419">
        <v>75384</v>
      </c>
      <c r="N419" s="2" t="s">
        <v>581</v>
      </c>
      <c r="O419" s="9" t="s">
        <v>1922</v>
      </c>
      <c r="P419" t="s">
        <v>1923</v>
      </c>
      <c r="T419" s="2"/>
      <c r="U419" s="2" t="s">
        <v>718</v>
      </c>
    </row>
    <row r="420" spans="1:21" x14ac:dyDescent="0.3">
      <c r="A420">
        <v>269308</v>
      </c>
      <c r="B420" t="s">
        <v>46</v>
      </c>
      <c r="C420" t="s">
        <v>129</v>
      </c>
      <c r="D420" t="s">
        <v>25</v>
      </c>
      <c r="E420" s="1" t="s">
        <v>1924</v>
      </c>
      <c r="F420">
        <v>24998829</v>
      </c>
      <c r="G420" t="s">
        <v>130</v>
      </c>
      <c r="H420" s="17">
        <v>1594553000182</v>
      </c>
      <c r="I420" s="17">
        <v>90739624001866</v>
      </c>
      <c r="J420" t="s">
        <v>2</v>
      </c>
      <c r="K420" s="9" t="s">
        <v>1925</v>
      </c>
      <c r="L420" t="s">
        <v>44</v>
      </c>
      <c r="M420">
        <v>74750</v>
      </c>
      <c r="N420" s="2" t="s">
        <v>581</v>
      </c>
      <c r="O420" s="9" t="s">
        <v>1925</v>
      </c>
      <c r="P420" t="s">
        <v>1926</v>
      </c>
      <c r="T420" s="2"/>
      <c r="U420" s="2" t="s">
        <v>718</v>
      </c>
    </row>
    <row r="421" spans="1:21" x14ac:dyDescent="0.3">
      <c r="A421">
        <v>269308</v>
      </c>
      <c r="B421" t="s">
        <v>46</v>
      </c>
      <c r="C421" t="s">
        <v>544</v>
      </c>
      <c r="D421" t="s">
        <v>31</v>
      </c>
      <c r="E421" s="1" t="s">
        <v>1927</v>
      </c>
      <c r="F421">
        <v>24998672</v>
      </c>
      <c r="G421" t="s">
        <v>142</v>
      </c>
      <c r="H421" s="17">
        <v>54494203000100</v>
      </c>
      <c r="I421" s="17">
        <v>90739624001866</v>
      </c>
      <c r="J421" t="s">
        <v>2</v>
      </c>
      <c r="K421" s="9" t="s">
        <v>1928</v>
      </c>
      <c r="L421" t="s">
        <v>44</v>
      </c>
      <c r="M421">
        <v>16038</v>
      </c>
      <c r="N421" s="2" t="s">
        <v>1039</v>
      </c>
      <c r="O421" s="9" t="s">
        <v>1928</v>
      </c>
      <c r="P421" t="s">
        <v>1929</v>
      </c>
      <c r="T421" s="2"/>
      <c r="U421" s="2" t="s">
        <v>718</v>
      </c>
    </row>
    <row r="422" spans="1:21" x14ac:dyDescent="0.3">
      <c r="A422">
        <v>269308</v>
      </c>
      <c r="B422" t="s">
        <v>46</v>
      </c>
      <c r="C422" t="s">
        <v>364</v>
      </c>
      <c r="D422" t="s">
        <v>36</v>
      </c>
      <c r="E422" s="1" t="s">
        <v>1930</v>
      </c>
      <c r="F422">
        <v>24998532</v>
      </c>
      <c r="G422" t="s">
        <v>186</v>
      </c>
      <c r="H422" s="17">
        <v>7822636000168</v>
      </c>
      <c r="I422" s="17">
        <v>90739624004458</v>
      </c>
      <c r="J422" t="s">
        <v>2</v>
      </c>
      <c r="K422" s="9" t="s">
        <v>1931</v>
      </c>
      <c r="L422" t="s">
        <v>44</v>
      </c>
      <c r="M422">
        <v>4212</v>
      </c>
      <c r="N422" s="2" t="s">
        <v>581</v>
      </c>
      <c r="O422" s="9" t="s">
        <v>674</v>
      </c>
      <c r="P422" t="s">
        <v>1932</v>
      </c>
      <c r="T422" s="2"/>
      <c r="U422" s="2" t="s">
        <v>718</v>
      </c>
    </row>
    <row r="423" spans="1:21" x14ac:dyDescent="0.3">
      <c r="A423">
        <v>269308</v>
      </c>
      <c r="B423" t="s">
        <v>46</v>
      </c>
      <c r="C423" t="s">
        <v>59</v>
      </c>
      <c r="D423" t="s">
        <v>58</v>
      </c>
      <c r="E423" s="1" t="s">
        <v>1933</v>
      </c>
      <c r="F423">
        <v>24998492</v>
      </c>
      <c r="G423" t="s">
        <v>60</v>
      </c>
      <c r="H423" s="17">
        <v>7473735018200</v>
      </c>
      <c r="I423" s="17">
        <v>90739624002323</v>
      </c>
      <c r="J423" t="s">
        <v>2</v>
      </c>
      <c r="K423" s="9" t="s">
        <v>1934</v>
      </c>
      <c r="L423" t="s">
        <v>44</v>
      </c>
      <c r="M423">
        <v>74383</v>
      </c>
      <c r="N423" s="2" t="s">
        <v>581</v>
      </c>
      <c r="O423" s="9" t="s">
        <v>1934</v>
      </c>
      <c r="P423" t="s">
        <v>1935</v>
      </c>
      <c r="T423" s="2"/>
      <c r="U423" s="2" t="s">
        <v>718</v>
      </c>
    </row>
    <row r="424" spans="1:21" x14ac:dyDescent="0.3">
      <c r="A424">
        <v>269308</v>
      </c>
      <c r="B424" t="s">
        <v>46</v>
      </c>
      <c r="C424" t="s">
        <v>102</v>
      </c>
      <c r="D424" t="s">
        <v>58</v>
      </c>
      <c r="E424" s="1" t="s">
        <v>1936</v>
      </c>
      <c r="F424">
        <v>24998121</v>
      </c>
      <c r="G424" t="s">
        <v>360</v>
      </c>
      <c r="H424" s="17">
        <v>7473735006201</v>
      </c>
      <c r="I424" s="17">
        <v>90739624002323</v>
      </c>
      <c r="J424" t="s">
        <v>2</v>
      </c>
      <c r="K424" s="9" t="s">
        <v>1937</v>
      </c>
      <c r="L424" t="s">
        <v>44</v>
      </c>
      <c r="M424">
        <v>11596</v>
      </c>
      <c r="N424" s="2" t="s">
        <v>581</v>
      </c>
      <c r="O424" s="9" t="s">
        <v>1937</v>
      </c>
      <c r="P424" t="s">
        <v>1938</v>
      </c>
      <c r="T424" s="2"/>
      <c r="U424" s="2" t="s">
        <v>718</v>
      </c>
    </row>
    <row r="425" spans="1:21" x14ac:dyDescent="0.3">
      <c r="A425">
        <v>269308</v>
      </c>
      <c r="B425" t="s">
        <v>46</v>
      </c>
      <c r="C425" t="s">
        <v>30</v>
      </c>
      <c r="D425" t="s">
        <v>11</v>
      </c>
      <c r="E425" s="1" t="s">
        <v>1939</v>
      </c>
      <c r="F425">
        <v>24998068</v>
      </c>
      <c r="G425" t="s">
        <v>143</v>
      </c>
      <c r="H425" s="17">
        <v>4505289000151</v>
      </c>
      <c r="I425" s="17">
        <v>90739624001866</v>
      </c>
      <c r="J425" t="s">
        <v>2</v>
      </c>
      <c r="K425" s="9" t="s">
        <v>1000</v>
      </c>
      <c r="L425" t="s">
        <v>44</v>
      </c>
      <c r="M425">
        <v>11662</v>
      </c>
      <c r="N425" s="2" t="s">
        <v>581</v>
      </c>
      <c r="O425" s="9" t="s">
        <v>1000</v>
      </c>
      <c r="P425" t="s">
        <v>1940</v>
      </c>
      <c r="T425" s="2"/>
      <c r="U425" s="2" t="s">
        <v>718</v>
      </c>
    </row>
    <row r="426" spans="1:21" x14ac:dyDescent="0.3">
      <c r="A426">
        <v>269308</v>
      </c>
      <c r="B426" t="s">
        <v>46</v>
      </c>
      <c r="C426" t="s">
        <v>135</v>
      </c>
      <c r="D426" t="s">
        <v>100</v>
      </c>
      <c r="E426" s="1" t="s">
        <v>1941</v>
      </c>
      <c r="F426">
        <v>24997957</v>
      </c>
      <c r="G426" t="s">
        <v>136</v>
      </c>
      <c r="H426" s="17">
        <v>33855749000170</v>
      </c>
      <c r="I426" s="17">
        <v>90739624001866</v>
      </c>
      <c r="J426" t="s">
        <v>2</v>
      </c>
      <c r="K426" s="9" t="s">
        <v>1942</v>
      </c>
      <c r="L426" t="s">
        <v>44</v>
      </c>
      <c r="M426">
        <v>21686</v>
      </c>
      <c r="N426" s="2" t="s">
        <v>581</v>
      </c>
      <c r="O426" s="9" t="s">
        <v>1942</v>
      </c>
      <c r="P426" t="s">
        <v>1943</v>
      </c>
      <c r="T426" s="2"/>
      <c r="U426" s="2" t="s">
        <v>718</v>
      </c>
    </row>
    <row r="427" spans="1:21" x14ac:dyDescent="0.3">
      <c r="A427">
        <v>269308</v>
      </c>
      <c r="B427" t="s">
        <v>46</v>
      </c>
      <c r="C427" t="s">
        <v>188</v>
      </c>
      <c r="D427" t="s">
        <v>100</v>
      </c>
      <c r="E427" s="1" t="s">
        <v>1944</v>
      </c>
      <c r="F427">
        <v>24997922</v>
      </c>
      <c r="G427" t="s">
        <v>189</v>
      </c>
      <c r="H427" s="17">
        <v>50128357000551</v>
      </c>
      <c r="I427" s="17">
        <v>90739624001866</v>
      </c>
      <c r="J427" t="s">
        <v>2</v>
      </c>
      <c r="K427" s="9" t="s">
        <v>1945</v>
      </c>
      <c r="L427" t="s">
        <v>44</v>
      </c>
      <c r="M427">
        <v>10251</v>
      </c>
      <c r="N427" s="2" t="s">
        <v>581</v>
      </c>
      <c r="O427" s="9" t="s">
        <v>1945</v>
      </c>
      <c r="P427" t="s">
        <v>1946</v>
      </c>
      <c r="T427" s="2"/>
      <c r="U427" s="2" t="s">
        <v>718</v>
      </c>
    </row>
    <row r="428" spans="1:21" x14ac:dyDescent="0.3">
      <c r="A428">
        <v>269308</v>
      </c>
      <c r="B428" t="s">
        <v>46</v>
      </c>
      <c r="C428" t="s">
        <v>128</v>
      </c>
      <c r="D428" t="s">
        <v>61</v>
      </c>
      <c r="E428" s="1" t="s">
        <v>1947</v>
      </c>
      <c r="F428">
        <v>24997907</v>
      </c>
      <c r="G428" t="s">
        <v>62</v>
      </c>
      <c r="H428" s="17">
        <v>79964177000591</v>
      </c>
      <c r="I428" s="17">
        <v>9576274000106</v>
      </c>
      <c r="J428" t="s">
        <v>2</v>
      </c>
      <c r="K428" s="9" t="s">
        <v>1948</v>
      </c>
      <c r="L428" t="s">
        <v>44</v>
      </c>
      <c r="M428">
        <v>820537</v>
      </c>
      <c r="N428" s="2" t="s">
        <v>581</v>
      </c>
      <c r="O428" s="9" t="s">
        <v>1948</v>
      </c>
      <c r="P428" t="s">
        <v>1949</v>
      </c>
      <c r="T428" s="2"/>
      <c r="U428" s="2" t="s">
        <v>718</v>
      </c>
    </row>
    <row r="429" spans="1:21" x14ac:dyDescent="0.3">
      <c r="A429">
        <v>269308</v>
      </c>
      <c r="B429" t="s">
        <v>46</v>
      </c>
      <c r="C429" t="s">
        <v>549</v>
      </c>
      <c r="D429" t="s">
        <v>28</v>
      </c>
      <c r="E429" s="1" t="s">
        <v>1950</v>
      </c>
      <c r="F429">
        <v>24997868</v>
      </c>
      <c r="G429" t="s">
        <v>186</v>
      </c>
      <c r="H429" s="17">
        <v>7822636000168</v>
      </c>
      <c r="I429" s="17">
        <v>90739624004458</v>
      </c>
      <c r="J429" t="s">
        <v>2</v>
      </c>
      <c r="K429" s="9" t="s">
        <v>1951</v>
      </c>
      <c r="L429" t="s">
        <v>44</v>
      </c>
      <c r="M429">
        <v>4210</v>
      </c>
      <c r="N429" s="2" t="s">
        <v>581</v>
      </c>
      <c r="O429" s="9" t="s">
        <v>1951</v>
      </c>
      <c r="P429" t="s">
        <v>1952</v>
      </c>
      <c r="T429" s="2"/>
      <c r="U429" s="2" t="s">
        <v>718</v>
      </c>
    </row>
    <row r="430" spans="1:21" x14ac:dyDescent="0.3">
      <c r="A430">
        <v>269308</v>
      </c>
      <c r="B430" t="s">
        <v>46</v>
      </c>
      <c r="C430" t="s">
        <v>131</v>
      </c>
      <c r="D430" t="s">
        <v>25</v>
      </c>
      <c r="E430" s="1" t="s">
        <v>1953</v>
      </c>
      <c r="F430">
        <v>24997854</v>
      </c>
      <c r="G430" t="s">
        <v>132</v>
      </c>
      <c r="H430" s="17">
        <v>10588554000105</v>
      </c>
      <c r="I430" s="17">
        <v>90739624003486</v>
      </c>
      <c r="J430" t="s">
        <v>2</v>
      </c>
      <c r="K430" s="9" t="s">
        <v>1954</v>
      </c>
      <c r="L430" t="s">
        <v>44</v>
      </c>
      <c r="M430">
        <v>33995</v>
      </c>
      <c r="N430" s="2" t="s">
        <v>581</v>
      </c>
      <c r="O430" s="9" t="s">
        <v>1954</v>
      </c>
      <c r="P430" t="s">
        <v>1955</v>
      </c>
      <c r="T430" s="2"/>
      <c r="U430" s="2" t="s">
        <v>718</v>
      </c>
    </row>
    <row r="431" spans="1:21" x14ac:dyDescent="0.3">
      <c r="A431">
        <v>269308</v>
      </c>
      <c r="B431" t="s">
        <v>88</v>
      </c>
      <c r="C431" t="s">
        <v>510</v>
      </c>
      <c r="D431" t="s">
        <v>36</v>
      </c>
      <c r="E431" s="1" t="s">
        <v>1956</v>
      </c>
      <c r="F431">
        <v>24997727</v>
      </c>
      <c r="G431" t="s">
        <v>37</v>
      </c>
      <c r="H431" s="17">
        <v>35257918000103</v>
      </c>
      <c r="I431" s="17"/>
      <c r="J431" t="s">
        <v>2</v>
      </c>
      <c r="K431" s="9" t="s">
        <v>1957</v>
      </c>
      <c r="L431" t="s">
        <v>87</v>
      </c>
      <c r="N431" s="2"/>
      <c r="O431" s="9"/>
      <c r="T431" s="2"/>
      <c r="U431" s="2" t="s">
        <v>718</v>
      </c>
    </row>
    <row r="432" spans="1:21" x14ac:dyDescent="0.3">
      <c r="A432">
        <v>269308</v>
      </c>
      <c r="B432" t="s">
        <v>88</v>
      </c>
      <c r="C432" t="s">
        <v>121</v>
      </c>
      <c r="D432" t="s">
        <v>120</v>
      </c>
      <c r="E432" s="1" t="s">
        <v>1958</v>
      </c>
      <c r="F432">
        <v>24997547</v>
      </c>
      <c r="G432" t="s">
        <v>1959</v>
      </c>
      <c r="H432" s="17">
        <v>5313833000126</v>
      </c>
      <c r="I432" s="17"/>
      <c r="J432" t="s">
        <v>2</v>
      </c>
      <c r="K432" s="9" t="s">
        <v>1960</v>
      </c>
      <c r="L432" t="s">
        <v>87</v>
      </c>
      <c r="N432" s="2"/>
      <c r="O432" s="9"/>
      <c r="T432" s="2"/>
      <c r="U432" s="2" t="s">
        <v>718</v>
      </c>
    </row>
    <row r="433" spans="1:21" x14ac:dyDescent="0.3">
      <c r="A433">
        <v>269308</v>
      </c>
      <c r="B433" t="s">
        <v>46</v>
      </c>
      <c r="C433" t="s">
        <v>703</v>
      </c>
      <c r="D433" t="s">
        <v>25</v>
      </c>
      <c r="E433" s="1" t="s">
        <v>1961</v>
      </c>
      <c r="F433">
        <v>24997533</v>
      </c>
      <c r="G433" t="s">
        <v>206</v>
      </c>
      <c r="H433" s="17">
        <v>50128357000128</v>
      </c>
      <c r="I433" s="17">
        <v>90739624003486</v>
      </c>
      <c r="J433" t="s">
        <v>2</v>
      </c>
      <c r="K433" s="9" t="s">
        <v>1962</v>
      </c>
      <c r="L433" t="s">
        <v>44</v>
      </c>
      <c r="M433">
        <v>144935</v>
      </c>
      <c r="N433" s="2" t="s">
        <v>581</v>
      </c>
      <c r="O433" s="9" t="s">
        <v>1962</v>
      </c>
      <c r="P433" t="s">
        <v>1963</v>
      </c>
      <c r="T433" s="2"/>
      <c r="U433" s="2" t="s">
        <v>718</v>
      </c>
    </row>
    <row r="434" spans="1:21" x14ac:dyDescent="0.3">
      <c r="A434">
        <v>269308</v>
      </c>
      <c r="B434" t="s">
        <v>46</v>
      </c>
      <c r="C434" t="s">
        <v>101</v>
      </c>
      <c r="D434" t="s">
        <v>100</v>
      </c>
      <c r="E434" s="1" t="s">
        <v>1964</v>
      </c>
      <c r="F434">
        <v>24996830</v>
      </c>
      <c r="G434" t="s">
        <v>27</v>
      </c>
      <c r="H434" s="17">
        <v>2031363000110</v>
      </c>
      <c r="I434" s="17">
        <v>90739624001947</v>
      </c>
      <c r="J434" t="s">
        <v>2</v>
      </c>
      <c r="K434" s="9" t="s">
        <v>1965</v>
      </c>
      <c r="L434" t="s">
        <v>44</v>
      </c>
      <c r="M434">
        <v>137988</v>
      </c>
      <c r="N434" s="2" t="s">
        <v>581</v>
      </c>
      <c r="O434" s="9" t="s">
        <v>1965</v>
      </c>
      <c r="P434" t="s">
        <v>1966</v>
      </c>
      <c r="T434" s="2"/>
      <c r="U434" s="2" t="s">
        <v>718</v>
      </c>
    </row>
    <row r="435" spans="1:21" x14ac:dyDescent="0.3">
      <c r="A435">
        <v>269308</v>
      </c>
      <c r="B435" t="s">
        <v>46</v>
      </c>
      <c r="C435" t="s">
        <v>368</v>
      </c>
      <c r="D435" t="s">
        <v>31</v>
      </c>
      <c r="E435" s="1" t="s">
        <v>1967</v>
      </c>
      <c r="F435">
        <v>24996796</v>
      </c>
      <c r="G435" t="s">
        <v>56</v>
      </c>
      <c r="H435" s="17">
        <v>8603562000212</v>
      </c>
      <c r="I435" s="17">
        <v>90739624001866</v>
      </c>
      <c r="J435" t="s">
        <v>2</v>
      </c>
      <c r="K435" s="9" t="s">
        <v>1968</v>
      </c>
      <c r="L435" t="s">
        <v>44</v>
      </c>
      <c r="M435">
        <v>54811</v>
      </c>
      <c r="N435" s="2" t="s">
        <v>581</v>
      </c>
      <c r="O435" s="9" t="s">
        <v>1968</v>
      </c>
      <c r="P435" t="s">
        <v>1969</v>
      </c>
      <c r="T435" s="2"/>
      <c r="U435" s="2" t="s">
        <v>718</v>
      </c>
    </row>
    <row r="436" spans="1:21" x14ac:dyDescent="0.3">
      <c r="A436">
        <v>269308</v>
      </c>
      <c r="B436" t="s">
        <v>46</v>
      </c>
      <c r="C436" t="s">
        <v>154</v>
      </c>
      <c r="D436" t="s">
        <v>8</v>
      </c>
      <c r="E436" s="1" t="s">
        <v>1970</v>
      </c>
      <c r="F436">
        <v>24996110</v>
      </c>
      <c r="G436" t="s">
        <v>144</v>
      </c>
      <c r="H436" s="17">
        <v>37607755000169</v>
      </c>
      <c r="I436" s="17">
        <v>9576274000106</v>
      </c>
      <c r="J436" t="s">
        <v>2</v>
      </c>
      <c r="K436" s="9" t="s">
        <v>1971</v>
      </c>
      <c r="L436" t="s">
        <v>44</v>
      </c>
      <c r="M436">
        <v>10608</v>
      </c>
      <c r="N436" s="2" t="s">
        <v>581</v>
      </c>
      <c r="O436" s="9" t="s">
        <v>1971</v>
      </c>
      <c r="P436" t="s">
        <v>1972</v>
      </c>
      <c r="T436" s="2"/>
      <c r="U436" s="2" t="s">
        <v>718</v>
      </c>
    </row>
    <row r="437" spans="1:21" x14ac:dyDescent="0.3">
      <c r="A437">
        <v>269308</v>
      </c>
      <c r="B437" t="s">
        <v>46</v>
      </c>
      <c r="C437" t="s">
        <v>296</v>
      </c>
      <c r="D437" t="s">
        <v>28</v>
      </c>
      <c r="E437" s="1" t="s">
        <v>1973</v>
      </c>
      <c r="F437">
        <v>24995256</v>
      </c>
      <c r="G437" t="s">
        <v>1974</v>
      </c>
      <c r="H437" s="17">
        <v>5658776000117</v>
      </c>
      <c r="I437" s="17">
        <v>90739624001947</v>
      </c>
      <c r="J437" t="s">
        <v>2</v>
      </c>
      <c r="K437" s="9" t="s">
        <v>1975</v>
      </c>
      <c r="L437" t="s">
        <v>44</v>
      </c>
      <c r="M437">
        <v>236524</v>
      </c>
      <c r="N437" s="2" t="s">
        <v>602</v>
      </c>
      <c r="O437" s="9" t="s">
        <v>1975</v>
      </c>
      <c r="P437" t="s">
        <v>1976</v>
      </c>
      <c r="T437" s="2"/>
      <c r="U437" s="2" t="s">
        <v>718</v>
      </c>
    </row>
    <row r="438" spans="1:21" x14ac:dyDescent="0.3">
      <c r="A438">
        <v>269308</v>
      </c>
      <c r="B438" t="s">
        <v>46</v>
      </c>
      <c r="C438" t="s">
        <v>322</v>
      </c>
      <c r="D438" t="s">
        <v>28</v>
      </c>
      <c r="E438" s="1" t="s">
        <v>1977</v>
      </c>
      <c r="F438">
        <v>24995224</v>
      </c>
      <c r="G438" t="s">
        <v>487</v>
      </c>
      <c r="H438" s="17">
        <v>148072000180</v>
      </c>
      <c r="I438" s="17">
        <v>90739624001947</v>
      </c>
      <c r="J438" t="s">
        <v>2</v>
      </c>
      <c r="K438" s="9" t="s">
        <v>1978</v>
      </c>
      <c r="L438" t="s">
        <v>44</v>
      </c>
      <c r="M438">
        <v>124985</v>
      </c>
      <c r="N438" s="2" t="s">
        <v>583</v>
      </c>
      <c r="O438" s="9" t="s">
        <v>1978</v>
      </c>
      <c r="P438" t="s">
        <v>1979</v>
      </c>
      <c r="T438" s="2"/>
      <c r="U438" s="2" t="s">
        <v>718</v>
      </c>
    </row>
    <row r="439" spans="1:21" x14ac:dyDescent="0.3">
      <c r="A439">
        <v>269308</v>
      </c>
      <c r="B439" t="s">
        <v>46</v>
      </c>
      <c r="C439" t="s">
        <v>141</v>
      </c>
      <c r="D439" t="s">
        <v>61</v>
      </c>
      <c r="E439" s="1" t="s">
        <v>1980</v>
      </c>
      <c r="F439">
        <v>24994900</v>
      </c>
      <c r="G439" t="s">
        <v>62</v>
      </c>
      <c r="H439" s="17">
        <v>79964177000591</v>
      </c>
      <c r="I439" s="17">
        <v>9576274000106</v>
      </c>
      <c r="J439" t="s">
        <v>2</v>
      </c>
      <c r="K439" s="9" t="s">
        <v>582</v>
      </c>
      <c r="L439" t="s">
        <v>44</v>
      </c>
      <c r="M439">
        <v>820526</v>
      </c>
      <c r="N439" s="2" t="s">
        <v>581</v>
      </c>
      <c r="O439" s="9" t="s">
        <v>582</v>
      </c>
      <c r="P439" t="s">
        <v>1981</v>
      </c>
      <c r="T439" s="2"/>
      <c r="U439" s="2" t="s">
        <v>718</v>
      </c>
    </row>
    <row r="440" spans="1:21" x14ac:dyDescent="0.3">
      <c r="A440">
        <v>269308</v>
      </c>
      <c r="B440" t="s">
        <v>46</v>
      </c>
      <c r="C440" t="s">
        <v>293</v>
      </c>
      <c r="D440" t="s">
        <v>61</v>
      </c>
      <c r="E440" s="1" t="s">
        <v>1982</v>
      </c>
      <c r="F440">
        <v>24994720</v>
      </c>
      <c r="G440" t="s">
        <v>62</v>
      </c>
      <c r="H440" s="17">
        <v>79964177000591</v>
      </c>
      <c r="I440" s="17">
        <v>9576274000106</v>
      </c>
      <c r="J440" t="s">
        <v>2</v>
      </c>
      <c r="K440" s="9" t="s">
        <v>1983</v>
      </c>
      <c r="L440" t="s">
        <v>44</v>
      </c>
      <c r="M440">
        <v>820525</v>
      </c>
      <c r="N440" s="2" t="s">
        <v>581</v>
      </c>
      <c r="O440" s="9" t="s">
        <v>1983</v>
      </c>
      <c r="P440" t="s">
        <v>1984</v>
      </c>
      <c r="T440" s="2"/>
      <c r="U440" s="2" t="s">
        <v>718</v>
      </c>
    </row>
    <row r="441" spans="1:21" x14ac:dyDescent="0.3">
      <c r="A441">
        <v>269308</v>
      </c>
      <c r="B441" t="s">
        <v>46</v>
      </c>
      <c r="C441" t="s">
        <v>519</v>
      </c>
      <c r="D441" t="s">
        <v>170</v>
      </c>
      <c r="E441" s="1" t="s">
        <v>1985</v>
      </c>
      <c r="F441">
        <v>24994678</v>
      </c>
      <c r="G441" t="s">
        <v>178</v>
      </c>
      <c r="H441" s="17">
        <v>83392050000199</v>
      </c>
      <c r="I441" s="17">
        <v>90739624001432</v>
      </c>
      <c r="J441" t="s">
        <v>2</v>
      </c>
      <c r="K441" s="9" t="s">
        <v>1986</v>
      </c>
      <c r="L441" t="s">
        <v>44</v>
      </c>
      <c r="M441">
        <v>129728</v>
      </c>
      <c r="N441" s="2" t="s">
        <v>581</v>
      </c>
      <c r="O441" s="9" t="s">
        <v>1986</v>
      </c>
      <c r="P441" t="s">
        <v>1987</v>
      </c>
      <c r="T441" s="2"/>
      <c r="U441" s="2" t="s">
        <v>718</v>
      </c>
    </row>
    <row r="442" spans="1:21" x14ac:dyDescent="0.3">
      <c r="A442">
        <v>269308</v>
      </c>
      <c r="B442" t="s">
        <v>46</v>
      </c>
      <c r="C442" t="s">
        <v>284</v>
      </c>
      <c r="D442" t="s">
        <v>0</v>
      </c>
      <c r="E442" s="1" t="s">
        <v>1988</v>
      </c>
      <c r="F442">
        <v>24994132</v>
      </c>
      <c r="G442" t="s">
        <v>200</v>
      </c>
      <c r="H442" s="17">
        <v>4308884000520</v>
      </c>
      <c r="I442" s="17">
        <v>90739624001432</v>
      </c>
      <c r="J442" t="s">
        <v>2</v>
      </c>
      <c r="K442" s="9" t="s">
        <v>1989</v>
      </c>
      <c r="L442" t="s">
        <v>44</v>
      </c>
      <c r="M442">
        <v>35491</v>
      </c>
      <c r="N442" s="2" t="s">
        <v>581</v>
      </c>
      <c r="O442" s="9" t="s">
        <v>1989</v>
      </c>
      <c r="P442" t="s">
        <v>1990</v>
      </c>
      <c r="T442" s="2"/>
      <c r="U442" s="2" t="s">
        <v>718</v>
      </c>
    </row>
    <row r="443" spans="1:21" x14ac:dyDescent="0.3">
      <c r="A443">
        <v>269308</v>
      </c>
      <c r="B443" t="s">
        <v>46</v>
      </c>
      <c r="C443" t="s">
        <v>381</v>
      </c>
      <c r="D443" t="s">
        <v>170</v>
      </c>
      <c r="E443" s="1" t="s">
        <v>1991</v>
      </c>
      <c r="F443">
        <v>24994120</v>
      </c>
      <c r="G443" t="s">
        <v>178</v>
      </c>
      <c r="H443" s="17">
        <v>83392050000199</v>
      </c>
      <c r="I443" s="17">
        <v>90739624001432</v>
      </c>
      <c r="J443" t="s">
        <v>2</v>
      </c>
      <c r="K443" s="9" t="s">
        <v>1992</v>
      </c>
      <c r="L443" t="s">
        <v>44</v>
      </c>
      <c r="M443">
        <v>129725</v>
      </c>
      <c r="N443" s="2" t="s">
        <v>581</v>
      </c>
      <c r="O443" s="9" t="s">
        <v>1992</v>
      </c>
      <c r="P443" t="s">
        <v>1993</v>
      </c>
      <c r="T443" s="2"/>
      <c r="U443" s="2" t="s">
        <v>718</v>
      </c>
    </row>
    <row r="444" spans="1:21" x14ac:dyDescent="0.3">
      <c r="A444">
        <v>269308</v>
      </c>
      <c r="B444" t="s">
        <v>46</v>
      </c>
      <c r="C444" t="s">
        <v>153</v>
      </c>
      <c r="D444" t="s">
        <v>58</v>
      </c>
      <c r="E444" s="1" t="s">
        <v>1994</v>
      </c>
      <c r="F444">
        <v>24992894</v>
      </c>
      <c r="G444" t="s">
        <v>106</v>
      </c>
      <c r="H444" s="17">
        <v>7473735015103</v>
      </c>
      <c r="I444" s="17">
        <v>90739624002323</v>
      </c>
      <c r="J444" t="s">
        <v>2</v>
      </c>
      <c r="K444" s="9" t="s">
        <v>1995</v>
      </c>
      <c r="L444" t="s">
        <v>44</v>
      </c>
      <c r="M444">
        <v>111076</v>
      </c>
      <c r="N444" s="2" t="s">
        <v>581</v>
      </c>
      <c r="O444" s="9" t="s">
        <v>1995</v>
      </c>
      <c r="P444" t="s">
        <v>1996</v>
      </c>
      <c r="T444" s="2"/>
      <c r="U444" s="2" t="s">
        <v>718</v>
      </c>
    </row>
    <row r="445" spans="1:21" x14ac:dyDescent="0.3">
      <c r="A445">
        <v>269308</v>
      </c>
      <c r="B445" t="s">
        <v>46</v>
      </c>
      <c r="C445" t="s">
        <v>273</v>
      </c>
      <c r="D445" t="s">
        <v>31</v>
      </c>
      <c r="E445" s="1" t="s">
        <v>1997</v>
      </c>
      <c r="F445">
        <v>24992851</v>
      </c>
      <c r="G445" t="s">
        <v>56</v>
      </c>
      <c r="H445" s="17">
        <v>8603562000212</v>
      </c>
      <c r="I445" s="17">
        <v>90739624001866</v>
      </c>
      <c r="J445" t="s">
        <v>2</v>
      </c>
      <c r="K445" s="9" t="s">
        <v>1998</v>
      </c>
      <c r="L445" t="s">
        <v>44</v>
      </c>
      <c r="M445">
        <v>54807</v>
      </c>
      <c r="N445" s="2" t="s">
        <v>581</v>
      </c>
      <c r="O445" s="9" t="s">
        <v>1998</v>
      </c>
      <c r="P445" t="s">
        <v>1999</v>
      </c>
      <c r="T445" s="2"/>
      <c r="U445" s="2" t="s">
        <v>718</v>
      </c>
    </row>
    <row r="446" spans="1:21" x14ac:dyDescent="0.3">
      <c r="A446">
        <v>269308</v>
      </c>
      <c r="B446" t="s">
        <v>46</v>
      </c>
      <c r="C446" t="s">
        <v>89</v>
      </c>
      <c r="D446" t="s">
        <v>11</v>
      </c>
      <c r="E446" s="1" t="s">
        <v>2000</v>
      </c>
      <c r="F446">
        <v>24992690</v>
      </c>
      <c r="G446" t="s">
        <v>95</v>
      </c>
      <c r="H446" s="17">
        <v>37489429000102</v>
      </c>
      <c r="I446" s="17">
        <v>90739624001947</v>
      </c>
      <c r="J446" t="s">
        <v>2</v>
      </c>
      <c r="K446" s="9" t="s">
        <v>2001</v>
      </c>
      <c r="L446" t="s">
        <v>44</v>
      </c>
      <c r="M446">
        <v>4420</v>
      </c>
      <c r="N446" s="2" t="s">
        <v>581</v>
      </c>
      <c r="O446" s="9" t="s">
        <v>2001</v>
      </c>
      <c r="P446" t="s">
        <v>2002</v>
      </c>
      <c r="T446" s="2"/>
      <c r="U446" s="2" t="s">
        <v>718</v>
      </c>
    </row>
    <row r="447" spans="1:21" x14ac:dyDescent="0.3">
      <c r="A447">
        <v>269308</v>
      </c>
      <c r="B447" t="s">
        <v>46</v>
      </c>
      <c r="C447" t="s">
        <v>298</v>
      </c>
      <c r="D447" t="s">
        <v>49</v>
      </c>
      <c r="E447" s="1" t="s">
        <v>2003</v>
      </c>
      <c r="F447">
        <v>24992093</v>
      </c>
      <c r="G447" t="s">
        <v>299</v>
      </c>
      <c r="H447" s="17">
        <v>7388800000170</v>
      </c>
      <c r="I447" s="17">
        <v>9576274000106</v>
      </c>
      <c r="J447" t="s">
        <v>2</v>
      </c>
      <c r="K447" s="9" t="s">
        <v>2004</v>
      </c>
      <c r="L447" t="s">
        <v>44</v>
      </c>
      <c r="M447">
        <v>103666</v>
      </c>
      <c r="N447" s="2" t="s">
        <v>581</v>
      </c>
      <c r="O447" s="9" t="s">
        <v>2004</v>
      </c>
      <c r="P447" t="s">
        <v>2005</v>
      </c>
      <c r="T447" s="2"/>
      <c r="U447" s="2" t="s">
        <v>718</v>
      </c>
    </row>
    <row r="448" spans="1:21" x14ac:dyDescent="0.3">
      <c r="A448">
        <v>269308</v>
      </c>
      <c r="B448" t="s">
        <v>46</v>
      </c>
      <c r="C448" t="s">
        <v>351</v>
      </c>
      <c r="D448" t="s">
        <v>61</v>
      </c>
      <c r="E448" s="1" t="s">
        <v>2006</v>
      </c>
      <c r="F448">
        <v>24991756</v>
      </c>
      <c r="G448" t="s">
        <v>85</v>
      </c>
      <c r="H448" s="17">
        <v>1975878000105</v>
      </c>
      <c r="I448" s="17">
        <v>9576274000106</v>
      </c>
      <c r="J448" t="s">
        <v>2</v>
      </c>
      <c r="K448" s="9" t="s">
        <v>2007</v>
      </c>
      <c r="L448" t="s">
        <v>44</v>
      </c>
      <c r="M448">
        <v>2523</v>
      </c>
      <c r="N448" s="2" t="s">
        <v>581</v>
      </c>
      <c r="O448" s="9" t="s">
        <v>2008</v>
      </c>
      <c r="P448" t="s">
        <v>2009</v>
      </c>
      <c r="T448" s="2"/>
      <c r="U448" s="2" t="s">
        <v>718</v>
      </c>
    </row>
    <row r="449" spans="1:21" x14ac:dyDescent="0.3">
      <c r="A449">
        <v>269308</v>
      </c>
      <c r="B449" t="s">
        <v>46</v>
      </c>
      <c r="C449" t="s">
        <v>110</v>
      </c>
      <c r="D449" t="s">
        <v>31</v>
      </c>
      <c r="E449" s="1" t="s">
        <v>2010</v>
      </c>
      <c r="F449">
        <v>24991752</v>
      </c>
      <c r="G449" t="s">
        <v>142</v>
      </c>
      <c r="H449" s="17">
        <v>54494203000100</v>
      </c>
      <c r="I449" s="17">
        <v>90739624001866</v>
      </c>
      <c r="J449" t="s">
        <v>2</v>
      </c>
      <c r="K449" s="9" t="s">
        <v>2011</v>
      </c>
      <c r="L449" t="s">
        <v>44</v>
      </c>
      <c r="M449">
        <v>16041</v>
      </c>
      <c r="N449" s="2" t="s">
        <v>1039</v>
      </c>
      <c r="O449" s="9" t="s">
        <v>2011</v>
      </c>
      <c r="P449" t="s">
        <v>2012</v>
      </c>
      <c r="T449" s="2"/>
      <c r="U449" s="2" t="s">
        <v>718</v>
      </c>
    </row>
    <row r="450" spans="1:21" x14ac:dyDescent="0.3">
      <c r="A450">
        <v>269308</v>
      </c>
      <c r="B450" t="s">
        <v>46</v>
      </c>
      <c r="C450" t="s">
        <v>1309</v>
      </c>
      <c r="D450" t="s">
        <v>63</v>
      </c>
      <c r="E450" s="1" t="s">
        <v>2013</v>
      </c>
      <c r="F450">
        <v>24991637</v>
      </c>
      <c r="G450" t="s">
        <v>919</v>
      </c>
      <c r="H450" s="17">
        <v>20630766000167</v>
      </c>
      <c r="I450" s="17">
        <v>90739624001432</v>
      </c>
      <c r="J450" t="s">
        <v>2</v>
      </c>
      <c r="K450" s="9" t="s">
        <v>2014</v>
      </c>
      <c r="L450" t="s">
        <v>44</v>
      </c>
      <c r="M450">
        <v>59131</v>
      </c>
      <c r="N450" s="2" t="s">
        <v>581</v>
      </c>
      <c r="O450" s="9" t="s">
        <v>2014</v>
      </c>
      <c r="P450" t="s">
        <v>2015</v>
      </c>
      <c r="T450" s="2"/>
      <c r="U450" s="2" t="s">
        <v>718</v>
      </c>
    </row>
    <row r="451" spans="1:21" x14ac:dyDescent="0.3">
      <c r="A451">
        <v>269308</v>
      </c>
      <c r="B451" t="s">
        <v>46</v>
      </c>
      <c r="C451" t="s">
        <v>641</v>
      </c>
      <c r="D451" t="s">
        <v>99</v>
      </c>
      <c r="E451" s="1" t="s">
        <v>2016</v>
      </c>
      <c r="F451">
        <v>24991595</v>
      </c>
      <c r="G451" t="s">
        <v>507</v>
      </c>
      <c r="H451" s="17">
        <v>3626094001330</v>
      </c>
      <c r="I451" s="17">
        <v>9576274000106</v>
      </c>
      <c r="J451" t="s">
        <v>2</v>
      </c>
      <c r="K451" s="9" t="s">
        <v>2017</v>
      </c>
      <c r="L451" t="s">
        <v>44</v>
      </c>
      <c r="M451">
        <v>50566</v>
      </c>
      <c r="N451" s="2" t="s">
        <v>581</v>
      </c>
      <c r="O451" s="9" t="s">
        <v>2017</v>
      </c>
      <c r="P451" t="s">
        <v>2018</v>
      </c>
      <c r="T451" s="2"/>
      <c r="U451" s="2" t="s">
        <v>718</v>
      </c>
    </row>
    <row r="452" spans="1:21" x14ac:dyDescent="0.3">
      <c r="A452">
        <v>269308</v>
      </c>
      <c r="B452" t="s">
        <v>46</v>
      </c>
      <c r="C452" t="s">
        <v>657</v>
      </c>
      <c r="D452" t="s">
        <v>58</v>
      </c>
      <c r="E452" s="1" t="s">
        <v>2019</v>
      </c>
      <c r="F452">
        <v>24991582</v>
      </c>
      <c r="G452" t="s">
        <v>1530</v>
      </c>
      <c r="H452" s="17">
        <v>7473735007941</v>
      </c>
      <c r="I452" s="17">
        <v>90739624002323</v>
      </c>
      <c r="J452" t="s">
        <v>2</v>
      </c>
      <c r="K452" s="9" t="s">
        <v>2020</v>
      </c>
      <c r="L452" t="s">
        <v>44</v>
      </c>
      <c r="M452">
        <v>101048</v>
      </c>
      <c r="N452" s="2" t="s">
        <v>581</v>
      </c>
      <c r="O452" s="9" t="s">
        <v>2020</v>
      </c>
      <c r="P452" t="s">
        <v>2021</v>
      </c>
      <c r="T452" s="2"/>
      <c r="U452" s="2" t="s">
        <v>718</v>
      </c>
    </row>
    <row r="453" spans="1:21" x14ac:dyDescent="0.3">
      <c r="A453">
        <v>269308</v>
      </c>
      <c r="B453" t="s">
        <v>46</v>
      </c>
      <c r="C453" t="s">
        <v>125</v>
      </c>
      <c r="D453" t="s">
        <v>31</v>
      </c>
      <c r="E453" s="1" t="s">
        <v>2022</v>
      </c>
      <c r="F453">
        <v>24991430</v>
      </c>
      <c r="G453" t="s">
        <v>56</v>
      </c>
      <c r="H453" s="17">
        <v>8603562000212</v>
      </c>
      <c r="I453" s="17">
        <v>90739624001866</v>
      </c>
      <c r="J453" t="s">
        <v>2</v>
      </c>
      <c r="K453" s="9" t="s">
        <v>2023</v>
      </c>
      <c r="L453" t="s">
        <v>44</v>
      </c>
      <c r="M453">
        <v>54804</v>
      </c>
      <c r="N453" s="2" t="s">
        <v>581</v>
      </c>
      <c r="O453" s="9" t="s">
        <v>2023</v>
      </c>
      <c r="P453" t="s">
        <v>2024</v>
      </c>
      <c r="T453" s="2"/>
      <c r="U453" s="2" t="s">
        <v>718</v>
      </c>
    </row>
    <row r="454" spans="1:21" x14ac:dyDescent="0.3">
      <c r="A454">
        <v>269308</v>
      </c>
      <c r="B454" t="s">
        <v>46</v>
      </c>
      <c r="C454" t="s">
        <v>212</v>
      </c>
      <c r="D454" t="s">
        <v>28</v>
      </c>
      <c r="E454" s="1" t="s">
        <v>2025</v>
      </c>
      <c r="F454">
        <v>24991428</v>
      </c>
      <c r="G454" t="s">
        <v>48</v>
      </c>
      <c r="H454" s="17">
        <v>1272434001002</v>
      </c>
      <c r="I454" s="17">
        <v>90739624001947</v>
      </c>
      <c r="J454" t="s">
        <v>2</v>
      </c>
      <c r="K454" s="9" t="s">
        <v>2026</v>
      </c>
      <c r="L454" t="s">
        <v>44</v>
      </c>
      <c r="M454">
        <v>81321</v>
      </c>
      <c r="N454" s="2" t="s">
        <v>581</v>
      </c>
      <c r="O454" s="9" t="s">
        <v>2026</v>
      </c>
      <c r="P454" t="s">
        <v>2027</v>
      </c>
      <c r="T454" s="2"/>
      <c r="U454" s="2" t="s">
        <v>718</v>
      </c>
    </row>
    <row r="455" spans="1:21" x14ac:dyDescent="0.3">
      <c r="A455">
        <v>269308</v>
      </c>
      <c r="B455" t="s">
        <v>46</v>
      </c>
      <c r="C455" t="s">
        <v>2028</v>
      </c>
      <c r="D455" t="s">
        <v>0</v>
      </c>
      <c r="E455" s="1" t="s">
        <v>2029</v>
      </c>
      <c r="F455">
        <v>24991408</v>
      </c>
      <c r="G455" t="s">
        <v>134</v>
      </c>
      <c r="H455" s="17">
        <v>81326258000770</v>
      </c>
      <c r="I455" s="17">
        <v>90739624001432</v>
      </c>
      <c r="J455" t="s">
        <v>2</v>
      </c>
      <c r="K455" s="9" t="s">
        <v>2030</v>
      </c>
      <c r="L455" t="s">
        <v>44</v>
      </c>
      <c r="M455">
        <v>101284</v>
      </c>
      <c r="N455" s="2" t="s">
        <v>581</v>
      </c>
      <c r="O455" s="9" t="s">
        <v>2030</v>
      </c>
      <c r="P455" t="s">
        <v>2031</v>
      </c>
      <c r="T455" s="2"/>
      <c r="U455" s="2" t="s">
        <v>718</v>
      </c>
    </row>
    <row r="456" spans="1:21" x14ac:dyDescent="0.3">
      <c r="A456">
        <v>269308</v>
      </c>
      <c r="B456" t="s">
        <v>46</v>
      </c>
      <c r="C456" t="s">
        <v>163</v>
      </c>
      <c r="D456" t="s">
        <v>61</v>
      </c>
      <c r="E456" s="1" t="s">
        <v>2032</v>
      </c>
      <c r="F456">
        <v>24991277</v>
      </c>
      <c r="G456" t="s">
        <v>62</v>
      </c>
      <c r="H456" s="17">
        <v>79964177000591</v>
      </c>
      <c r="I456" s="17">
        <v>9576274000106</v>
      </c>
      <c r="J456" t="s">
        <v>2</v>
      </c>
      <c r="K456" s="9" t="s">
        <v>2033</v>
      </c>
      <c r="L456" t="s">
        <v>44</v>
      </c>
      <c r="M456">
        <v>820516</v>
      </c>
      <c r="N456" s="2" t="s">
        <v>581</v>
      </c>
      <c r="O456" s="9" t="s">
        <v>2033</v>
      </c>
      <c r="P456" t="s">
        <v>2034</v>
      </c>
      <c r="T456" s="2"/>
      <c r="U456" s="2" t="s">
        <v>718</v>
      </c>
    </row>
    <row r="457" spans="1:21" x14ac:dyDescent="0.3">
      <c r="A457">
        <v>269308</v>
      </c>
      <c r="B457" t="s">
        <v>46</v>
      </c>
      <c r="C457" t="s">
        <v>145</v>
      </c>
      <c r="D457" t="s">
        <v>8</v>
      </c>
      <c r="E457" s="1" t="s">
        <v>2035</v>
      </c>
      <c r="F457">
        <v>24991069</v>
      </c>
      <c r="G457" t="s">
        <v>10</v>
      </c>
      <c r="H457" s="17">
        <v>33286065000102</v>
      </c>
      <c r="I457" s="17">
        <v>9576274000106</v>
      </c>
      <c r="J457" t="s">
        <v>2</v>
      </c>
      <c r="K457" s="9" t="s">
        <v>2036</v>
      </c>
      <c r="L457" t="s">
        <v>44</v>
      </c>
      <c r="M457">
        <v>10450</v>
      </c>
      <c r="N457" s="2" t="s">
        <v>581</v>
      </c>
      <c r="O457" s="9" t="s">
        <v>2036</v>
      </c>
      <c r="P457" t="s">
        <v>2037</v>
      </c>
      <c r="T457" s="2"/>
      <c r="U457" s="2" t="s">
        <v>718</v>
      </c>
    </row>
    <row r="458" spans="1:21" x14ac:dyDescent="0.3">
      <c r="A458">
        <v>269308</v>
      </c>
      <c r="B458" t="s">
        <v>46</v>
      </c>
      <c r="C458" t="s">
        <v>242</v>
      </c>
      <c r="D458" t="s">
        <v>65</v>
      </c>
      <c r="E458" s="1" t="s">
        <v>2038</v>
      </c>
      <c r="F458">
        <v>24991032</v>
      </c>
      <c r="G458" t="s">
        <v>2039</v>
      </c>
      <c r="H458" s="17">
        <v>7473735010578</v>
      </c>
      <c r="I458" s="17">
        <v>90739624002323</v>
      </c>
      <c r="J458" t="s">
        <v>2</v>
      </c>
      <c r="K458" s="9" t="s">
        <v>2040</v>
      </c>
      <c r="L458" t="s">
        <v>44</v>
      </c>
      <c r="M458">
        <v>63411</v>
      </c>
      <c r="N458" s="2" t="s">
        <v>581</v>
      </c>
      <c r="O458" s="9" t="s">
        <v>2040</v>
      </c>
      <c r="P458" t="s">
        <v>2041</v>
      </c>
      <c r="T458" s="2"/>
      <c r="U458" s="2" t="s">
        <v>718</v>
      </c>
    </row>
    <row r="459" spans="1:21" x14ac:dyDescent="0.3">
      <c r="A459">
        <v>269308</v>
      </c>
      <c r="B459" t="s">
        <v>88</v>
      </c>
      <c r="C459" t="s">
        <v>55</v>
      </c>
      <c r="D459" t="s">
        <v>31</v>
      </c>
      <c r="E459" s="1" t="s">
        <v>2042</v>
      </c>
      <c r="F459">
        <v>24990878</v>
      </c>
      <c r="G459" t="s">
        <v>184</v>
      </c>
      <c r="H459" s="17">
        <v>8399617000303</v>
      </c>
      <c r="I459" s="17"/>
      <c r="J459" t="s">
        <v>2</v>
      </c>
      <c r="K459" s="9" t="s">
        <v>2043</v>
      </c>
      <c r="L459" t="s">
        <v>87</v>
      </c>
      <c r="N459" s="2"/>
      <c r="O459" s="9"/>
      <c r="T459" s="2"/>
      <c r="U459" s="2" t="s">
        <v>718</v>
      </c>
    </row>
    <row r="460" spans="1:21" x14ac:dyDescent="0.3">
      <c r="A460">
        <v>269308</v>
      </c>
      <c r="B460" t="s">
        <v>46</v>
      </c>
      <c r="C460" t="s">
        <v>116</v>
      </c>
      <c r="D460" t="s">
        <v>11</v>
      </c>
      <c r="E460" s="1" t="s">
        <v>2044</v>
      </c>
      <c r="F460">
        <v>24990873</v>
      </c>
      <c r="G460" t="s">
        <v>95</v>
      </c>
      <c r="H460" s="17">
        <v>37489429000102</v>
      </c>
      <c r="I460" s="17">
        <v>90739624001947</v>
      </c>
      <c r="J460" t="s">
        <v>2</v>
      </c>
      <c r="K460" s="9" t="s">
        <v>2045</v>
      </c>
      <c r="L460" t="s">
        <v>44</v>
      </c>
      <c r="M460">
        <v>4419</v>
      </c>
      <c r="N460" s="2" t="s">
        <v>581</v>
      </c>
      <c r="O460" s="9" t="s">
        <v>2045</v>
      </c>
      <c r="P460" t="s">
        <v>2046</v>
      </c>
      <c r="T460" s="2"/>
      <c r="U460" s="2" t="s">
        <v>718</v>
      </c>
    </row>
    <row r="461" spans="1:21" x14ac:dyDescent="0.3">
      <c r="A461">
        <v>269308</v>
      </c>
      <c r="B461" t="s">
        <v>46</v>
      </c>
      <c r="C461" t="s">
        <v>358</v>
      </c>
      <c r="D461" t="s">
        <v>8</v>
      </c>
      <c r="E461" s="1" t="s">
        <v>2047</v>
      </c>
      <c r="F461">
        <v>24990854</v>
      </c>
      <c r="G461" t="s">
        <v>144</v>
      </c>
      <c r="H461" s="17">
        <v>37607755000169</v>
      </c>
      <c r="I461" s="17">
        <v>9576274000106</v>
      </c>
      <c r="J461" t="s">
        <v>2</v>
      </c>
      <c r="K461" s="9" t="s">
        <v>2048</v>
      </c>
      <c r="L461" t="s">
        <v>44</v>
      </c>
      <c r="M461">
        <v>10600</v>
      </c>
      <c r="N461" s="2" t="s">
        <v>581</v>
      </c>
      <c r="O461" s="9" t="s">
        <v>2048</v>
      </c>
      <c r="P461" t="s">
        <v>2049</v>
      </c>
      <c r="T461" s="2"/>
      <c r="U461" s="2" t="s">
        <v>718</v>
      </c>
    </row>
    <row r="462" spans="1:21" x14ac:dyDescent="0.3">
      <c r="A462">
        <v>269308</v>
      </c>
      <c r="B462" t="s">
        <v>46</v>
      </c>
      <c r="C462" t="s">
        <v>341</v>
      </c>
      <c r="D462" t="s">
        <v>11</v>
      </c>
      <c r="E462" s="1" t="s">
        <v>2050</v>
      </c>
      <c r="F462">
        <v>24990841</v>
      </c>
      <c r="G462" t="s">
        <v>95</v>
      </c>
      <c r="H462" s="17">
        <v>37489429000102</v>
      </c>
      <c r="I462" s="17">
        <v>90739624001947</v>
      </c>
      <c r="J462" t="s">
        <v>2</v>
      </c>
      <c r="K462" s="9" t="s">
        <v>2051</v>
      </c>
      <c r="L462" t="s">
        <v>44</v>
      </c>
      <c r="M462">
        <v>4418</v>
      </c>
      <c r="N462" s="2" t="s">
        <v>581</v>
      </c>
      <c r="O462" s="9" t="s">
        <v>2051</v>
      </c>
      <c r="P462" t="s">
        <v>2052</v>
      </c>
      <c r="T462" s="2"/>
      <c r="U462" s="2" t="s">
        <v>718</v>
      </c>
    </row>
    <row r="463" spans="1:21" x14ac:dyDescent="0.3">
      <c r="A463">
        <v>269308</v>
      </c>
      <c r="B463" t="s">
        <v>46</v>
      </c>
      <c r="C463" t="s">
        <v>472</v>
      </c>
      <c r="D463" t="s">
        <v>33</v>
      </c>
      <c r="E463" s="1" t="s">
        <v>2053</v>
      </c>
      <c r="F463">
        <v>24990776</v>
      </c>
      <c r="G463" t="s">
        <v>35</v>
      </c>
      <c r="H463" s="17">
        <v>27933025000102</v>
      </c>
      <c r="I463" s="17">
        <v>9576274000106</v>
      </c>
      <c r="J463" t="s">
        <v>2</v>
      </c>
      <c r="K463" s="9" t="s">
        <v>2054</v>
      </c>
      <c r="L463" t="s">
        <v>44</v>
      </c>
      <c r="M463">
        <v>1138</v>
      </c>
      <c r="N463" s="2" t="s">
        <v>796</v>
      </c>
      <c r="O463" s="9" t="s">
        <v>2054</v>
      </c>
      <c r="P463" t="s">
        <v>2055</v>
      </c>
      <c r="T463" s="2"/>
      <c r="U463" s="2" t="s">
        <v>718</v>
      </c>
    </row>
    <row r="464" spans="1:21" x14ac:dyDescent="0.3">
      <c r="A464">
        <v>269308</v>
      </c>
      <c r="B464" t="s">
        <v>88</v>
      </c>
      <c r="C464" t="s">
        <v>396</v>
      </c>
      <c r="D464" t="s">
        <v>58</v>
      </c>
      <c r="E464" s="1" t="s">
        <v>2056</v>
      </c>
      <c r="F464">
        <v>24990752</v>
      </c>
      <c r="G464" t="s">
        <v>167</v>
      </c>
      <c r="H464" s="17">
        <v>7473735016266</v>
      </c>
      <c r="I464" s="17"/>
      <c r="J464" t="s">
        <v>2</v>
      </c>
      <c r="K464" s="9" t="s">
        <v>2057</v>
      </c>
      <c r="L464" t="s">
        <v>87</v>
      </c>
      <c r="N464" s="2"/>
      <c r="O464" s="9"/>
      <c r="T464" s="2"/>
      <c r="U464" s="2" t="s">
        <v>718</v>
      </c>
    </row>
    <row r="465" spans="1:21" x14ac:dyDescent="0.3">
      <c r="A465">
        <v>269308</v>
      </c>
      <c r="B465" t="s">
        <v>88</v>
      </c>
      <c r="C465" t="s">
        <v>691</v>
      </c>
      <c r="D465" t="s">
        <v>13</v>
      </c>
      <c r="E465" s="1" t="s">
        <v>2058</v>
      </c>
      <c r="F465">
        <v>24990727</v>
      </c>
      <c r="G465" t="s">
        <v>15</v>
      </c>
      <c r="H465" s="17">
        <v>30432373000100</v>
      </c>
      <c r="I465" s="17"/>
      <c r="J465" t="s">
        <v>2</v>
      </c>
      <c r="K465" s="9" t="s">
        <v>2059</v>
      </c>
      <c r="L465" t="s">
        <v>87</v>
      </c>
      <c r="N465" s="2"/>
      <c r="O465" s="9"/>
      <c r="T465" s="2"/>
      <c r="U465" s="2" t="s">
        <v>718</v>
      </c>
    </row>
    <row r="466" spans="1:21" x14ac:dyDescent="0.3">
      <c r="A466">
        <v>269308</v>
      </c>
      <c r="B466" t="s">
        <v>46</v>
      </c>
      <c r="C466" t="s">
        <v>336</v>
      </c>
      <c r="D466" t="s">
        <v>13</v>
      </c>
      <c r="E466" s="1" t="s">
        <v>2060</v>
      </c>
      <c r="F466">
        <v>24990615</v>
      </c>
      <c r="G466" t="s">
        <v>315</v>
      </c>
      <c r="H466" s="17">
        <v>2322969000104</v>
      </c>
      <c r="I466" s="17">
        <v>90739624001190</v>
      </c>
      <c r="J466" t="s">
        <v>2</v>
      </c>
      <c r="K466" s="9" t="s">
        <v>2061</v>
      </c>
      <c r="L466" t="s">
        <v>44</v>
      </c>
      <c r="M466">
        <v>16071</v>
      </c>
      <c r="N466" s="2" t="s">
        <v>581</v>
      </c>
      <c r="O466" s="9" t="s">
        <v>2061</v>
      </c>
      <c r="P466" t="s">
        <v>2062</v>
      </c>
      <c r="T466" s="2"/>
      <c r="U466" s="2" t="s">
        <v>718</v>
      </c>
    </row>
    <row r="467" spans="1:21" x14ac:dyDescent="0.3">
      <c r="A467">
        <v>269308</v>
      </c>
      <c r="B467" t="s">
        <v>46</v>
      </c>
      <c r="C467" t="s">
        <v>177</v>
      </c>
      <c r="D467" t="s">
        <v>170</v>
      </c>
      <c r="E467" s="1" t="s">
        <v>2063</v>
      </c>
      <c r="F467">
        <v>24990473</v>
      </c>
      <c r="G467" t="s">
        <v>171</v>
      </c>
      <c r="H467" s="17">
        <v>14631967000186</v>
      </c>
      <c r="I467" s="17">
        <v>90739624001432</v>
      </c>
      <c r="J467" t="s">
        <v>2</v>
      </c>
      <c r="K467" s="9" t="s">
        <v>2064</v>
      </c>
      <c r="L467" t="s">
        <v>44</v>
      </c>
      <c r="M467">
        <v>47657</v>
      </c>
      <c r="N467" s="2" t="s">
        <v>581</v>
      </c>
      <c r="O467" s="9" t="s">
        <v>2064</v>
      </c>
      <c r="P467" t="s">
        <v>2065</v>
      </c>
      <c r="T467" s="2"/>
      <c r="U467" s="2" t="s">
        <v>718</v>
      </c>
    </row>
    <row r="468" spans="1:21" x14ac:dyDescent="0.3">
      <c r="A468">
        <v>269308</v>
      </c>
      <c r="B468" t="s">
        <v>46</v>
      </c>
      <c r="C468" t="s">
        <v>323</v>
      </c>
      <c r="D468" t="s">
        <v>170</v>
      </c>
      <c r="E468" s="1" t="s">
        <v>2066</v>
      </c>
      <c r="F468">
        <v>24990448</v>
      </c>
      <c r="G468" t="s">
        <v>178</v>
      </c>
      <c r="H468" s="17">
        <v>83392050000199</v>
      </c>
      <c r="I468" s="17">
        <v>90739624001432</v>
      </c>
      <c r="J468" t="s">
        <v>2</v>
      </c>
      <c r="K468" s="9" t="s">
        <v>2067</v>
      </c>
      <c r="L468" t="s">
        <v>44</v>
      </c>
      <c r="M468">
        <v>129700</v>
      </c>
      <c r="N468" s="2" t="s">
        <v>581</v>
      </c>
      <c r="O468" s="9" t="s">
        <v>2067</v>
      </c>
      <c r="P468" t="s">
        <v>2068</v>
      </c>
      <c r="T468" s="2"/>
      <c r="U468" s="2" t="s">
        <v>718</v>
      </c>
    </row>
    <row r="469" spans="1:21" x14ac:dyDescent="0.3">
      <c r="A469">
        <v>269308</v>
      </c>
      <c r="B469" t="s">
        <v>46</v>
      </c>
      <c r="C469" t="s">
        <v>118</v>
      </c>
      <c r="D469" t="s">
        <v>31</v>
      </c>
      <c r="E469" s="1" t="s">
        <v>2069</v>
      </c>
      <c r="F469">
        <v>24990416</v>
      </c>
      <c r="G469" t="s">
        <v>233</v>
      </c>
      <c r="H469" s="17">
        <v>22611652000103</v>
      </c>
      <c r="I469" s="17">
        <v>90739624001866</v>
      </c>
      <c r="J469" t="s">
        <v>2</v>
      </c>
      <c r="K469" s="9" t="s">
        <v>2070</v>
      </c>
      <c r="L469" t="s">
        <v>44</v>
      </c>
      <c r="M469">
        <v>171819</v>
      </c>
      <c r="N469" s="2" t="s">
        <v>581</v>
      </c>
      <c r="O469" s="9" t="s">
        <v>2070</v>
      </c>
      <c r="P469" t="s">
        <v>2071</v>
      </c>
      <c r="T469" s="2"/>
      <c r="U469" s="2" t="s">
        <v>718</v>
      </c>
    </row>
    <row r="470" spans="1:21" x14ac:dyDescent="0.3">
      <c r="A470">
        <v>269308</v>
      </c>
      <c r="B470" t="s">
        <v>46</v>
      </c>
      <c r="C470" t="s">
        <v>243</v>
      </c>
      <c r="D470" t="s">
        <v>61</v>
      </c>
      <c r="E470" s="1" t="s">
        <v>2072</v>
      </c>
      <c r="F470">
        <v>24990406</v>
      </c>
      <c r="G470" t="s">
        <v>85</v>
      </c>
      <c r="H470" s="17">
        <v>1975878000105</v>
      </c>
      <c r="I470" s="17">
        <v>9576274000106</v>
      </c>
      <c r="J470" t="s">
        <v>2</v>
      </c>
      <c r="K470" s="9" t="s">
        <v>2073</v>
      </c>
      <c r="L470" t="s">
        <v>44</v>
      </c>
      <c r="M470">
        <v>2522</v>
      </c>
      <c r="N470" s="2" t="s">
        <v>581</v>
      </c>
      <c r="O470" s="9" t="s">
        <v>2073</v>
      </c>
      <c r="P470" t="s">
        <v>2074</v>
      </c>
      <c r="T470" s="2"/>
      <c r="U470" s="2" t="s">
        <v>718</v>
      </c>
    </row>
    <row r="471" spans="1:21" x14ac:dyDescent="0.3">
      <c r="A471">
        <v>269308</v>
      </c>
      <c r="B471" t="s">
        <v>46</v>
      </c>
      <c r="C471" t="s">
        <v>560</v>
      </c>
      <c r="D471" t="s">
        <v>28</v>
      </c>
      <c r="E471" s="1" t="s">
        <v>2075</v>
      </c>
      <c r="F471">
        <v>24990396</v>
      </c>
      <c r="G471" t="s">
        <v>48</v>
      </c>
      <c r="H471" s="17">
        <v>1272434001002</v>
      </c>
      <c r="I471" s="17">
        <v>90739624001947</v>
      </c>
      <c r="J471" t="s">
        <v>2</v>
      </c>
      <c r="K471" s="9" t="s">
        <v>2076</v>
      </c>
      <c r="L471" t="s">
        <v>44</v>
      </c>
      <c r="M471">
        <v>81316</v>
      </c>
      <c r="N471" s="2" t="s">
        <v>581</v>
      </c>
      <c r="O471" s="9" t="s">
        <v>2076</v>
      </c>
      <c r="P471" t="s">
        <v>2077</v>
      </c>
      <c r="T471" s="2"/>
      <c r="U471" s="2" t="s">
        <v>718</v>
      </c>
    </row>
    <row r="472" spans="1:21" x14ac:dyDescent="0.3">
      <c r="A472">
        <v>269308</v>
      </c>
      <c r="B472" t="s">
        <v>46</v>
      </c>
      <c r="C472" t="s">
        <v>383</v>
      </c>
      <c r="D472" t="s">
        <v>61</v>
      </c>
      <c r="E472" s="1" t="s">
        <v>2078</v>
      </c>
      <c r="F472">
        <v>24990381</v>
      </c>
      <c r="G472" t="s">
        <v>85</v>
      </c>
      <c r="H472" s="17">
        <v>1975878000105</v>
      </c>
      <c r="I472" s="17">
        <v>9576274000106</v>
      </c>
      <c r="J472" t="s">
        <v>2</v>
      </c>
      <c r="K472" s="9" t="s">
        <v>2079</v>
      </c>
      <c r="L472" t="s">
        <v>44</v>
      </c>
      <c r="M472">
        <v>2521</v>
      </c>
      <c r="N472" s="2" t="s">
        <v>581</v>
      </c>
      <c r="O472" s="9" t="s">
        <v>2079</v>
      </c>
      <c r="P472" t="s">
        <v>2080</v>
      </c>
      <c r="T472" s="2"/>
      <c r="U472" s="2" t="s">
        <v>718</v>
      </c>
    </row>
    <row r="473" spans="1:21" x14ac:dyDescent="0.3">
      <c r="A473">
        <v>269308</v>
      </c>
      <c r="B473" t="s">
        <v>46</v>
      </c>
      <c r="C473" t="s">
        <v>506</v>
      </c>
      <c r="D473" t="s">
        <v>73</v>
      </c>
      <c r="E473" s="1" t="s">
        <v>2081</v>
      </c>
      <c r="F473">
        <v>24990333</v>
      </c>
      <c r="G473" t="s">
        <v>578</v>
      </c>
      <c r="H473" s="17">
        <v>7473735004250</v>
      </c>
      <c r="I473" s="17">
        <v>90739624002323</v>
      </c>
      <c r="J473" t="s">
        <v>2</v>
      </c>
      <c r="K473" s="9" t="s">
        <v>2082</v>
      </c>
      <c r="L473" t="s">
        <v>44</v>
      </c>
      <c r="M473">
        <v>39062</v>
      </c>
      <c r="N473" s="2" t="s">
        <v>581</v>
      </c>
      <c r="O473" s="9" t="s">
        <v>2082</v>
      </c>
      <c r="P473" t="s">
        <v>2083</v>
      </c>
      <c r="T473" s="2"/>
      <c r="U473" s="2" t="s">
        <v>718</v>
      </c>
    </row>
    <row r="474" spans="1:21" x14ac:dyDescent="0.3">
      <c r="A474">
        <v>269308</v>
      </c>
      <c r="B474" t="s">
        <v>46</v>
      </c>
      <c r="C474" t="s">
        <v>522</v>
      </c>
      <c r="D474" t="s">
        <v>61</v>
      </c>
      <c r="E474" s="1" t="s">
        <v>2084</v>
      </c>
      <c r="F474">
        <v>24990176</v>
      </c>
      <c r="G474" t="s">
        <v>62</v>
      </c>
      <c r="H474" s="17">
        <v>79964177000591</v>
      </c>
      <c r="I474" s="17">
        <v>9576274000106</v>
      </c>
      <c r="J474" t="s">
        <v>2</v>
      </c>
      <c r="K474" s="9" t="s">
        <v>2085</v>
      </c>
      <c r="L474" t="s">
        <v>44</v>
      </c>
      <c r="M474">
        <v>820505</v>
      </c>
      <c r="N474" s="2" t="s">
        <v>581</v>
      </c>
      <c r="O474" s="9" t="s">
        <v>2085</v>
      </c>
      <c r="P474" t="s">
        <v>2086</v>
      </c>
      <c r="T474" s="2"/>
      <c r="U474" s="2" t="s">
        <v>718</v>
      </c>
    </row>
    <row r="475" spans="1:21" x14ac:dyDescent="0.3">
      <c r="A475">
        <v>269308</v>
      </c>
      <c r="B475" t="s">
        <v>46</v>
      </c>
      <c r="C475" t="s">
        <v>598</v>
      </c>
      <c r="D475" t="s">
        <v>100</v>
      </c>
      <c r="E475" s="1" t="s">
        <v>2087</v>
      </c>
      <c r="F475">
        <v>24990145</v>
      </c>
      <c r="G475" t="s">
        <v>230</v>
      </c>
      <c r="H475" s="17">
        <v>19770285000178</v>
      </c>
      <c r="I475" s="17">
        <v>90739624001866</v>
      </c>
      <c r="J475" t="s">
        <v>2</v>
      </c>
      <c r="K475" s="9" t="s">
        <v>2088</v>
      </c>
      <c r="L475" t="s">
        <v>44</v>
      </c>
      <c r="M475">
        <v>154324</v>
      </c>
      <c r="N475" s="2" t="s">
        <v>581</v>
      </c>
      <c r="O475" s="9" t="s">
        <v>2089</v>
      </c>
      <c r="P475" t="s">
        <v>2090</v>
      </c>
      <c r="T475" s="2"/>
      <c r="U475" s="2" t="s">
        <v>718</v>
      </c>
    </row>
    <row r="476" spans="1:21" x14ac:dyDescent="0.3">
      <c r="A476">
        <v>269308</v>
      </c>
      <c r="B476" t="s">
        <v>46</v>
      </c>
      <c r="C476" t="s">
        <v>196</v>
      </c>
      <c r="D476" t="s">
        <v>36</v>
      </c>
      <c r="E476" s="1" t="s">
        <v>2091</v>
      </c>
      <c r="F476">
        <v>24990011</v>
      </c>
      <c r="G476" t="s">
        <v>186</v>
      </c>
      <c r="H476" s="17">
        <v>7822636000168</v>
      </c>
      <c r="I476" s="17">
        <v>90739624004458</v>
      </c>
      <c r="J476" t="s">
        <v>2</v>
      </c>
      <c r="K476" s="9" t="s">
        <v>2092</v>
      </c>
      <c r="L476" t="s">
        <v>44</v>
      </c>
      <c r="M476">
        <v>4206</v>
      </c>
      <c r="N476" s="2" t="s">
        <v>581</v>
      </c>
      <c r="O476" s="9" t="s">
        <v>2092</v>
      </c>
      <c r="P476" t="s">
        <v>2093</v>
      </c>
      <c r="T476" s="2"/>
      <c r="U476" s="2" t="s">
        <v>718</v>
      </c>
    </row>
    <row r="477" spans="1:21" x14ac:dyDescent="0.3">
      <c r="A477">
        <v>269308</v>
      </c>
      <c r="B477" t="s">
        <v>46</v>
      </c>
      <c r="C477" t="s">
        <v>527</v>
      </c>
      <c r="D477" t="s">
        <v>58</v>
      </c>
      <c r="E477" s="1" t="s">
        <v>2094</v>
      </c>
      <c r="F477">
        <v>24989953</v>
      </c>
      <c r="G477" t="s">
        <v>192</v>
      </c>
      <c r="H477" s="17">
        <v>7473735022312</v>
      </c>
      <c r="I477" s="17">
        <v>90739624002323</v>
      </c>
      <c r="J477" t="s">
        <v>2</v>
      </c>
      <c r="K477" s="9" t="s">
        <v>2095</v>
      </c>
      <c r="L477" t="s">
        <v>44</v>
      </c>
      <c r="M477">
        <v>13766</v>
      </c>
      <c r="N477" s="2" t="s">
        <v>581</v>
      </c>
      <c r="O477" s="9" t="s">
        <v>2095</v>
      </c>
      <c r="P477" t="s">
        <v>2096</v>
      </c>
      <c r="T477" s="2"/>
      <c r="U477" s="2" t="s">
        <v>718</v>
      </c>
    </row>
    <row r="478" spans="1:21" x14ac:dyDescent="0.3">
      <c r="A478">
        <v>269308</v>
      </c>
      <c r="B478" t="s">
        <v>46</v>
      </c>
      <c r="C478" t="s">
        <v>466</v>
      </c>
      <c r="D478" t="s">
        <v>63</v>
      </c>
      <c r="E478" s="1" t="s">
        <v>2097</v>
      </c>
      <c r="F478">
        <v>24989799</v>
      </c>
      <c r="G478" t="s">
        <v>64</v>
      </c>
      <c r="H478" s="17">
        <v>23448964001921</v>
      </c>
      <c r="I478" s="17">
        <v>90739624001432</v>
      </c>
      <c r="J478" t="s">
        <v>2</v>
      </c>
      <c r="K478" s="9" t="s">
        <v>2098</v>
      </c>
      <c r="L478" t="s">
        <v>44</v>
      </c>
      <c r="M478">
        <v>179292</v>
      </c>
      <c r="N478" s="2" t="s">
        <v>581</v>
      </c>
      <c r="O478" s="9" t="s">
        <v>2098</v>
      </c>
      <c r="P478" t="s">
        <v>2099</v>
      </c>
      <c r="T478" s="2"/>
      <c r="U478" s="2" t="s">
        <v>718</v>
      </c>
    </row>
    <row r="479" spans="1:21" x14ac:dyDescent="0.3">
      <c r="A479">
        <v>269308</v>
      </c>
      <c r="B479" t="s">
        <v>46</v>
      </c>
      <c r="C479" t="s">
        <v>455</v>
      </c>
      <c r="D479" t="s">
        <v>52</v>
      </c>
      <c r="E479" s="1" t="s">
        <v>2100</v>
      </c>
      <c r="F479">
        <v>24989755</v>
      </c>
      <c r="G479" t="s">
        <v>545</v>
      </c>
      <c r="H479" s="17">
        <v>30429333000282</v>
      </c>
      <c r="I479" s="17">
        <v>9576274000106</v>
      </c>
      <c r="J479" t="s">
        <v>2</v>
      </c>
      <c r="K479" s="9" t="s">
        <v>2101</v>
      </c>
      <c r="L479" t="s">
        <v>44</v>
      </c>
      <c r="M479">
        <v>40972</v>
      </c>
      <c r="N479" s="2" t="s">
        <v>581</v>
      </c>
      <c r="O479" s="9" t="s">
        <v>2101</v>
      </c>
      <c r="P479" t="s">
        <v>2102</v>
      </c>
      <c r="T479" s="2"/>
      <c r="U479" s="2" t="s">
        <v>718</v>
      </c>
    </row>
    <row r="480" spans="1:21" x14ac:dyDescent="0.3">
      <c r="A480">
        <v>269308</v>
      </c>
      <c r="B480" t="s">
        <v>46</v>
      </c>
      <c r="C480" t="s">
        <v>535</v>
      </c>
      <c r="D480" t="s">
        <v>58</v>
      </c>
      <c r="E480" s="1" t="s">
        <v>2103</v>
      </c>
      <c r="F480">
        <v>24989747</v>
      </c>
      <c r="G480" t="s">
        <v>192</v>
      </c>
      <c r="H480" s="17">
        <v>7473735022312</v>
      </c>
      <c r="I480" s="17">
        <v>90739624002323</v>
      </c>
      <c r="J480" t="s">
        <v>2</v>
      </c>
      <c r="K480" s="9" t="s">
        <v>2104</v>
      </c>
      <c r="L480" t="s">
        <v>44</v>
      </c>
      <c r="M480">
        <v>13765</v>
      </c>
      <c r="N480" s="2" t="s">
        <v>581</v>
      </c>
      <c r="O480" s="9" t="s">
        <v>2104</v>
      </c>
      <c r="P480" t="s">
        <v>2105</v>
      </c>
      <c r="T480" s="2"/>
      <c r="U480" s="2" t="s">
        <v>718</v>
      </c>
    </row>
    <row r="481" spans="1:21" x14ac:dyDescent="0.3">
      <c r="A481">
        <v>269308</v>
      </c>
      <c r="B481" t="s">
        <v>46</v>
      </c>
      <c r="C481" t="s">
        <v>281</v>
      </c>
      <c r="D481" t="s">
        <v>170</v>
      </c>
      <c r="E481" s="1" t="s">
        <v>2106</v>
      </c>
      <c r="F481">
        <v>24989684</v>
      </c>
      <c r="G481" t="s">
        <v>171</v>
      </c>
      <c r="H481" s="17">
        <v>14631967000186</v>
      </c>
      <c r="I481" s="17">
        <v>90739624001432</v>
      </c>
      <c r="J481" t="s">
        <v>2</v>
      </c>
      <c r="K481" s="9" t="s">
        <v>2107</v>
      </c>
      <c r="L481" t="s">
        <v>44</v>
      </c>
      <c r="M481">
        <v>47652</v>
      </c>
      <c r="N481" s="2" t="s">
        <v>581</v>
      </c>
      <c r="O481" s="9" t="s">
        <v>2107</v>
      </c>
      <c r="P481" t="s">
        <v>2108</v>
      </c>
      <c r="T481" s="2"/>
      <c r="U481" s="2" t="s">
        <v>718</v>
      </c>
    </row>
    <row r="482" spans="1:21" x14ac:dyDescent="0.3">
      <c r="A482">
        <v>269308</v>
      </c>
      <c r="B482" t="s">
        <v>46</v>
      </c>
      <c r="C482" t="s">
        <v>201</v>
      </c>
      <c r="D482" t="s">
        <v>61</v>
      </c>
      <c r="E482" s="1" t="s">
        <v>2109</v>
      </c>
      <c r="F482">
        <v>24989354</v>
      </c>
      <c r="G482" t="s">
        <v>127</v>
      </c>
      <c r="H482" s="17">
        <v>76493295000147</v>
      </c>
      <c r="I482" s="17">
        <v>9576274000106</v>
      </c>
      <c r="J482" t="s">
        <v>2</v>
      </c>
      <c r="K482" s="9" t="s">
        <v>2110</v>
      </c>
      <c r="L482" t="s">
        <v>44</v>
      </c>
      <c r="M482">
        <v>28861</v>
      </c>
      <c r="N482" s="2" t="s">
        <v>581</v>
      </c>
      <c r="O482" s="9" t="s">
        <v>2110</v>
      </c>
      <c r="P482" t="s">
        <v>2111</v>
      </c>
      <c r="T482" s="2"/>
      <c r="U482" s="2" t="s">
        <v>718</v>
      </c>
    </row>
    <row r="483" spans="1:21" x14ac:dyDescent="0.3">
      <c r="A483">
        <v>269308</v>
      </c>
      <c r="B483" t="s">
        <v>46</v>
      </c>
      <c r="C483" t="s">
        <v>276</v>
      </c>
      <c r="D483" t="s">
        <v>63</v>
      </c>
      <c r="E483" s="1" t="s">
        <v>2112</v>
      </c>
      <c r="F483">
        <v>24989190</v>
      </c>
      <c r="G483" t="s">
        <v>64</v>
      </c>
      <c r="H483" s="17">
        <v>23448964001921</v>
      </c>
      <c r="I483" s="17">
        <v>90739624001432</v>
      </c>
      <c r="J483" t="s">
        <v>2</v>
      </c>
      <c r="K483" s="9" t="s">
        <v>2113</v>
      </c>
      <c r="L483" t="s">
        <v>44</v>
      </c>
      <c r="M483">
        <v>179282</v>
      </c>
      <c r="N483" s="2" t="s">
        <v>581</v>
      </c>
      <c r="O483" s="9" t="s">
        <v>2113</v>
      </c>
      <c r="P483" t="s">
        <v>2114</v>
      </c>
      <c r="T483" s="2"/>
      <c r="U483" s="2" t="s">
        <v>718</v>
      </c>
    </row>
    <row r="484" spans="1:21" x14ac:dyDescent="0.3">
      <c r="A484">
        <v>269308</v>
      </c>
      <c r="B484" t="s">
        <v>46</v>
      </c>
      <c r="C484" t="s">
        <v>485</v>
      </c>
      <c r="D484" t="s">
        <v>52</v>
      </c>
      <c r="E484" s="1" t="s">
        <v>2115</v>
      </c>
      <c r="F484">
        <v>24989031</v>
      </c>
      <c r="G484" t="s">
        <v>54</v>
      </c>
      <c r="H484" s="17">
        <v>79130647000198</v>
      </c>
      <c r="I484" s="17">
        <v>9576274000106</v>
      </c>
      <c r="J484" t="s">
        <v>2</v>
      </c>
      <c r="K484" s="9" t="s">
        <v>2116</v>
      </c>
      <c r="L484" t="s">
        <v>44</v>
      </c>
      <c r="M484">
        <v>16821</v>
      </c>
      <c r="N484" s="2" t="s">
        <v>581</v>
      </c>
      <c r="O484" s="9" t="s">
        <v>2116</v>
      </c>
      <c r="P484" t="s">
        <v>2117</v>
      </c>
      <c r="T484" s="2"/>
      <c r="U484" s="2" t="s">
        <v>718</v>
      </c>
    </row>
    <row r="485" spans="1:21" x14ac:dyDescent="0.3">
      <c r="A485">
        <v>269308</v>
      </c>
      <c r="B485" t="s">
        <v>46</v>
      </c>
      <c r="C485" t="s">
        <v>197</v>
      </c>
      <c r="D485" t="s">
        <v>36</v>
      </c>
      <c r="E485" s="1" t="s">
        <v>2118</v>
      </c>
      <c r="F485">
        <v>24988940</v>
      </c>
      <c r="G485" t="s">
        <v>186</v>
      </c>
      <c r="H485" s="17">
        <v>7822636000168</v>
      </c>
      <c r="I485" s="17">
        <v>90739624004458</v>
      </c>
      <c r="J485" t="s">
        <v>2</v>
      </c>
      <c r="K485" s="9" t="s">
        <v>2119</v>
      </c>
      <c r="L485" t="s">
        <v>44</v>
      </c>
      <c r="M485">
        <v>4203</v>
      </c>
      <c r="N485" s="2" t="s">
        <v>581</v>
      </c>
      <c r="O485" s="9" t="s">
        <v>2120</v>
      </c>
      <c r="P485" t="s">
        <v>2121</v>
      </c>
      <c r="T485" s="2"/>
      <c r="U485" s="2" t="s">
        <v>718</v>
      </c>
    </row>
    <row r="486" spans="1:21" x14ac:dyDescent="0.3">
      <c r="A486">
        <v>269308</v>
      </c>
      <c r="B486" t="s">
        <v>46</v>
      </c>
      <c r="C486" t="s">
        <v>510</v>
      </c>
      <c r="D486" t="s">
        <v>36</v>
      </c>
      <c r="E486" s="1" t="s">
        <v>2122</v>
      </c>
      <c r="F486">
        <v>24988930</v>
      </c>
      <c r="G486" t="s">
        <v>186</v>
      </c>
      <c r="H486" s="17">
        <v>7822636000168</v>
      </c>
      <c r="I486" s="17">
        <v>90739624004458</v>
      </c>
      <c r="J486" t="s">
        <v>2</v>
      </c>
      <c r="K486" s="9" t="s">
        <v>2123</v>
      </c>
      <c r="L486" t="s">
        <v>44</v>
      </c>
      <c r="M486">
        <v>4202</v>
      </c>
      <c r="N486" s="2" t="s">
        <v>581</v>
      </c>
      <c r="O486" s="9" t="s">
        <v>2123</v>
      </c>
      <c r="P486" t="s">
        <v>2124</v>
      </c>
      <c r="T486" s="2"/>
      <c r="U486" s="2" t="s">
        <v>718</v>
      </c>
    </row>
    <row r="487" spans="1:21" x14ac:dyDescent="0.3">
      <c r="A487">
        <v>269308</v>
      </c>
      <c r="B487" t="s">
        <v>46</v>
      </c>
      <c r="C487" t="s">
        <v>140</v>
      </c>
      <c r="D487" t="s">
        <v>61</v>
      </c>
      <c r="E487" s="1" t="s">
        <v>2125</v>
      </c>
      <c r="F487">
        <v>24988866</v>
      </c>
      <c r="G487" t="s">
        <v>62</v>
      </c>
      <c r="H487" s="17">
        <v>79964177000591</v>
      </c>
      <c r="I487" s="17">
        <v>9576274000106</v>
      </c>
      <c r="J487" t="s">
        <v>2</v>
      </c>
      <c r="K487" s="9" t="s">
        <v>2126</v>
      </c>
      <c r="L487" t="s">
        <v>44</v>
      </c>
      <c r="M487">
        <v>820483</v>
      </c>
      <c r="N487" s="2" t="s">
        <v>581</v>
      </c>
      <c r="O487" s="9" t="s">
        <v>2126</v>
      </c>
      <c r="P487" t="s">
        <v>2127</v>
      </c>
      <c r="T487" s="2"/>
      <c r="U487" s="2" t="s">
        <v>718</v>
      </c>
    </row>
    <row r="488" spans="1:21" x14ac:dyDescent="0.3">
      <c r="A488">
        <v>269308</v>
      </c>
      <c r="B488" t="s">
        <v>46</v>
      </c>
      <c r="C488" t="s">
        <v>314</v>
      </c>
      <c r="D488" t="s">
        <v>61</v>
      </c>
      <c r="E488" s="1" t="s">
        <v>2128</v>
      </c>
      <c r="F488">
        <v>24988683</v>
      </c>
      <c r="G488" t="s">
        <v>62</v>
      </c>
      <c r="H488" s="17">
        <v>79964177000591</v>
      </c>
      <c r="I488" s="17">
        <v>9576274000106</v>
      </c>
      <c r="J488" t="s">
        <v>2</v>
      </c>
      <c r="K488" s="9" t="s">
        <v>2129</v>
      </c>
      <c r="L488" t="s">
        <v>44</v>
      </c>
      <c r="M488">
        <v>820481</v>
      </c>
      <c r="N488" s="2" t="s">
        <v>581</v>
      </c>
      <c r="O488" s="9" t="s">
        <v>2129</v>
      </c>
      <c r="P488" t="s">
        <v>2130</v>
      </c>
      <c r="T488" s="2"/>
      <c r="U488" s="2" t="s">
        <v>718</v>
      </c>
    </row>
    <row r="489" spans="1:21" x14ac:dyDescent="0.3">
      <c r="A489">
        <v>269308</v>
      </c>
      <c r="B489" t="s">
        <v>46</v>
      </c>
      <c r="C489" t="s">
        <v>291</v>
      </c>
      <c r="D489" t="s">
        <v>170</v>
      </c>
      <c r="E489" s="1" t="s">
        <v>2131</v>
      </c>
      <c r="F489">
        <v>24988501</v>
      </c>
      <c r="G489" t="s">
        <v>178</v>
      </c>
      <c r="H489" s="17">
        <v>83392050000199</v>
      </c>
      <c r="I489" s="17">
        <v>90739624001432</v>
      </c>
      <c r="J489" t="s">
        <v>2</v>
      </c>
      <c r="K489" s="9" t="s">
        <v>2132</v>
      </c>
      <c r="L489" t="s">
        <v>44</v>
      </c>
      <c r="M489">
        <v>129672</v>
      </c>
      <c r="N489" s="2" t="s">
        <v>581</v>
      </c>
      <c r="O489" s="9" t="s">
        <v>2132</v>
      </c>
      <c r="P489" t="s">
        <v>2133</v>
      </c>
      <c r="T489" s="2"/>
      <c r="U489" s="2" t="s">
        <v>718</v>
      </c>
    </row>
    <row r="490" spans="1:21" x14ac:dyDescent="0.3">
      <c r="A490">
        <v>269308</v>
      </c>
      <c r="B490" t="s">
        <v>46</v>
      </c>
      <c r="C490" t="s">
        <v>479</v>
      </c>
      <c r="D490" t="s">
        <v>61</v>
      </c>
      <c r="E490" s="1" t="s">
        <v>2134</v>
      </c>
      <c r="F490">
        <v>24988491</v>
      </c>
      <c r="G490" t="s">
        <v>127</v>
      </c>
      <c r="H490" s="17">
        <v>76493295000147</v>
      </c>
      <c r="I490" s="17">
        <v>9576274000106</v>
      </c>
      <c r="J490" t="s">
        <v>2</v>
      </c>
      <c r="K490" s="9" t="s">
        <v>2135</v>
      </c>
      <c r="L490" t="s">
        <v>44</v>
      </c>
      <c r="M490">
        <v>28857</v>
      </c>
      <c r="N490" s="2" t="s">
        <v>581</v>
      </c>
      <c r="O490" s="9" t="s">
        <v>2135</v>
      </c>
      <c r="P490" t="s">
        <v>2136</v>
      </c>
      <c r="T490" s="2"/>
      <c r="U490" s="2" t="s">
        <v>718</v>
      </c>
    </row>
    <row r="491" spans="1:21" x14ac:dyDescent="0.3">
      <c r="A491">
        <v>269308</v>
      </c>
      <c r="B491" t="s">
        <v>46</v>
      </c>
      <c r="C491" t="s">
        <v>308</v>
      </c>
      <c r="D491" t="s">
        <v>58</v>
      </c>
      <c r="E491" s="1" t="s">
        <v>2137</v>
      </c>
      <c r="F491">
        <v>24988154</v>
      </c>
      <c r="G491" t="s">
        <v>309</v>
      </c>
      <c r="H491" s="17">
        <v>7473735017661</v>
      </c>
      <c r="I491" s="17">
        <v>90739624002323</v>
      </c>
      <c r="J491" t="s">
        <v>2</v>
      </c>
      <c r="K491" s="9" t="s">
        <v>2138</v>
      </c>
      <c r="L491" t="s">
        <v>44</v>
      </c>
      <c r="M491">
        <v>88802</v>
      </c>
      <c r="N491" s="2" t="s">
        <v>581</v>
      </c>
      <c r="O491" s="9" t="s">
        <v>2138</v>
      </c>
      <c r="P491" t="s">
        <v>2139</v>
      </c>
      <c r="T491" s="2"/>
      <c r="U491" s="2" t="s">
        <v>718</v>
      </c>
    </row>
    <row r="492" spans="1:21" x14ac:dyDescent="0.3">
      <c r="A492">
        <v>269308</v>
      </c>
      <c r="B492" t="s">
        <v>46</v>
      </c>
      <c r="C492" t="s">
        <v>521</v>
      </c>
      <c r="D492" t="s">
        <v>61</v>
      </c>
      <c r="E492" s="1" t="s">
        <v>2140</v>
      </c>
      <c r="F492">
        <v>24987072</v>
      </c>
      <c r="G492" t="s">
        <v>127</v>
      </c>
      <c r="H492" s="17">
        <v>76493295000147</v>
      </c>
      <c r="I492" s="17">
        <v>9576274000106</v>
      </c>
      <c r="J492" t="s">
        <v>2</v>
      </c>
      <c r="K492" s="9" t="s">
        <v>2141</v>
      </c>
      <c r="L492" t="s">
        <v>44</v>
      </c>
      <c r="M492">
        <v>28856</v>
      </c>
      <c r="N492" s="2" t="s">
        <v>581</v>
      </c>
      <c r="O492" s="9" t="s">
        <v>2141</v>
      </c>
      <c r="P492" t="s">
        <v>2142</v>
      </c>
      <c r="T492" s="2"/>
      <c r="U492" s="2" t="s">
        <v>718</v>
      </c>
    </row>
    <row r="493" spans="1:21" x14ac:dyDescent="0.3">
      <c r="A493">
        <v>269308</v>
      </c>
      <c r="B493" t="s">
        <v>46</v>
      </c>
      <c r="C493" t="s">
        <v>19</v>
      </c>
      <c r="D493" t="s">
        <v>18</v>
      </c>
      <c r="E493" s="1" t="s">
        <v>2143</v>
      </c>
      <c r="F493">
        <v>24983456</v>
      </c>
      <c r="G493" t="s">
        <v>202</v>
      </c>
      <c r="H493" s="17">
        <v>5065447000162</v>
      </c>
      <c r="I493" s="17">
        <v>90739624000380</v>
      </c>
      <c r="J493" t="s">
        <v>2</v>
      </c>
      <c r="K493" s="9" t="s">
        <v>2144</v>
      </c>
      <c r="L493" t="s">
        <v>44</v>
      </c>
      <c r="M493">
        <v>373814</v>
      </c>
      <c r="N493" s="2" t="s">
        <v>581</v>
      </c>
      <c r="O493" s="9" t="s">
        <v>2144</v>
      </c>
      <c r="P493" t="s">
        <v>2145</v>
      </c>
      <c r="T493" s="2"/>
      <c r="U493" s="2" t="s">
        <v>718</v>
      </c>
    </row>
    <row r="494" spans="1:21" x14ac:dyDescent="0.3">
      <c r="A494">
        <v>269308</v>
      </c>
      <c r="B494" t="s">
        <v>46</v>
      </c>
      <c r="C494" t="s">
        <v>135</v>
      </c>
      <c r="D494" t="s">
        <v>100</v>
      </c>
      <c r="E494" s="1" t="s">
        <v>2146</v>
      </c>
      <c r="F494">
        <v>24974282</v>
      </c>
      <c r="G494" t="s">
        <v>241</v>
      </c>
      <c r="H494" s="17">
        <v>14948822000103</v>
      </c>
      <c r="I494" s="17">
        <v>90739624001866</v>
      </c>
      <c r="J494" t="s">
        <v>2</v>
      </c>
      <c r="K494" s="9" t="s">
        <v>2147</v>
      </c>
      <c r="L494" t="s">
        <v>44</v>
      </c>
      <c r="M494">
        <v>154880</v>
      </c>
      <c r="N494" s="2" t="s">
        <v>2148</v>
      </c>
      <c r="O494" s="9" t="s">
        <v>2147</v>
      </c>
      <c r="P494" t="s">
        <v>2149</v>
      </c>
      <c r="T494" s="2"/>
      <c r="U494" s="2" t="s">
        <v>718</v>
      </c>
    </row>
    <row r="495" spans="1:21" x14ac:dyDescent="0.3">
      <c r="A495">
        <v>269308</v>
      </c>
      <c r="B495" t="s">
        <v>46</v>
      </c>
      <c r="C495" t="s">
        <v>197</v>
      </c>
      <c r="D495" t="s">
        <v>36</v>
      </c>
      <c r="E495" s="1" t="s">
        <v>2150</v>
      </c>
      <c r="F495">
        <v>24929773</v>
      </c>
      <c r="G495" t="s">
        <v>186</v>
      </c>
      <c r="H495" s="17">
        <v>7822636000168</v>
      </c>
      <c r="I495" s="17">
        <v>90739624004458</v>
      </c>
      <c r="J495" t="s">
        <v>2</v>
      </c>
      <c r="K495" s="9" t="s">
        <v>2151</v>
      </c>
      <c r="L495" t="s">
        <v>44</v>
      </c>
      <c r="M495">
        <v>4197</v>
      </c>
      <c r="N495" s="2" t="s">
        <v>590</v>
      </c>
      <c r="O495" s="9" t="s">
        <v>676</v>
      </c>
      <c r="P495" t="s">
        <v>2152</v>
      </c>
      <c r="T495" s="2"/>
      <c r="U495" s="2" t="s">
        <v>718</v>
      </c>
    </row>
    <row r="496" spans="1:21" x14ac:dyDescent="0.3">
      <c r="A496">
        <v>269308</v>
      </c>
      <c r="B496" t="s">
        <v>46</v>
      </c>
      <c r="C496" t="s">
        <v>374</v>
      </c>
      <c r="D496" t="s">
        <v>18</v>
      </c>
      <c r="E496" s="1" t="s">
        <v>2153</v>
      </c>
      <c r="F496">
        <v>24923355</v>
      </c>
      <c r="G496" t="s">
        <v>20</v>
      </c>
      <c r="H496" s="17">
        <v>27751075017640</v>
      </c>
      <c r="I496" s="17">
        <v>90739624000380</v>
      </c>
      <c r="J496" t="s">
        <v>2</v>
      </c>
      <c r="K496" s="9" t="s">
        <v>2154</v>
      </c>
      <c r="L496" t="s">
        <v>44</v>
      </c>
      <c r="M496">
        <v>1161</v>
      </c>
      <c r="N496" s="2" t="s">
        <v>590</v>
      </c>
      <c r="O496" s="9" t="s">
        <v>2154</v>
      </c>
      <c r="P496" t="s">
        <v>2155</v>
      </c>
      <c r="T496" s="2"/>
      <c r="U496" s="2" t="s">
        <v>718</v>
      </c>
    </row>
    <row r="497" spans="1:21" x14ac:dyDescent="0.3">
      <c r="A497">
        <v>269308</v>
      </c>
      <c r="B497" t="s">
        <v>46</v>
      </c>
      <c r="C497" t="s">
        <v>19</v>
      </c>
      <c r="D497" t="s">
        <v>18</v>
      </c>
      <c r="E497" s="1" t="s">
        <v>2156</v>
      </c>
      <c r="F497">
        <v>24923237</v>
      </c>
      <c r="G497" t="s">
        <v>20</v>
      </c>
      <c r="H497" s="17">
        <v>27751075017640</v>
      </c>
      <c r="I497" s="17">
        <v>90739624000380</v>
      </c>
      <c r="J497" t="s">
        <v>2</v>
      </c>
      <c r="K497" s="9" t="s">
        <v>2157</v>
      </c>
      <c r="L497" t="s">
        <v>44</v>
      </c>
      <c r="M497">
        <v>1160</v>
      </c>
      <c r="N497" s="2" t="s">
        <v>590</v>
      </c>
      <c r="O497" s="9" t="s">
        <v>2157</v>
      </c>
      <c r="P497" t="s">
        <v>2158</v>
      </c>
      <c r="T497" s="2"/>
      <c r="U497" s="2" t="s">
        <v>718</v>
      </c>
    </row>
    <row r="498" spans="1:21" x14ac:dyDescent="0.3">
      <c r="A498">
        <v>269308</v>
      </c>
      <c r="B498" t="s">
        <v>46</v>
      </c>
      <c r="C498" t="s">
        <v>114</v>
      </c>
      <c r="D498" t="s">
        <v>99</v>
      </c>
      <c r="E498" s="1" t="s">
        <v>2159</v>
      </c>
      <c r="F498">
        <v>24920307</v>
      </c>
      <c r="G498" t="s">
        <v>507</v>
      </c>
      <c r="H498" s="17">
        <v>3626094001330</v>
      </c>
      <c r="I498" s="17">
        <v>9576274000106</v>
      </c>
      <c r="J498" t="s">
        <v>2</v>
      </c>
      <c r="K498" s="9" t="s">
        <v>2160</v>
      </c>
      <c r="L498" t="s">
        <v>44</v>
      </c>
      <c r="M498">
        <v>50552</v>
      </c>
      <c r="N498" s="2" t="s">
        <v>581</v>
      </c>
      <c r="O498" s="9" t="s">
        <v>2160</v>
      </c>
      <c r="P498" t="s">
        <v>2161</v>
      </c>
      <c r="T498" s="2"/>
      <c r="U498" s="2" t="s">
        <v>718</v>
      </c>
    </row>
    <row r="499" spans="1:21" x14ac:dyDescent="0.3">
      <c r="A499">
        <v>269308</v>
      </c>
      <c r="B499" t="s">
        <v>46</v>
      </c>
      <c r="C499" t="s">
        <v>573</v>
      </c>
      <c r="D499" t="s">
        <v>49</v>
      </c>
      <c r="E499" s="1" t="s">
        <v>2162</v>
      </c>
      <c r="F499">
        <v>24914886</v>
      </c>
      <c r="G499" t="s">
        <v>51</v>
      </c>
      <c r="H499" s="17">
        <v>2763612000161</v>
      </c>
      <c r="I499" s="17">
        <v>90739624003133</v>
      </c>
      <c r="J499" t="s">
        <v>2</v>
      </c>
      <c r="K499" s="9" t="s">
        <v>2163</v>
      </c>
      <c r="L499" t="s">
        <v>44</v>
      </c>
      <c r="M499">
        <v>1924</v>
      </c>
      <c r="N499" s="2" t="s">
        <v>590</v>
      </c>
      <c r="O499" s="9" t="s">
        <v>2163</v>
      </c>
      <c r="P499" t="s">
        <v>2164</v>
      </c>
      <c r="T499" s="2"/>
      <c r="U499" s="2" t="s">
        <v>718</v>
      </c>
    </row>
    <row r="500" spans="1:21" x14ac:dyDescent="0.3">
      <c r="A500">
        <v>269308</v>
      </c>
      <c r="B500" t="s">
        <v>46</v>
      </c>
      <c r="C500" t="s">
        <v>391</v>
      </c>
      <c r="D500" t="s">
        <v>58</v>
      </c>
      <c r="E500" s="1" t="s">
        <v>2165</v>
      </c>
      <c r="F500">
        <v>24913429</v>
      </c>
      <c r="G500" t="s">
        <v>106</v>
      </c>
      <c r="H500" s="17">
        <v>7473735015103</v>
      </c>
      <c r="I500" s="17">
        <v>90739624002323</v>
      </c>
      <c r="J500" t="s">
        <v>2</v>
      </c>
      <c r="K500" s="9" t="s">
        <v>2166</v>
      </c>
      <c r="L500" t="s">
        <v>44</v>
      </c>
      <c r="M500">
        <v>111009</v>
      </c>
      <c r="N500" s="2" t="s">
        <v>590</v>
      </c>
      <c r="O500" s="9" t="s">
        <v>2166</v>
      </c>
      <c r="P500" t="s">
        <v>2167</v>
      </c>
      <c r="T500" s="2"/>
      <c r="U500" s="2" t="s">
        <v>718</v>
      </c>
    </row>
    <row r="501" spans="1:21" x14ac:dyDescent="0.3">
      <c r="A501">
        <v>269308</v>
      </c>
      <c r="B501" t="s">
        <v>46</v>
      </c>
      <c r="C501" t="s">
        <v>188</v>
      </c>
      <c r="D501" t="s">
        <v>100</v>
      </c>
      <c r="E501" s="1" t="s">
        <v>2168</v>
      </c>
      <c r="F501">
        <v>24912883</v>
      </c>
      <c r="G501" t="s">
        <v>189</v>
      </c>
      <c r="H501" s="17">
        <v>50128357000551</v>
      </c>
      <c r="I501" s="17">
        <v>90739624001866</v>
      </c>
      <c r="J501" t="s">
        <v>2</v>
      </c>
      <c r="K501" s="9" t="s">
        <v>2169</v>
      </c>
      <c r="L501" t="s">
        <v>44</v>
      </c>
      <c r="M501">
        <v>10227</v>
      </c>
      <c r="N501" s="2" t="s">
        <v>590</v>
      </c>
      <c r="O501" s="9" t="s">
        <v>2169</v>
      </c>
      <c r="P501" t="s">
        <v>2170</v>
      </c>
      <c r="T501" s="2"/>
      <c r="U501" s="2" t="s">
        <v>718</v>
      </c>
    </row>
    <row r="502" spans="1:21" x14ac:dyDescent="0.3">
      <c r="A502">
        <v>269308</v>
      </c>
      <c r="B502" t="s">
        <v>46</v>
      </c>
      <c r="C502" t="s">
        <v>392</v>
      </c>
      <c r="D502" t="s">
        <v>58</v>
      </c>
      <c r="E502" s="1" t="s">
        <v>2171</v>
      </c>
      <c r="F502">
        <v>24912340</v>
      </c>
      <c r="G502" t="s">
        <v>106</v>
      </c>
      <c r="H502" s="17">
        <v>7473735015103</v>
      </c>
      <c r="I502" s="17">
        <v>90739624002323</v>
      </c>
      <c r="J502" t="s">
        <v>2</v>
      </c>
      <c r="K502" s="9" t="s">
        <v>2172</v>
      </c>
      <c r="L502" t="s">
        <v>44</v>
      </c>
      <c r="M502">
        <v>111006</v>
      </c>
      <c r="N502" s="2" t="s">
        <v>590</v>
      </c>
      <c r="O502" s="9" t="s">
        <v>2172</v>
      </c>
      <c r="P502" t="s">
        <v>2173</v>
      </c>
      <c r="T502" s="2"/>
      <c r="U502" s="2" t="s">
        <v>718</v>
      </c>
    </row>
    <row r="503" spans="1:21" x14ac:dyDescent="0.3">
      <c r="A503">
        <v>269308</v>
      </c>
      <c r="B503" t="s">
        <v>46</v>
      </c>
      <c r="C503" t="s">
        <v>624</v>
      </c>
      <c r="D503" t="s">
        <v>181</v>
      </c>
      <c r="E503" s="1" t="s">
        <v>2174</v>
      </c>
      <c r="F503">
        <v>24911791</v>
      </c>
      <c r="G503" t="s">
        <v>183</v>
      </c>
      <c r="H503" s="17">
        <v>84711084000161</v>
      </c>
      <c r="I503" s="17">
        <v>90739624001432</v>
      </c>
      <c r="J503" t="s">
        <v>17</v>
      </c>
      <c r="K503" s="9" t="s">
        <v>2175</v>
      </c>
      <c r="L503" t="s">
        <v>44</v>
      </c>
      <c r="M503">
        <v>119020</v>
      </c>
      <c r="N503" s="2" t="s">
        <v>590</v>
      </c>
      <c r="O503" s="9" t="s">
        <v>2175</v>
      </c>
      <c r="P503" t="s">
        <v>2176</v>
      </c>
      <c r="T503" s="2"/>
      <c r="U503" s="2" t="s">
        <v>718</v>
      </c>
    </row>
    <row r="504" spans="1:21" x14ac:dyDescent="0.3">
      <c r="A504">
        <v>269308</v>
      </c>
      <c r="B504" t="s">
        <v>46</v>
      </c>
      <c r="C504" t="s">
        <v>624</v>
      </c>
      <c r="D504" t="s">
        <v>181</v>
      </c>
      <c r="E504" s="1" t="s">
        <v>2177</v>
      </c>
      <c r="F504">
        <v>24911774</v>
      </c>
      <c r="G504" t="s">
        <v>183</v>
      </c>
      <c r="H504" s="17">
        <v>84711084000161</v>
      </c>
      <c r="I504" s="17">
        <v>90739624001432</v>
      </c>
      <c r="J504" t="s">
        <v>2</v>
      </c>
      <c r="K504" s="9" t="s">
        <v>2178</v>
      </c>
      <c r="L504" t="s">
        <v>44</v>
      </c>
      <c r="M504">
        <v>119018</v>
      </c>
      <c r="N504" s="2" t="s">
        <v>590</v>
      </c>
      <c r="O504" s="9" t="s">
        <v>2178</v>
      </c>
      <c r="P504" t="s">
        <v>2179</v>
      </c>
      <c r="T504" s="2"/>
      <c r="U504" s="2" t="s">
        <v>718</v>
      </c>
    </row>
    <row r="505" spans="1:21" x14ac:dyDescent="0.3">
      <c r="A505">
        <v>269308</v>
      </c>
      <c r="B505" t="s">
        <v>46</v>
      </c>
      <c r="C505" t="s">
        <v>325</v>
      </c>
      <c r="D505" t="s">
        <v>61</v>
      </c>
      <c r="E505" s="1" t="s">
        <v>2180</v>
      </c>
      <c r="F505">
        <v>24907464</v>
      </c>
      <c r="G505" t="s">
        <v>85</v>
      </c>
      <c r="H505" s="17">
        <v>1975878000105</v>
      </c>
      <c r="I505" s="17">
        <v>9576274000106</v>
      </c>
      <c r="J505" t="s">
        <v>2</v>
      </c>
      <c r="K505" s="9" t="s">
        <v>2181</v>
      </c>
      <c r="L505" t="s">
        <v>44</v>
      </c>
      <c r="M505">
        <v>2518</v>
      </c>
      <c r="N505" s="2" t="s">
        <v>590</v>
      </c>
      <c r="O505" s="9" t="s">
        <v>2181</v>
      </c>
      <c r="P505" t="s">
        <v>2182</v>
      </c>
      <c r="T505" s="2"/>
      <c r="U505" s="2" t="s">
        <v>718</v>
      </c>
    </row>
    <row r="506" spans="1:21" x14ac:dyDescent="0.3">
      <c r="A506">
        <v>269308</v>
      </c>
      <c r="B506" t="s">
        <v>46</v>
      </c>
      <c r="C506" t="s">
        <v>260</v>
      </c>
      <c r="D506" t="s">
        <v>70</v>
      </c>
      <c r="E506" s="1" t="s">
        <v>2183</v>
      </c>
      <c r="F506">
        <v>24906707</v>
      </c>
      <c r="G506" t="s">
        <v>72</v>
      </c>
      <c r="H506" s="17">
        <v>79964177000168</v>
      </c>
      <c r="I506" s="17">
        <v>9576274000106</v>
      </c>
      <c r="J506" t="s">
        <v>2</v>
      </c>
      <c r="K506" s="9" t="s">
        <v>2184</v>
      </c>
      <c r="L506" t="s">
        <v>44</v>
      </c>
      <c r="M506">
        <v>257202</v>
      </c>
      <c r="N506" s="2" t="s">
        <v>590</v>
      </c>
      <c r="O506" s="9" t="s">
        <v>2184</v>
      </c>
      <c r="P506" t="s">
        <v>2185</v>
      </c>
      <c r="T506" s="2"/>
      <c r="U506" s="2" t="s">
        <v>718</v>
      </c>
    </row>
    <row r="507" spans="1:21" x14ac:dyDescent="0.3">
      <c r="A507">
        <v>269308</v>
      </c>
      <c r="B507" t="s">
        <v>46</v>
      </c>
      <c r="C507" t="s">
        <v>388</v>
      </c>
      <c r="D507" t="s">
        <v>58</v>
      </c>
      <c r="E507" s="1" t="s">
        <v>2186</v>
      </c>
      <c r="F507">
        <v>24906525</v>
      </c>
      <c r="G507" t="s">
        <v>106</v>
      </c>
      <c r="H507" s="17">
        <v>7473735015103</v>
      </c>
      <c r="I507" s="17">
        <v>90739624002323</v>
      </c>
      <c r="J507" t="s">
        <v>2</v>
      </c>
      <c r="K507" s="9" t="s">
        <v>2187</v>
      </c>
      <c r="L507" t="s">
        <v>44</v>
      </c>
      <c r="M507">
        <v>111002</v>
      </c>
      <c r="N507" s="2" t="s">
        <v>590</v>
      </c>
      <c r="O507" s="9" t="s">
        <v>2187</v>
      </c>
      <c r="P507" t="s">
        <v>2188</v>
      </c>
      <c r="T507" s="2"/>
      <c r="U507" s="2" t="s">
        <v>718</v>
      </c>
    </row>
    <row r="508" spans="1:21" x14ac:dyDescent="0.3">
      <c r="A508">
        <v>269308</v>
      </c>
      <c r="B508" t="s">
        <v>46</v>
      </c>
      <c r="C508" t="s">
        <v>292</v>
      </c>
      <c r="D508" t="s">
        <v>25</v>
      </c>
      <c r="E508" s="1" t="s">
        <v>2189</v>
      </c>
      <c r="F508">
        <v>24905375</v>
      </c>
      <c r="G508" t="s">
        <v>56</v>
      </c>
      <c r="H508" s="17">
        <v>8603562000212</v>
      </c>
      <c r="I508" s="17">
        <v>90739624001866</v>
      </c>
      <c r="J508" t="s">
        <v>2</v>
      </c>
      <c r="K508" s="9" t="s">
        <v>2190</v>
      </c>
      <c r="L508" t="s">
        <v>44</v>
      </c>
      <c r="M508">
        <v>54764</v>
      </c>
      <c r="N508" s="2" t="s">
        <v>590</v>
      </c>
      <c r="O508" s="9" t="s">
        <v>2190</v>
      </c>
      <c r="P508" t="s">
        <v>2191</v>
      </c>
      <c r="T508" s="2"/>
      <c r="U508" s="2" t="s">
        <v>718</v>
      </c>
    </row>
    <row r="509" spans="1:21" x14ac:dyDescent="0.3">
      <c r="A509">
        <v>269308</v>
      </c>
      <c r="B509" t="s">
        <v>46</v>
      </c>
      <c r="C509" t="s">
        <v>250</v>
      </c>
      <c r="D509" t="s">
        <v>8</v>
      </c>
      <c r="E509" s="1" t="s">
        <v>2192</v>
      </c>
      <c r="F509">
        <v>24905125</v>
      </c>
      <c r="G509" t="s">
        <v>221</v>
      </c>
      <c r="H509" s="17">
        <v>8810726000100</v>
      </c>
      <c r="I509" s="17">
        <v>9576274000106</v>
      </c>
      <c r="J509" t="s">
        <v>2</v>
      </c>
      <c r="K509" s="9" t="s">
        <v>2193</v>
      </c>
      <c r="L509" t="s">
        <v>44</v>
      </c>
      <c r="M509">
        <v>6379</v>
      </c>
      <c r="N509" s="2" t="s">
        <v>590</v>
      </c>
      <c r="O509" s="9" t="s">
        <v>2193</v>
      </c>
      <c r="P509" t="s">
        <v>2194</v>
      </c>
      <c r="T509" s="2"/>
      <c r="U509" s="2" t="s">
        <v>718</v>
      </c>
    </row>
    <row r="510" spans="1:21" x14ac:dyDescent="0.3">
      <c r="A510">
        <v>269308</v>
      </c>
      <c r="B510" t="s">
        <v>46</v>
      </c>
      <c r="C510" t="s">
        <v>389</v>
      </c>
      <c r="D510" t="s">
        <v>58</v>
      </c>
      <c r="E510" s="1" t="s">
        <v>2195</v>
      </c>
      <c r="F510">
        <v>24904555</v>
      </c>
      <c r="G510" t="s">
        <v>106</v>
      </c>
      <c r="H510" s="17">
        <v>7473735015103</v>
      </c>
      <c r="I510" s="17">
        <v>90739624002323</v>
      </c>
      <c r="J510" t="s">
        <v>2</v>
      </c>
      <c r="K510" s="9" t="s">
        <v>2196</v>
      </c>
      <c r="L510" t="s">
        <v>44</v>
      </c>
      <c r="M510">
        <v>110996</v>
      </c>
      <c r="N510" s="2" t="s">
        <v>590</v>
      </c>
      <c r="O510" s="9" t="s">
        <v>2196</v>
      </c>
      <c r="P510" t="s">
        <v>2197</v>
      </c>
      <c r="T510" s="2"/>
      <c r="U510" s="2" t="s">
        <v>718</v>
      </c>
    </row>
    <row r="511" spans="1:21" x14ac:dyDescent="0.3">
      <c r="A511">
        <v>269308</v>
      </c>
      <c r="B511" t="s">
        <v>46</v>
      </c>
      <c r="C511" t="s">
        <v>220</v>
      </c>
      <c r="D511" t="s">
        <v>8</v>
      </c>
      <c r="E511" s="1" t="s">
        <v>2198</v>
      </c>
      <c r="F511">
        <v>24903927</v>
      </c>
      <c r="G511" t="s">
        <v>221</v>
      </c>
      <c r="H511" s="17">
        <v>8810726000100</v>
      </c>
      <c r="I511" s="17">
        <v>9576274000106</v>
      </c>
      <c r="J511" t="s">
        <v>2</v>
      </c>
      <c r="K511" s="9" t="s">
        <v>2199</v>
      </c>
      <c r="L511" t="s">
        <v>44</v>
      </c>
      <c r="M511">
        <v>6378</v>
      </c>
      <c r="N511" s="2" t="s">
        <v>590</v>
      </c>
      <c r="O511" s="9" t="s">
        <v>2199</v>
      </c>
      <c r="P511" t="s">
        <v>2200</v>
      </c>
      <c r="T511" s="2"/>
      <c r="U511" s="2" t="s">
        <v>718</v>
      </c>
    </row>
    <row r="512" spans="1:21" x14ac:dyDescent="0.3">
      <c r="A512">
        <v>269308</v>
      </c>
      <c r="B512" t="s">
        <v>46</v>
      </c>
      <c r="C512" t="s">
        <v>312</v>
      </c>
      <c r="D512" t="s">
        <v>61</v>
      </c>
      <c r="E512" s="1" t="s">
        <v>2201</v>
      </c>
      <c r="F512">
        <v>24903097</v>
      </c>
      <c r="G512" t="s">
        <v>127</v>
      </c>
      <c r="H512" s="17">
        <v>76493295000147</v>
      </c>
      <c r="I512" s="17">
        <v>9576274000106</v>
      </c>
      <c r="J512" t="s">
        <v>2</v>
      </c>
      <c r="K512" s="9" t="s">
        <v>2202</v>
      </c>
      <c r="L512" t="s">
        <v>44</v>
      </c>
      <c r="M512">
        <v>28808</v>
      </c>
      <c r="N512" s="2" t="s">
        <v>590</v>
      </c>
      <c r="O512" s="9" t="s">
        <v>2202</v>
      </c>
      <c r="P512" t="s">
        <v>2203</v>
      </c>
      <c r="T512" s="2"/>
      <c r="U512" s="2" t="s">
        <v>718</v>
      </c>
    </row>
    <row r="513" spans="1:21" x14ac:dyDescent="0.3">
      <c r="A513">
        <v>269308</v>
      </c>
      <c r="B513" t="s">
        <v>46</v>
      </c>
      <c r="C513" t="s">
        <v>198</v>
      </c>
      <c r="D513" t="s">
        <v>61</v>
      </c>
      <c r="E513" s="1" t="s">
        <v>2204</v>
      </c>
      <c r="F513">
        <v>24902842</v>
      </c>
      <c r="G513" t="s">
        <v>127</v>
      </c>
      <c r="H513" s="17">
        <v>76493295000147</v>
      </c>
      <c r="I513" s="17">
        <v>9576274000106</v>
      </c>
      <c r="J513" t="s">
        <v>2</v>
      </c>
      <c r="K513" s="9" t="s">
        <v>2205</v>
      </c>
      <c r="L513" t="s">
        <v>44</v>
      </c>
      <c r="M513">
        <v>28806</v>
      </c>
      <c r="N513" s="2" t="s">
        <v>590</v>
      </c>
      <c r="O513" s="9" t="s">
        <v>2205</v>
      </c>
      <c r="P513" t="s">
        <v>2206</v>
      </c>
      <c r="T513" s="2"/>
      <c r="U513" s="2" t="s">
        <v>718</v>
      </c>
    </row>
    <row r="514" spans="1:21" x14ac:dyDescent="0.3">
      <c r="A514">
        <v>269308</v>
      </c>
      <c r="B514" t="s">
        <v>46</v>
      </c>
      <c r="C514" t="s">
        <v>391</v>
      </c>
      <c r="D514" t="s">
        <v>58</v>
      </c>
      <c r="E514" s="1" t="s">
        <v>2207</v>
      </c>
      <c r="F514">
        <v>24894946</v>
      </c>
      <c r="G514" t="s">
        <v>106</v>
      </c>
      <c r="H514" s="17">
        <v>7473735015103</v>
      </c>
      <c r="I514" s="17">
        <v>90739624002323</v>
      </c>
      <c r="J514" t="s">
        <v>2</v>
      </c>
      <c r="K514" s="9" t="s">
        <v>2208</v>
      </c>
      <c r="L514" t="s">
        <v>44</v>
      </c>
      <c r="M514">
        <v>110973</v>
      </c>
      <c r="N514" s="2" t="s">
        <v>590</v>
      </c>
      <c r="O514" s="9" t="s">
        <v>2208</v>
      </c>
      <c r="P514" t="s">
        <v>2209</v>
      </c>
      <c r="T514" s="2"/>
      <c r="U514" s="2" t="s">
        <v>718</v>
      </c>
    </row>
    <row r="515" spans="1:21" x14ac:dyDescent="0.3">
      <c r="A515">
        <v>269308</v>
      </c>
      <c r="B515" t="s">
        <v>46</v>
      </c>
      <c r="C515" t="s">
        <v>23</v>
      </c>
      <c r="D515" t="s">
        <v>22</v>
      </c>
      <c r="E515" s="1" t="s">
        <v>2210</v>
      </c>
      <c r="F515">
        <v>24894243</v>
      </c>
      <c r="G515" t="s">
        <v>62</v>
      </c>
      <c r="H515" s="17">
        <v>79964177000591</v>
      </c>
      <c r="I515" s="17">
        <v>9576274000106</v>
      </c>
      <c r="J515" t="s">
        <v>2</v>
      </c>
      <c r="K515" s="9" t="s">
        <v>2211</v>
      </c>
      <c r="L515" t="s">
        <v>44</v>
      </c>
      <c r="M515">
        <v>820276</v>
      </c>
      <c r="N515" s="2" t="s">
        <v>590</v>
      </c>
      <c r="O515" s="9" t="s">
        <v>2211</v>
      </c>
      <c r="P515" t="s">
        <v>2212</v>
      </c>
      <c r="T515" s="2"/>
      <c r="U515" s="2" t="s">
        <v>718</v>
      </c>
    </row>
    <row r="516" spans="1:21" x14ac:dyDescent="0.3">
      <c r="A516">
        <v>269308</v>
      </c>
      <c r="B516" t="s">
        <v>46</v>
      </c>
      <c r="C516" t="s">
        <v>205</v>
      </c>
      <c r="D516" t="s">
        <v>28</v>
      </c>
      <c r="E516" s="1" t="s">
        <v>2213</v>
      </c>
      <c r="F516">
        <v>24893948</v>
      </c>
      <c r="G516" t="s">
        <v>48</v>
      </c>
      <c r="H516" s="17">
        <v>1272434001002</v>
      </c>
      <c r="I516" s="17">
        <v>90739624001947</v>
      </c>
      <c r="J516" t="s">
        <v>2</v>
      </c>
      <c r="K516" s="9" t="s">
        <v>2214</v>
      </c>
      <c r="L516" t="s">
        <v>44</v>
      </c>
      <c r="M516">
        <v>81280</v>
      </c>
      <c r="N516" s="2" t="s">
        <v>590</v>
      </c>
      <c r="O516" s="9" t="s">
        <v>2214</v>
      </c>
      <c r="P516" t="s">
        <v>2215</v>
      </c>
      <c r="T516" s="2"/>
      <c r="U516" s="2" t="s">
        <v>718</v>
      </c>
    </row>
    <row r="517" spans="1:21" x14ac:dyDescent="0.3">
      <c r="A517">
        <v>269308</v>
      </c>
      <c r="B517" t="s">
        <v>46</v>
      </c>
      <c r="C517" t="s">
        <v>203</v>
      </c>
      <c r="D517" t="s">
        <v>11</v>
      </c>
      <c r="E517" s="1" t="s">
        <v>2216</v>
      </c>
      <c r="F517">
        <v>24889447</v>
      </c>
      <c r="G517" t="s">
        <v>204</v>
      </c>
      <c r="H517" s="17">
        <v>24187119000183</v>
      </c>
      <c r="I517" s="17">
        <v>90739624000118</v>
      </c>
      <c r="J517" t="s">
        <v>2</v>
      </c>
      <c r="K517" s="9" t="s">
        <v>2217</v>
      </c>
      <c r="L517" t="s">
        <v>44</v>
      </c>
      <c r="M517">
        <v>311403</v>
      </c>
      <c r="N517" s="2" t="s">
        <v>590</v>
      </c>
      <c r="O517" s="9" t="s">
        <v>2217</v>
      </c>
      <c r="P517" t="s">
        <v>2218</v>
      </c>
      <c r="T517" s="2"/>
      <c r="U517" s="2" t="s">
        <v>718</v>
      </c>
    </row>
    <row r="518" spans="1:21" x14ac:dyDescent="0.3">
      <c r="A518">
        <v>269308</v>
      </c>
      <c r="B518" t="s">
        <v>46</v>
      </c>
      <c r="C518" t="s">
        <v>292</v>
      </c>
      <c r="D518" t="s">
        <v>25</v>
      </c>
      <c r="E518" s="1" t="s">
        <v>2219</v>
      </c>
      <c r="F518">
        <v>24889016</v>
      </c>
      <c r="G518" t="s">
        <v>206</v>
      </c>
      <c r="H518" s="17">
        <v>50128357000128</v>
      </c>
      <c r="I518" s="17">
        <v>90739624003486</v>
      </c>
      <c r="J518" t="s">
        <v>2</v>
      </c>
      <c r="K518" s="9" t="s">
        <v>2220</v>
      </c>
      <c r="L518" t="s">
        <v>44</v>
      </c>
      <c r="M518">
        <v>144691</v>
      </c>
      <c r="N518" s="2" t="s">
        <v>590</v>
      </c>
      <c r="O518" s="9" t="s">
        <v>2220</v>
      </c>
      <c r="P518" t="s">
        <v>2221</v>
      </c>
      <c r="T518" s="2"/>
      <c r="U518" s="2" t="s">
        <v>718</v>
      </c>
    </row>
    <row r="519" spans="1:21" x14ac:dyDescent="0.3">
      <c r="A519">
        <v>269308</v>
      </c>
      <c r="B519" t="s">
        <v>46</v>
      </c>
      <c r="C519" t="s">
        <v>336</v>
      </c>
      <c r="D519" t="s">
        <v>13</v>
      </c>
      <c r="E519" s="1" t="s">
        <v>2222</v>
      </c>
      <c r="F519">
        <v>24888569</v>
      </c>
      <c r="G519" t="s">
        <v>348</v>
      </c>
      <c r="H519" s="17">
        <v>26416003000102</v>
      </c>
      <c r="I519" s="17">
        <v>90739624001190</v>
      </c>
      <c r="J519" t="s">
        <v>2</v>
      </c>
      <c r="K519" s="9" t="s">
        <v>2223</v>
      </c>
      <c r="L519" t="s">
        <v>44</v>
      </c>
      <c r="M519">
        <v>48811</v>
      </c>
      <c r="N519" s="2" t="s">
        <v>792</v>
      </c>
      <c r="O519" s="9" t="s">
        <v>2223</v>
      </c>
      <c r="P519" t="s">
        <v>2224</v>
      </c>
      <c r="T519" s="2"/>
      <c r="U519" s="2" t="s">
        <v>718</v>
      </c>
    </row>
    <row r="520" spans="1:21" x14ac:dyDescent="0.3">
      <c r="A520">
        <v>269308</v>
      </c>
      <c r="B520" t="s">
        <v>46</v>
      </c>
      <c r="C520" t="s">
        <v>141</v>
      </c>
      <c r="D520" t="s">
        <v>61</v>
      </c>
      <c r="E520" s="1" t="s">
        <v>2225</v>
      </c>
      <c r="F520">
        <v>24884605</v>
      </c>
      <c r="G520" t="s">
        <v>2226</v>
      </c>
      <c r="H520" s="17">
        <v>45587003000101</v>
      </c>
      <c r="I520" s="17">
        <v>90739624000380</v>
      </c>
      <c r="J520" t="s">
        <v>2</v>
      </c>
      <c r="K520" s="9" t="s">
        <v>2227</v>
      </c>
      <c r="L520" t="s">
        <v>44</v>
      </c>
      <c r="M520">
        <v>316006</v>
      </c>
      <c r="N520" s="2" t="s">
        <v>590</v>
      </c>
      <c r="O520" s="9" t="s">
        <v>2227</v>
      </c>
      <c r="P520" t="s">
        <v>2228</v>
      </c>
      <c r="T520" s="2"/>
      <c r="U520" s="2" t="s">
        <v>718</v>
      </c>
    </row>
    <row r="521" spans="1:21" x14ac:dyDescent="0.3">
      <c r="A521">
        <v>269308</v>
      </c>
      <c r="B521" t="s">
        <v>46</v>
      </c>
      <c r="C521" t="s">
        <v>394</v>
      </c>
      <c r="D521" t="s">
        <v>18</v>
      </c>
      <c r="E521" s="1" t="s">
        <v>2229</v>
      </c>
      <c r="F521">
        <v>24882385</v>
      </c>
      <c r="G521" t="s">
        <v>395</v>
      </c>
      <c r="H521" s="17">
        <v>5911517000156</v>
      </c>
      <c r="I521" s="17">
        <v>90739624000380</v>
      </c>
      <c r="J521" t="s">
        <v>2</v>
      </c>
      <c r="K521" s="9" t="s">
        <v>2230</v>
      </c>
      <c r="L521" t="s">
        <v>44</v>
      </c>
      <c r="M521">
        <v>36846</v>
      </c>
      <c r="N521" s="2" t="s">
        <v>581</v>
      </c>
      <c r="O521" s="9" t="s">
        <v>2230</v>
      </c>
      <c r="P521" t="s">
        <v>2231</v>
      </c>
      <c r="T521" s="2"/>
      <c r="U521" s="2" t="s">
        <v>718</v>
      </c>
    </row>
    <row r="522" spans="1:21" x14ac:dyDescent="0.3">
      <c r="A522">
        <v>269308</v>
      </c>
      <c r="B522" t="s">
        <v>46</v>
      </c>
      <c r="C522" t="s">
        <v>543</v>
      </c>
      <c r="D522" t="s">
        <v>174</v>
      </c>
      <c r="E522" s="1" t="s">
        <v>2232</v>
      </c>
      <c r="F522">
        <v>24881949</v>
      </c>
      <c r="G522" t="s">
        <v>209</v>
      </c>
      <c r="H522" s="17">
        <v>33360405000190</v>
      </c>
      <c r="I522" s="17">
        <v>90739624001947</v>
      </c>
      <c r="J522" t="s">
        <v>2</v>
      </c>
      <c r="K522" s="9" t="s">
        <v>2233</v>
      </c>
      <c r="L522" t="s">
        <v>44</v>
      </c>
      <c r="M522">
        <v>38307</v>
      </c>
      <c r="N522" s="2" t="s">
        <v>695</v>
      </c>
      <c r="O522" s="9" t="s">
        <v>2233</v>
      </c>
      <c r="P522" t="s">
        <v>2234</v>
      </c>
      <c r="T522" s="2"/>
      <c r="U522" s="2" t="s">
        <v>718</v>
      </c>
    </row>
    <row r="523" spans="1:21" x14ac:dyDescent="0.3">
      <c r="A523">
        <v>269308</v>
      </c>
      <c r="B523" t="s">
        <v>46</v>
      </c>
      <c r="C523" t="s">
        <v>203</v>
      </c>
      <c r="D523" t="s">
        <v>11</v>
      </c>
      <c r="E523" s="1" t="s">
        <v>2235</v>
      </c>
      <c r="F523">
        <v>24881682</v>
      </c>
      <c r="G523" t="s">
        <v>210</v>
      </c>
      <c r="H523" s="17">
        <v>55973291000196</v>
      </c>
      <c r="I523" s="17">
        <v>90739624000380</v>
      </c>
      <c r="J523" t="s">
        <v>2</v>
      </c>
      <c r="K523" s="9" t="s">
        <v>2236</v>
      </c>
      <c r="L523" t="s">
        <v>44</v>
      </c>
      <c r="M523">
        <v>1050944</v>
      </c>
      <c r="N523" s="2" t="s">
        <v>695</v>
      </c>
      <c r="O523" s="9" t="s">
        <v>2236</v>
      </c>
      <c r="P523" t="s">
        <v>2237</v>
      </c>
      <c r="T523" s="2"/>
      <c r="U523" s="2" t="s">
        <v>718</v>
      </c>
    </row>
    <row r="524" spans="1:21" x14ac:dyDescent="0.3">
      <c r="A524">
        <v>269308</v>
      </c>
      <c r="B524" t="s">
        <v>46</v>
      </c>
      <c r="C524" t="s">
        <v>208</v>
      </c>
      <c r="D524" t="s">
        <v>28</v>
      </c>
      <c r="E524" s="1" t="s">
        <v>2238</v>
      </c>
      <c r="F524">
        <v>24881544</v>
      </c>
      <c r="G524" t="s">
        <v>209</v>
      </c>
      <c r="H524" s="17">
        <v>33360405000190</v>
      </c>
      <c r="I524" s="17">
        <v>90739624001947</v>
      </c>
      <c r="J524" t="s">
        <v>2</v>
      </c>
      <c r="K524" s="9" t="s">
        <v>667</v>
      </c>
      <c r="L524" t="s">
        <v>44</v>
      </c>
      <c r="M524">
        <v>38306</v>
      </c>
      <c r="N524" s="2" t="s">
        <v>695</v>
      </c>
      <c r="O524" s="9" t="s">
        <v>667</v>
      </c>
      <c r="P524" t="s">
        <v>2239</v>
      </c>
      <c r="T524" s="2"/>
      <c r="U524" s="2" t="s">
        <v>718</v>
      </c>
    </row>
    <row r="525" spans="1:21" x14ac:dyDescent="0.3">
      <c r="A525">
        <v>269308</v>
      </c>
      <c r="B525" t="s">
        <v>46</v>
      </c>
      <c r="C525" t="s">
        <v>349</v>
      </c>
      <c r="D525" t="s">
        <v>18</v>
      </c>
      <c r="E525" s="1" t="s">
        <v>2240</v>
      </c>
      <c r="F525">
        <v>24881289</v>
      </c>
      <c r="G525" t="s">
        <v>57</v>
      </c>
      <c r="H525" s="17">
        <v>50206655000199</v>
      </c>
      <c r="I525" s="17">
        <v>90739624000380</v>
      </c>
      <c r="J525" t="s">
        <v>2</v>
      </c>
      <c r="K525" s="9" t="s">
        <v>2241</v>
      </c>
      <c r="L525" t="s">
        <v>44</v>
      </c>
      <c r="M525">
        <v>15523</v>
      </c>
      <c r="N525" s="2" t="s">
        <v>581</v>
      </c>
      <c r="O525" s="9" t="s">
        <v>2241</v>
      </c>
      <c r="P525" t="s">
        <v>2242</v>
      </c>
      <c r="T525" s="2"/>
      <c r="U525" s="2" t="s">
        <v>718</v>
      </c>
    </row>
    <row r="526" spans="1:21" x14ac:dyDescent="0.3">
      <c r="A526">
        <v>269308</v>
      </c>
      <c r="B526" t="s">
        <v>46</v>
      </c>
      <c r="C526" t="s">
        <v>138</v>
      </c>
      <c r="D526" t="s">
        <v>11</v>
      </c>
      <c r="E526" s="1" t="s">
        <v>2243</v>
      </c>
      <c r="F526">
        <v>24880890</v>
      </c>
      <c r="G526" t="s">
        <v>310</v>
      </c>
      <c r="H526" s="17">
        <v>42733072000198</v>
      </c>
      <c r="I526" s="17">
        <v>90739624000380</v>
      </c>
      <c r="J526" t="s">
        <v>2</v>
      </c>
      <c r="K526" s="9" t="s">
        <v>2244</v>
      </c>
      <c r="L526" t="s">
        <v>44</v>
      </c>
      <c r="M526">
        <v>5302</v>
      </c>
      <c r="N526" s="2" t="s">
        <v>581</v>
      </c>
      <c r="O526" s="9" t="s">
        <v>2244</v>
      </c>
      <c r="P526" t="s">
        <v>2245</v>
      </c>
      <c r="T526" s="2"/>
      <c r="U526" s="2" t="s">
        <v>718</v>
      </c>
    </row>
    <row r="527" spans="1:21" x14ac:dyDescent="0.3">
      <c r="A527">
        <v>269308</v>
      </c>
      <c r="B527" t="s">
        <v>46</v>
      </c>
      <c r="C527" t="s">
        <v>164</v>
      </c>
      <c r="D527" t="s">
        <v>18</v>
      </c>
      <c r="E527" s="1" t="s">
        <v>2246</v>
      </c>
      <c r="F527">
        <v>24880636</v>
      </c>
      <c r="G527" t="s">
        <v>454</v>
      </c>
      <c r="H527" s="17">
        <v>30479450000170</v>
      </c>
      <c r="I527" s="17">
        <v>90739624000380</v>
      </c>
      <c r="J527" t="s">
        <v>2</v>
      </c>
      <c r="K527" s="9" t="s">
        <v>2247</v>
      </c>
      <c r="L527" t="s">
        <v>44</v>
      </c>
      <c r="M527">
        <v>20440</v>
      </c>
      <c r="N527" s="2" t="s">
        <v>583</v>
      </c>
      <c r="O527" s="9" t="s">
        <v>2247</v>
      </c>
      <c r="P527" t="s">
        <v>2248</v>
      </c>
      <c r="T527" s="2"/>
      <c r="U527" s="2" t="s">
        <v>718</v>
      </c>
    </row>
    <row r="528" spans="1:21" x14ac:dyDescent="0.3">
      <c r="A528">
        <v>269308</v>
      </c>
      <c r="B528" t="s">
        <v>46</v>
      </c>
      <c r="C528" t="s">
        <v>554</v>
      </c>
      <c r="D528" t="s">
        <v>61</v>
      </c>
      <c r="E528" s="1" t="s">
        <v>2249</v>
      </c>
      <c r="F528">
        <v>24880620</v>
      </c>
      <c r="G528" t="s">
        <v>62</v>
      </c>
      <c r="H528" s="17">
        <v>79964177000591</v>
      </c>
      <c r="I528" s="17">
        <v>9576274000106</v>
      </c>
      <c r="J528" t="s">
        <v>2</v>
      </c>
      <c r="K528" s="9" t="s">
        <v>2250</v>
      </c>
      <c r="L528" t="s">
        <v>44</v>
      </c>
      <c r="M528">
        <v>820254</v>
      </c>
      <c r="N528" s="2" t="s">
        <v>695</v>
      </c>
      <c r="O528" s="9" t="s">
        <v>2250</v>
      </c>
      <c r="P528" t="s">
        <v>2251</v>
      </c>
      <c r="T528" s="2"/>
      <c r="U528" s="2" t="s">
        <v>718</v>
      </c>
    </row>
    <row r="529" spans="1:21" x14ac:dyDescent="0.3">
      <c r="A529">
        <v>269308</v>
      </c>
      <c r="B529" t="s">
        <v>46</v>
      </c>
      <c r="C529" t="s">
        <v>224</v>
      </c>
      <c r="D529" t="s">
        <v>28</v>
      </c>
      <c r="E529" s="1" t="s">
        <v>2252</v>
      </c>
      <c r="F529">
        <v>24880606</v>
      </c>
      <c r="G529" t="s">
        <v>684</v>
      </c>
      <c r="H529" s="17">
        <v>20940512000145</v>
      </c>
      <c r="I529" s="17">
        <v>90739624001947</v>
      </c>
      <c r="J529" t="s">
        <v>17</v>
      </c>
      <c r="K529" s="9" t="s">
        <v>2253</v>
      </c>
      <c r="L529" t="s">
        <v>44</v>
      </c>
      <c r="M529">
        <v>333449</v>
      </c>
      <c r="N529" s="2" t="s">
        <v>695</v>
      </c>
      <c r="O529" s="9" t="s">
        <v>2253</v>
      </c>
      <c r="P529" t="s">
        <v>2254</v>
      </c>
      <c r="T529" s="2"/>
      <c r="U529" s="2" t="s">
        <v>718</v>
      </c>
    </row>
    <row r="530" spans="1:21" x14ac:dyDescent="0.3">
      <c r="A530">
        <v>269308</v>
      </c>
      <c r="B530" t="s">
        <v>46</v>
      </c>
      <c r="C530" t="s">
        <v>260</v>
      </c>
      <c r="D530" t="s">
        <v>70</v>
      </c>
      <c r="E530" s="1" t="s">
        <v>2255</v>
      </c>
      <c r="F530">
        <v>24880006</v>
      </c>
      <c r="G530" t="s">
        <v>85</v>
      </c>
      <c r="H530" s="17">
        <v>1975878000105</v>
      </c>
      <c r="I530" s="17">
        <v>9576274000106</v>
      </c>
      <c r="J530" t="s">
        <v>2</v>
      </c>
      <c r="K530" s="9" t="s">
        <v>2256</v>
      </c>
      <c r="L530" t="s">
        <v>44</v>
      </c>
      <c r="M530">
        <v>2516</v>
      </c>
      <c r="N530" s="2" t="s">
        <v>695</v>
      </c>
      <c r="O530" s="9" t="s">
        <v>2256</v>
      </c>
      <c r="P530" t="s">
        <v>2257</v>
      </c>
      <c r="T530" s="2"/>
      <c r="U530" s="2" t="s">
        <v>718</v>
      </c>
    </row>
    <row r="531" spans="1:21" x14ac:dyDescent="0.3">
      <c r="A531">
        <v>269308</v>
      </c>
      <c r="B531" t="s">
        <v>46</v>
      </c>
      <c r="C531" t="s">
        <v>19</v>
      </c>
      <c r="D531" t="s">
        <v>18</v>
      </c>
      <c r="E531" s="1" t="s">
        <v>2258</v>
      </c>
      <c r="F531">
        <v>24878655</v>
      </c>
      <c r="G531" t="s">
        <v>202</v>
      </c>
      <c r="H531" s="17">
        <v>5065447000162</v>
      </c>
      <c r="I531" s="17">
        <v>90739624000380</v>
      </c>
      <c r="J531" t="s">
        <v>2</v>
      </c>
      <c r="K531" s="9" t="s">
        <v>2259</v>
      </c>
      <c r="L531" t="s">
        <v>44</v>
      </c>
      <c r="M531">
        <v>373424</v>
      </c>
      <c r="N531" s="2" t="s">
        <v>695</v>
      </c>
      <c r="O531" s="9" t="s">
        <v>2259</v>
      </c>
      <c r="P531" t="s">
        <v>2260</v>
      </c>
      <c r="T531" s="2"/>
      <c r="U531" s="2" t="s">
        <v>718</v>
      </c>
    </row>
    <row r="532" spans="1:21" x14ac:dyDescent="0.3">
      <c r="A532">
        <v>269308</v>
      </c>
      <c r="B532" t="s">
        <v>46</v>
      </c>
      <c r="C532" t="s">
        <v>161</v>
      </c>
      <c r="D532" t="s">
        <v>160</v>
      </c>
      <c r="E532" s="1" t="s">
        <v>2261</v>
      </c>
      <c r="F532">
        <v>24875773</v>
      </c>
      <c r="G532" t="s">
        <v>2262</v>
      </c>
      <c r="H532" s="17">
        <v>7473735014212</v>
      </c>
      <c r="I532" s="17">
        <v>9576274000106</v>
      </c>
      <c r="J532" t="s">
        <v>2</v>
      </c>
      <c r="K532" s="9" t="s">
        <v>2263</v>
      </c>
      <c r="L532" t="s">
        <v>44</v>
      </c>
      <c r="M532">
        <v>110408</v>
      </c>
      <c r="N532" s="2" t="s">
        <v>695</v>
      </c>
      <c r="O532" s="9" t="s">
        <v>2263</v>
      </c>
      <c r="P532" t="s">
        <v>2264</v>
      </c>
      <c r="T532" s="2"/>
      <c r="U532" s="2" t="s">
        <v>718</v>
      </c>
    </row>
    <row r="533" spans="1:21" x14ac:dyDescent="0.3">
      <c r="A533">
        <v>269308</v>
      </c>
      <c r="B533" t="s">
        <v>46</v>
      </c>
      <c r="C533" t="s">
        <v>524</v>
      </c>
      <c r="D533" t="s">
        <v>11</v>
      </c>
      <c r="E533" s="1" t="s">
        <v>2265</v>
      </c>
      <c r="F533">
        <v>24874769</v>
      </c>
      <c r="G533" t="s">
        <v>95</v>
      </c>
      <c r="H533" s="17">
        <v>37489429000102</v>
      </c>
      <c r="I533" s="17">
        <v>90739624001947</v>
      </c>
      <c r="J533" t="s">
        <v>2</v>
      </c>
      <c r="K533" s="9" t="s">
        <v>2266</v>
      </c>
      <c r="L533" t="s">
        <v>44</v>
      </c>
      <c r="M533">
        <v>4414</v>
      </c>
      <c r="N533" s="2" t="s">
        <v>695</v>
      </c>
      <c r="O533" s="9" t="s">
        <v>2266</v>
      </c>
      <c r="P533" t="s">
        <v>2267</v>
      </c>
      <c r="T533" s="2"/>
      <c r="U533" s="2" t="s">
        <v>718</v>
      </c>
    </row>
    <row r="534" spans="1:21" x14ac:dyDescent="0.3">
      <c r="A534">
        <v>269308</v>
      </c>
      <c r="B534" t="s">
        <v>46</v>
      </c>
      <c r="C534" t="s">
        <v>215</v>
      </c>
      <c r="D534" t="s">
        <v>120</v>
      </c>
      <c r="E534" s="1" t="s">
        <v>2268</v>
      </c>
      <c r="F534">
        <v>24874733</v>
      </c>
      <c r="G534" t="s">
        <v>150</v>
      </c>
      <c r="H534" s="17">
        <v>27643038000139</v>
      </c>
      <c r="I534" s="17">
        <v>90739624001432</v>
      </c>
      <c r="J534" t="s">
        <v>17</v>
      </c>
      <c r="K534" s="9" t="s">
        <v>2269</v>
      </c>
      <c r="L534" t="s">
        <v>44</v>
      </c>
      <c r="M534">
        <v>61044</v>
      </c>
      <c r="N534" s="2" t="s">
        <v>695</v>
      </c>
      <c r="O534" s="9" t="s">
        <v>2269</v>
      </c>
      <c r="P534" t="s">
        <v>2270</v>
      </c>
      <c r="T534" s="2"/>
      <c r="U534" s="2" t="s">
        <v>718</v>
      </c>
    </row>
    <row r="535" spans="1:21" x14ac:dyDescent="0.3">
      <c r="A535">
        <v>269308</v>
      </c>
      <c r="B535" t="s">
        <v>46</v>
      </c>
      <c r="C535" t="s">
        <v>215</v>
      </c>
      <c r="D535" t="s">
        <v>120</v>
      </c>
      <c r="E535" s="1" t="s">
        <v>2271</v>
      </c>
      <c r="F535">
        <v>24874725</v>
      </c>
      <c r="G535" t="s">
        <v>150</v>
      </c>
      <c r="H535" s="17">
        <v>27643038000139</v>
      </c>
      <c r="I535" s="17">
        <v>90739624001432</v>
      </c>
      <c r="J535" t="s">
        <v>2</v>
      </c>
      <c r="K535" s="9" t="s">
        <v>2272</v>
      </c>
      <c r="L535" t="s">
        <v>44</v>
      </c>
      <c r="M535">
        <v>61043</v>
      </c>
      <c r="N535" s="2" t="s">
        <v>695</v>
      </c>
      <c r="O535" s="9" t="s">
        <v>2272</v>
      </c>
      <c r="P535" t="s">
        <v>2273</v>
      </c>
      <c r="T535" s="2"/>
      <c r="U535" s="2" t="s">
        <v>718</v>
      </c>
    </row>
    <row r="536" spans="1:21" x14ac:dyDescent="0.3">
      <c r="A536">
        <v>269308</v>
      </c>
      <c r="B536" t="s">
        <v>46</v>
      </c>
      <c r="C536" t="s">
        <v>336</v>
      </c>
      <c r="D536" t="s">
        <v>13</v>
      </c>
      <c r="E536" s="1" t="s">
        <v>2274</v>
      </c>
      <c r="F536">
        <v>24874606</v>
      </c>
      <c r="G536" t="s">
        <v>16</v>
      </c>
      <c r="H536" s="17">
        <v>73648610000170</v>
      </c>
      <c r="I536" s="17">
        <v>90739624001190</v>
      </c>
      <c r="J536" t="s">
        <v>2</v>
      </c>
      <c r="K536" s="9" t="s">
        <v>671</v>
      </c>
      <c r="L536" t="s">
        <v>44</v>
      </c>
      <c r="M536">
        <v>35101</v>
      </c>
      <c r="N536" s="2" t="s">
        <v>602</v>
      </c>
      <c r="O536" s="9" t="s">
        <v>2275</v>
      </c>
      <c r="P536" t="s">
        <v>2276</v>
      </c>
      <c r="T536" s="2"/>
      <c r="U536" s="2" t="s">
        <v>718</v>
      </c>
    </row>
    <row r="537" spans="1:21" x14ac:dyDescent="0.3">
      <c r="A537">
        <v>269308</v>
      </c>
      <c r="B537" t="s">
        <v>46</v>
      </c>
      <c r="C537" t="s">
        <v>203</v>
      </c>
      <c r="D537" t="s">
        <v>11</v>
      </c>
      <c r="E537" s="1" t="s">
        <v>2277</v>
      </c>
      <c r="F537">
        <v>24874235</v>
      </c>
      <c r="G537" t="s">
        <v>24</v>
      </c>
      <c r="H537" s="17">
        <v>46472822000176</v>
      </c>
      <c r="I537" s="17">
        <v>90739624000380</v>
      </c>
      <c r="J537" t="s">
        <v>2</v>
      </c>
      <c r="K537" s="9" t="s">
        <v>2278</v>
      </c>
      <c r="L537" t="s">
        <v>44</v>
      </c>
      <c r="M537">
        <v>23133</v>
      </c>
      <c r="N537" s="2" t="s">
        <v>581</v>
      </c>
      <c r="O537" s="9" t="s">
        <v>2279</v>
      </c>
      <c r="P537" t="s">
        <v>2280</v>
      </c>
      <c r="T537" s="2"/>
      <c r="U537" s="2" t="s">
        <v>718</v>
      </c>
    </row>
    <row r="538" spans="1:21" x14ac:dyDescent="0.3">
      <c r="A538">
        <v>269308</v>
      </c>
      <c r="B538" t="s">
        <v>46</v>
      </c>
      <c r="C538" t="s">
        <v>343</v>
      </c>
      <c r="D538" t="s">
        <v>61</v>
      </c>
      <c r="E538" s="1" t="s">
        <v>2281</v>
      </c>
      <c r="F538">
        <v>24874224</v>
      </c>
      <c r="G538" t="s">
        <v>62</v>
      </c>
      <c r="H538" s="17">
        <v>79964177000591</v>
      </c>
      <c r="I538" s="17">
        <v>9576274000106</v>
      </c>
      <c r="J538" t="s">
        <v>2</v>
      </c>
      <c r="K538" s="9" t="s">
        <v>2282</v>
      </c>
      <c r="L538" t="s">
        <v>44</v>
      </c>
      <c r="M538">
        <v>820247</v>
      </c>
      <c r="N538" s="2" t="s">
        <v>695</v>
      </c>
      <c r="O538" s="9" t="s">
        <v>2282</v>
      </c>
      <c r="P538" t="s">
        <v>2283</v>
      </c>
      <c r="T538" s="2"/>
      <c r="U538" s="2" t="s">
        <v>718</v>
      </c>
    </row>
    <row r="539" spans="1:21" x14ac:dyDescent="0.3">
      <c r="A539">
        <v>269308</v>
      </c>
      <c r="B539" t="s">
        <v>46</v>
      </c>
      <c r="C539" t="s">
        <v>30</v>
      </c>
      <c r="D539" t="s">
        <v>11</v>
      </c>
      <c r="E539" s="1" t="s">
        <v>2284</v>
      </c>
      <c r="F539">
        <v>24874055</v>
      </c>
      <c r="G539" t="s">
        <v>152</v>
      </c>
      <c r="H539" s="17">
        <v>23891404000118</v>
      </c>
      <c r="I539" s="17">
        <v>90739624001866</v>
      </c>
      <c r="J539" t="s">
        <v>17</v>
      </c>
      <c r="K539" s="9" t="s">
        <v>2285</v>
      </c>
      <c r="L539" t="s">
        <v>44</v>
      </c>
      <c r="M539">
        <v>131574</v>
      </c>
      <c r="N539" s="2" t="s">
        <v>695</v>
      </c>
      <c r="O539" s="9" t="s">
        <v>2285</v>
      </c>
      <c r="P539" t="s">
        <v>2286</v>
      </c>
      <c r="T539" s="2"/>
      <c r="U539" s="2" t="s">
        <v>718</v>
      </c>
    </row>
    <row r="540" spans="1:21" x14ac:dyDescent="0.3">
      <c r="A540">
        <v>269308</v>
      </c>
      <c r="B540" t="s">
        <v>46</v>
      </c>
      <c r="C540" t="s">
        <v>30</v>
      </c>
      <c r="D540" t="s">
        <v>11</v>
      </c>
      <c r="E540" s="1" t="s">
        <v>2287</v>
      </c>
      <c r="F540">
        <v>24874039</v>
      </c>
      <c r="G540" t="s">
        <v>152</v>
      </c>
      <c r="H540" s="17">
        <v>23891404000118</v>
      </c>
      <c r="I540" s="17">
        <v>90739624001866</v>
      </c>
      <c r="J540" t="s">
        <v>2</v>
      </c>
      <c r="K540" s="9" t="s">
        <v>2288</v>
      </c>
      <c r="L540" t="s">
        <v>44</v>
      </c>
      <c r="M540">
        <v>131573</v>
      </c>
      <c r="N540" s="2" t="s">
        <v>695</v>
      </c>
      <c r="O540" s="9" t="s">
        <v>2288</v>
      </c>
      <c r="P540" t="s">
        <v>2289</v>
      </c>
      <c r="T540" s="2"/>
      <c r="U540" s="2" t="s">
        <v>718</v>
      </c>
    </row>
    <row r="541" spans="1:21" x14ac:dyDescent="0.3">
      <c r="A541">
        <v>269308</v>
      </c>
      <c r="B541" t="s">
        <v>46</v>
      </c>
      <c r="C541" t="s">
        <v>316</v>
      </c>
      <c r="D541" t="s">
        <v>49</v>
      </c>
      <c r="E541" s="1" t="s">
        <v>2290</v>
      </c>
      <c r="F541">
        <v>24874036</v>
      </c>
      <c r="G541" t="s">
        <v>51</v>
      </c>
      <c r="H541" s="17">
        <v>2763612000161</v>
      </c>
      <c r="I541" s="17">
        <v>90739624003133</v>
      </c>
      <c r="J541" t="s">
        <v>2</v>
      </c>
      <c r="K541" s="9" t="s">
        <v>2291</v>
      </c>
      <c r="L541" t="s">
        <v>44</v>
      </c>
      <c r="M541">
        <v>162962</v>
      </c>
      <c r="N541" s="2" t="s">
        <v>695</v>
      </c>
      <c r="O541" s="9" t="s">
        <v>2291</v>
      </c>
      <c r="P541" t="s">
        <v>2292</v>
      </c>
      <c r="T541" s="2"/>
      <c r="U541" s="2" t="s">
        <v>718</v>
      </c>
    </row>
    <row r="542" spans="1:21" x14ac:dyDescent="0.3">
      <c r="A542">
        <v>269308</v>
      </c>
      <c r="B542" t="s">
        <v>46</v>
      </c>
      <c r="C542" t="s">
        <v>378</v>
      </c>
      <c r="D542" t="s">
        <v>8</v>
      </c>
      <c r="E542" s="1" t="s">
        <v>2293</v>
      </c>
      <c r="F542">
        <v>24874031</v>
      </c>
      <c r="G542" t="s">
        <v>221</v>
      </c>
      <c r="H542" s="17">
        <v>8810726000100</v>
      </c>
      <c r="I542" s="17">
        <v>9576274000106</v>
      </c>
      <c r="J542" t="s">
        <v>2</v>
      </c>
      <c r="K542" s="9" t="s">
        <v>2294</v>
      </c>
      <c r="L542" t="s">
        <v>44</v>
      </c>
      <c r="M542">
        <v>6373</v>
      </c>
      <c r="N542" s="2" t="s">
        <v>695</v>
      </c>
      <c r="O542" s="9" t="s">
        <v>2294</v>
      </c>
      <c r="P542" t="s">
        <v>2295</v>
      </c>
      <c r="T542" s="2"/>
      <c r="U542" s="2" t="s">
        <v>718</v>
      </c>
    </row>
    <row r="543" spans="1:21" x14ac:dyDescent="0.3">
      <c r="A543">
        <v>269308</v>
      </c>
      <c r="B543" t="s">
        <v>46</v>
      </c>
      <c r="C543" t="s">
        <v>274</v>
      </c>
      <c r="D543" t="s">
        <v>70</v>
      </c>
      <c r="E543" s="1" t="s">
        <v>2296</v>
      </c>
      <c r="F543">
        <v>24874004</v>
      </c>
      <c r="G543" t="s">
        <v>72</v>
      </c>
      <c r="H543" s="17">
        <v>79964177000168</v>
      </c>
      <c r="I543" s="17">
        <v>9576274000106</v>
      </c>
      <c r="J543" t="s">
        <v>2</v>
      </c>
      <c r="K543" s="9" t="s">
        <v>2297</v>
      </c>
      <c r="L543" t="s">
        <v>44</v>
      </c>
      <c r="M543">
        <v>257166</v>
      </c>
      <c r="N543" s="2" t="s">
        <v>695</v>
      </c>
      <c r="O543" s="9" t="s">
        <v>2297</v>
      </c>
      <c r="P543" t="s">
        <v>2298</v>
      </c>
      <c r="T543" s="2"/>
      <c r="U543" s="2" t="s">
        <v>718</v>
      </c>
    </row>
    <row r="544" spans="1:21" x14ac:dyDescent="0.3">
      <c r="A544">
        <v>269308</v>
      </c>
      <c r="B544" t="s">
        <v>46</v>
      </c>
      <c r="C544" t="s">
        <v>541</v>
      </c>
      <c r="D544" t="s">
        <v>36</v>
      </c>
      <c r="E544" s="1" t="s">
        <v>2299</v>
      </c>
      <c r="F544">
        <v>24873599</v>
      </c>
      <c r="G544" t="s">
        <v>186</v>
      </c>
      <c r="H544" s="17">
        <v>7822636000168</v>
      </c>
      <c r="I544" s="17">
        <v>90739624004458</v>
      </c>
      <c r="J544" t="s">
        <v>2</v>
      </c>
      <c r="K544" s="9" t="s">
        <v>2300</v>
      </c>
      <c r="L544" t="s">
        <v>44</v>
      </c>
      <c r="M544">
        <v>4165</v>
      </c>
      <c r="N544" s="2" t="s">
        <v>695</v>
      </c>
      <c r="O544" s="9" t="s">
        <v>2301</v>
      </c>
      <c r="P544" t="s">
        <v>2302</v>
      </c>
      <c r="T544" s="2"/>
      <c r="U544" s="2" t="s">
        <v>718</v>
      </c>
    </row>
    <row r="545" spans="1:21" x14ac:dyDescent="0.3">
      <c r="A545">
        <v>269308</v>
      </c>
      <c r="B545" t="s">
        <v>46</v>
      </c>
      <c r="C545" t="s">
        <v>218</v>
      </c>
      <c r="D545" t="s">
        <v>61</v>
      </c>
      <c r="E545" s="1" t="s">
        <v>2303</v>
      </c>
      <c r="F545">
        <v>24873422</v>
      </c>
      <c r="G545" t="s">
        <v>85</v>
      </c>
      <c r="H545" s="17">
        <v>1975878000105</v>
      </c>
      <c r="I545" s="17">
        <v>9576274000106</v>
      </c>
      <c r="J545" t="s">
        <v>2</v>
      </c>
      <c r="K545" s="9" t="s">
        <v>2304</v>
      </c>
      <c r="L545" t="s">
        <v>44</v>
      </c>
      <c r="M545">
        <v>2515</v>
      </c>
      <c r="N545" s="2" t="s">
        <v>695</v>
      </c>
      <c r="O545" s="9" t="s">
        <v>2304</v>
      </c>
      <c r="P545" t="s">
        <v>2305</v>
      </c>
      <c r="T545" s="2"/>
      <c r="U545" s="2" t="s">
        <v>718</v>
      </c>
    </row>
    <row r="546" spans="1:21" x14ac:dyDescent="0.3">
      <c r="A546">
        <v>269308</v>
      </c>
      <c r="B546" t="s">
        <v>46</v>
      </c>
      <c r="C546" t="s">
        <v>224</v>
      </c>
      <c r="D546" t="s">
        <v>28</v>
      </c>
      <c r="E546" s="1" t="s">
        <v>2306</v>
      </c>
      <c r="F546">
        <v>24873402</v>
      </c>
      <c r="G546" t="s">
        <v>48</v>
      </c>
      <c r="H546" s="17">
        <v>1272434001002</v>
      </c>
      <c r="I546" s="17">
        <v>90739624001947</v>
      </c>
      <c r="J546" t="s">
        <v>2</v>
      </c>
      <c r="K546" s="9" t="s">
        <v>2307</v>
      </c>
      <c r="L546" t="s">
        <v>44</v>
      </c>
      <c r="M546">
        <v>81277</v>
      </c>
      <c r="N546" s="2" t="s">
        <v>695</v>
      </c>
      <c r="O546" s="9" t="s">
        <v>2307</v>
      </c>
      <c r="P546" t="s">
        <v>2308</v>
      </c>
      <c r="T546" s="2"/>
      <c r="U546" s="2" t="s">
        <v>718</v>
      </c>
    </row>
    <row r="547" spans="1:21" x14ac:dyDescent="0.3">
      <c r="A547">
        <v>269308</v>
      </c>
      <c r="B547" t="s">
        <v>46</v>
      </c>
      <c r="C547" t="s">
        <v>563</v>
      </c>
      <c r="D547" t="s">
        <v>25</v>
      </c>
      <c r="E547" s="1" t="s">
        <v>2309</v>
      </c>
      <c r="F547">
        <v>24873197</v>
      </c>
      <c r="G547" t="s">
        <v>236</v>
      </c>
      <c r="H547" s="17">
        <v>17084739000121</v>
      </c>
      <c r="I547" s="17">
        <v>90739624001866</v>
      </c>
      <c r="J547" t="s">
        <v>2</v>
      </c>
      <c r="K547" s="9" t="s">
        <v>2310</v>
      </c>
      <c r="L547" t="s">
        <v>44</v>
      </c>
      <c r="M547">
        <v>342279</v>
      </c>
      <c r="N547" s="2" t="s">
        <v>695</v>
      </c>
      <c r="O547" s="9" t="s">
        <v>2310</v>
      </c>
      <c r="P547" t="s">
        <v>2311</v>
      </c>
      <c r="T547" s="2"/>
      <c r="U547" s="2" t="s">
        <v>718</v>
      </c>
    </row>
    <row r="548" spans="1:21" x14ac:dyDescent="0.3">
      <c r="A548">
        <v>269308</v>
      </c>
      <c r="B548" t="s">
        <v>46</v>
      </c>
      <c r="C548" t="s">
        <v>214</v>
      </c>
      <c r="D548" t="s">
        <v>28</v>
      </c>
      <c r="E548" s="1" t="s">
        <v>2312</v>
      </c>
      <c r="F548">
        <v>24873150</v>
      </c>
      <c r="G548" t="s">
        <v>48</v>
      </c>
      <c r="H548" s="17">
        <v>1272434001002</v>
      </c>
      <c r="I548" s="17">
        <v>90739624001947</v>
      </c>
      <c r="J548" t="s">
        <v>2</v>
      </c>
      <c r="K548" s="9" t="s">
        <v>2313</v>
      </c>
      <c r="L548" t="s">
        <v>44</v>
      </c>
      <c r="M548">
        <v>81273</v>
      </c>
      <c r="N548" s="2" t="s">
        <v>695</v>
      </c>
      <c r="O548" s="9" t="s">
        <v>2313</v>
      </c>
      <c r="P548" t="s">
        <v>2314</v>
      </c>
      <c r="T548" s="2"/>
      <c r="U548" s="2" t="s">
        <v>718</v>
      </c>
    </row>
    <row r="549" spans="1:21" x14ac:dyDescent="0.3">
      <c r="A549">
        <v>269308</v>
      </c>
      <c r="B549" t="s">
        <v>88</v>
      </c>
      <c r="C549" t="s">
        <v>91</v>
      </c>
      <c r="D549" t="s">
        <v>28</v>
      </c>
      <c r="E549" s="1" t="s">
        <v>2315</v>
      </c>
      <c r="F549">
        <v>24872955</v>
      </c>
      <c r="G549" t="s">
        <v>254</v>
      </c>
      <c r="H549" s="17">
        <v>13759928000104</v>
      </c>
      <c r="I549" s="17"/>
      <c r="J549" t="s">
        <v>2</v>
      </c>
      <c r="K549" s="9" t="s">
        <v>2316</v>
      </c>
      <c r="L549" t="s">
        <v>87</v>
      </c>
      <c r="N549" s="2"/>
      <c r="O549" s="9"/>
      <c r="T549" s="2"/>
      <c r="U549" s="2" t="s">
        <v>718</v>
      </c>
    </row>
    <row r="550" spans="1:21" x14ac:dyDescent="0.3">
      <c r="A550">
        <v>269308</v>
      </c>
      <c r="B550" t="s">
        <v>46</v>
      </c>
      <c r="C550" t="s">
        <v>232</v>
      </c>
      <c r="D550" t="s">
        <v>40</v>
      </c>
      <c r="E550" s="1" t="s">
        <v>2317</v>
      </c>
      <c r="F550">
        <v>24872829</v>
      </c>
      <c r="G550" t="s">
        <v>42</v>
      </c>
      <c r="H550" s="17">
        <v>82156977000248</v>
      </c>
      <c r="I550" s="17">
        <v>90739624001432</v>
      </c>
      <c r="J550" t="s">
        <v>2</v>
      </c>
      <c r="K550" s="9" t="s">
        <v>2318</v>
      </c>
      <c r="L550" t="s">
        <v>44</v>
      </c>
      <c r="M550">
        <v>168403</v>
      </c>
      <c r="N550" s="2" t="s">
        <v>695</v>
      </c>
      <c r="O550" s="9" t="s">
        <v>2318</v>
      </c>
      <c r="P550" t="s">
        <v>2319</v>
      </c>
      <c r="T550" s="2"/>
      <c r="U550" s="2" t="s">
        <v>718</v>
      </c>
    </row>
    <row r="551" spans="1:21" x14ac:dyDescent="0.3">
      <c r="A551">
        <v>269308</v>
      </c>
      <c r="B551" t="s">
        <v>46</v>
      </c>
      <c r="C551" t="s">
        <v>226</v>
      </c>
      <c r="D551" t="s">
        <v>65</v>
      </c>
      <c r="E551" s="1" t="s">
        <v>2320</v>
      </c>
      <c r="F551">
        <v>24872615</v>
      </c>
      <c r="G551" t="s">
        <v>67</v>
      </c>
      <c r="H551" s="17">
        <v>7473735006031</v>
      </c>
      <c r="I551" s="17">
        <v>90739624002323</v>
      </c>
      <c r="J551" t="s">
        <v>17</v>
      </c>
      <c r="K551" s="9" t="s">
        <v>2321</v>
      </c>
      <c r="L551" t="s">
        <v>44</v>
      </c>
      <c r="M551">
        <v>75286</v>
      </c>
      <c r="N551" s="2" t="s">
        <v>695</v>
      </c>
      <c r="O551" s="9" t="s">
        <v>2321</v>
      </c>
      <c r="P551" t="s">
        <v>2322</v>
      </c>
      <c r="T551" s="2"/>
      <c r="U551" s="2" t="s">
        <v>718</v>
      </c>
    </row>
    <row r="552" spans="1:21" x14ac:dyDescent="0.3">
      <c r="A552">
        <v>269308</v>
      </c>
      <c r="B552" t="s">
        <v>46</v>
      </c>
      <c r="C552" t="s">
        <v>457</v>
      </c>
      <c r="D552" t="s">
        <v>58</v>
      </c>
      <c r="E552" s="1" t="s">
        <v>2323</v>
      </c>
      <c r="F552">
        <v>24872613</v>
      </c>
      <c r="G552" t="s">
        <v>626</v>
      </c>
      <c r="H552" s="17">
        <v>7473735004845</v>
      </c>
      <c r="I552" s="17">
        <v>90739624002323</v>
      </c>
      <c r="J552" t="s">
        <v>2</v>
      </c>
      <c r="K552" s="9" t="s">
        <v>2324</v>
      </c>
      <c r="L552" t="s">
        <v>44</v>
      </c>
      <c r="M552">
        <v>65118</v>
      </c>
      <c r="N552" s="2" t="s">
        <v>695</v>
      </c>
      <c r="O552" s="9" t="s">
        <v>2324</v>
      </c>
      <c r="P552" t="s">
        <v>2325</v>
      </c>
      <c r="T552" s="2"/>
      <c r="U552" s="2" t="s">
        <v>718</v>
      </c>
    </row>
    <row r="553" spans="1:21" x14ac:dyDescent="0.3">
      <c r="A553">
        <v>269308</v>
      </c>
      <c r="B553" t="s">
        <v>46</v>
      </c>
      <c r="C553" t="s">
        <v>226</v>
      </c>
      <c r="D553" t="s">
        <v>65</v>
      </c>
      <c r="E553" s="1" t="s">
        <v>2326</v>
      </c>
      <c r="F553">
        <v>24872587</v>
      </c>
      <c r="G553" t="s">
        <v>67</v>
      </c>
      <c r="H553" s="17">
        <v>7473735006031</v>
      </c>
      <c r="I553" s="17">
        <v>90739624002323</v>
      </c>
      <c r="J553" t="s">
        <v>2</v>
      </c>
      <c r="K553" s="9" t="s">
        <v>2327</v>
      </c>
      <c r="L553" t="s">
        <v>44</v>
      </c>
      <c r="M553">
        <v>75284</v>
      </c>
      <c r="N553" s="2" t="s">
        <v>695</v>
      </c>
      <c r="O553" s="9" t="s">
        <v>2327</v>
      </c>
      <c r="P553" t="s">
        <v>2328</v>
      </c>
      <c r="T553" s="2"/>
      <c r="U553" s="2" t="s">
        <v>718</v>
      </c>
    </row>
    <row r="554" spans="1:21" x14ac:dyDescent="0.3">
      <c r="A554">
        <v>269308</v>
      </c>
      <c r="B554" t="s">
        <v>46</v>
      </c>
      <c r="C554" t="s">
        <v>317</v>
      </c>
      <c r="D554" t="s">
        <v>49</v>
      </c>
      <c r="E554" s="1" t="s">
        <v>2329</v>
      </c>
      <c r="F554">
        <v>24872494</v>
      </c>
      <c r="G554" t="s">
        <v>51</v>
      </c>
      <c r="H554" s="17">
        <v>2763612000161</v>
      </c>
      <c r="I554" s="17">
        <v>90739624003133</v>
      </c>
      <c r="J554" t="s">
        <v>2</v>
      </c>
      <c r="K554" s="9" t="s">
        <v>2330</v>
      </c>
      <c r="L554" t="s">
        <v>44</v>
      </c>
      <c r="M554">
        <v>162955</v>
      </c>
      <c r="N554" s="2" t="s">
        <v>695</v>
      </c>
      <c r="O554" s="9" t="s">
        <v>2330</v>
      </c>
      <c r="P554" t="s">
        <v>2331</v>
      </c>
      <c r="T554" s="2"/>
      <c r="U554" s="2" t="s">
        <v>718</v>
      </c>
    </row>
    <row r="555" spans="1:21" x14ac:dyDescent="0.3">
      <c r="A555">
        <v>269308</v>
      </c>
      <c r="B555" t="s">
        <v>46</v>
      </c>
      <c r="C555" t="s">
        <v>225</v>
      </c>
      <c r="D555" t="s">
        <v>49</v>
      </c>
      <c r="E555" s="1" t="s">
        <v>2332</v>
      </c>
      <c r="F555">
        <v>24872435</v>
      </c>
      <c r="G555" t="s">
        <v>51</v>
      </c>
      <c r="H555" s="17">
        <v>2763612000161</v>
      </c>
      <c r="I555" s="17">
        <v>90739624003133</v>
      </c>
      <c r="J555" t="s">
        <v>2</v>
      </c>
      <c r="K555" s="9" t="s">
        <v>2333</v>
      </c>
      <c r="L555" t="s">
        <v>44</v>
      </c>
      <c r="M555">
        <v>162953</v>
      </c>
      <c r="N555" s="2" t="s">
        <v>695</v>
      </c>
      <c r="O555" s="9" t="s">
        <v>2333</v>
      </c>
      <c r="P555" t="s">
        <v>2334</v>
      </c>
      <c r="T555" s="2"/>
      <c r="U555" s="2" t="s">
        <v>718</v>
      </c>
    </row>
    <row r="556" spans="1:21" x14ac:dyDescent="0.3">
      <c r="A556">
        <v>269308</v>
      </c>
      <c r="B556" t="s">
        <v>46</v>
      </c>
      <c r="C556" t="s">
        <v>195</v>
      </c>
      <c r="D556" t="s">
        <v>63</v>
      </c>
      <c r="E556" s="1" t="s">
        <v>2335</v>
      </c>
      <c r="F556">
        <v>24872425</v>
      </c>
      <c r="G556" t="s">
        <v>919</v>
      </c>
      <c r="H556" s="17">
        <v>20630766000167</v>
      </c>
      <c r="I556" s="17">
        <v>90739624001432</v>
      </c>
      <c r="J556" t="s">
        <v>2</v>
      </c>
      <c r="K556" s="9" t="s">
        <v>2336</v>
      </c>
      <c r="L556" t="s">
        <v>44</v>
      </c>
      <c r="M556">
        <v>59108</v>
      </c>
      <c r="N556" s="2" t="s">
        <v>695</v>
      </c>
      <c r="O556" s="9" t="s">
        <v>2336</v>
      </c>
      <c r="P556" t="s">
        <v>2337</v>
      </c>
      <c r="T556" s="2"/>
      <c r="U556" s="2" t="s">
        <v>718</v>
      </c>
    </row>
    <row r="557" spans="1:21" x14ac:dyDescent="0.3">
      <c r="A557">
        <v>269308</v>
      </c>
      <c r="B557" t="s">
        <v>46</v>
      </c>
      <c r="C557" t="s">
        <v>50</v>
      </c>
      <c r="D557" t="s">
        <v>49</v>
      </c>
      <c r="E557" s="1" t="s">
        <v>2338</v>
      </c>
      <c r="F557">
        <v>24872039</v>
      </c>
      <c r="G557" t="s">
        <v>51</v>
      </c>
      <c r="H557" s="17">
        <v>2763612000161</v>
      </c>
      <c r="I557" s="17">
        <v>90739624003133</v>
      </c>
      <c r="J557" t="s">
        <v>2</v>
      </c>
      <c r="K557" s="9" t="s">
        <v>2339</v>
      </c>
      <c r="L557" t="s">
        <v>44</v>
      </c>
      <c r="M557">
        <v>162952</v>
      </c>
      <c r="N557" s="2" t="s">
        <v>695</v>
      </c>
      <c r="O557" s="9" t="s">
        <v>2339</v>
      </c>
      <c r="P557" t="s">
        <v>2340</v>
      </c>
      <c r="T557" s="2"/>
      <c r="U557" s="2" t="s">
        <v>718</v>
      </c>
    </row>
    <row r="558" spans="1:21" x14ac:dyDescent="0.3">
      <c r="A558">
        <v>269308</v>
      </c>
      <c r="B558" t="s">
        <v>46</v>
      </c>
      <c r="C558" t="s">
        <v>101</v>
      </c>
      <c r="D558" t="s">
        <v>100</v>
      </c>
      <c r="E558" s="1" t="s">
        <v>2341</v>
      </c>
      <c r="F558">
        <v>24872013</v>
      </c>
      <c r="G558" t="s">
        <v>486</v>
      </c>
      <c r="H558" s="17">
        <v>58446194000133</v>
      </c>
      <c r="I558" s="17">
        <v>90739624001947</v>
      </c>
      <c r="J558" t="s">
        <v>2</v>
      </c>
      <c r="K558" s="9" t="s">
        <v>2342</v>
      </c>
      <c r="L558" t="s">
        <v>44</v>
      </c>
      <c r="M558">
        <v>52957</v>
      </c>
      <c r="N558" s="2" t="s">
        <v>695</v>
      </c>
      <c r="O558" s="9" t="s">
        <v>2342</v>
      </c>
      <c r="P558" t="s">
        <v>2343</v>
      </c>
      <c r="T558" s="2"/>
      <c r="U558" s="2" t="s">
        <v>718</v>
      </c>
    </row>
    <row r="559" spans="1:21" x14ac:dyDescent="0.3">
      <c r="A559">
        <v>269308</v>
      </c>
      <c r="B559" t="s">
        <v>46</v>
      </c>
      <c r="C559" t="s">
        <v>2344</v>
      </c>
      <c r="D559" t="s">
        <v>61</v>
      </c>
      <c r="E559" s="1" t="s">
        <v>2345</v>
      </c>
      <c r="F559">
        <v>24872012</v>
      </c>
      <c r="G559" t="s">
        <v>85</v>
      </c>
      <c r="H559" s="17">
        <v>1975878000105</v>
      </c>
      <c r="I559" s="17">
        <v>9576274000106</v>
      </c>
      <c r="J559" t="s">
        <v>2</v>
      </c>
      <c r="K559" s="9" t="s">
        <v>2346</v>
      </c>
      <c r="L559" t="s">
        <v>44</v>
      </c>
      <c r="M559">
        <v>2514</v>
      </c>
      <c r="N559" s="2" t="s">
        <v>695</v>
      </c>
      <c r="O559" s="9" t="s">
        <v>2346</v>
      </c>
      <c r="P559" t="s">
        <v>2347</v>
      </c>
      <c r="T559" s="2"/>
      <c r="U559" s="2" t="s">
        <v>718</v>
      </c>
    </row>
    <row r="560" spans="1:21" x14ac:dyDescent="0.3">
      <c r="A560">
        <v>269308</v>
      </c>
      <c r="B560" t="s">
        <v>46</v>
      </c>
      <c r="C560" t="s">
        <v>483</v>
      </c>
      <c r="D560" t="s">
        <v>28</v>
      </c>
      <c r="E560" s="1" t="s">
        <v>2348</v>
      </c>
      <c r="F560">
        <v>24871974</v>
      </c>
      <c r="G560" t="s">
        <v>48</v>
      </c>
      <c r="H560" s="17">
        <v>1272434001002</v>
      </c>
      <c r="I560" s="17">
        <v>90739624001947</v>
      </c>
      <c r="J560" t="s">
        <v>2</v>
      </c>
      <c r="K560" s="9" t="s">
        <v>2349</v>
      </c>
      <c r="L560" t="s">
        <v>44</v>
      </c>
      <c r="M560">
        <v>81271</v>
      </c>
      <c r="N560" s="2" t="s">
        <v>695</v>
      </c>
      <c r="O560" s="9" t="s">
        <v>2349</v>
      </c>
      <c r="P560" t="s">
        <v>2350</v>
      </c>
      <c r="T560" s="2"/>
      <c r="U560" s="2" t="s">
        <v>718</v>
      </c>
    </row>
    <row r="561" spans="1:21" x14ac:dyDescent="0.3">
      <c r="A561">
        <v>269308</v>
      </c>
      <c r="B561" t="s">
        <v>46</v>
      </c>
      <c r="C561" t="s">
        <v>326</v>
      </c>
      <c r="D561" t="s">
        <v>52</v>
      </c>
      <c r="E561" s="1" t="s">
        <v>2351</v>
      </c>
      <c r="F561">
        <v>24871908</v>
      </c>
      <c r="G561" t="s">
        <v>54</v>
      </c>
      <c r="H561" s="17">
        <v>79130647000198</v>
      </c>
      <c r="I561" s="17">
        <v>9576274000106</v>
      </c>
      <c r="J561" t="s">
        <v>2</v>
      </c>
      <c r="K561" s="9" t="s">
        <v>2352</v>
      </c>
      <c r="L561" t="s">
        <v>44</v>
      </c>
      <c r="M561">
        <v>20210</v>
      </c>
      <c r="N561" s="2" t="s">
        <v>695</v>
      </c>
      <c r="O561" s="9" t="s">
        <v>2352</v>
      </c>
      <c r="P561" t="s">
        <v>2353</v>
      </c>
      <c r="T561" s="2"/>
      <c r="U561" s="2" t="s">
        <v>718</v>
      </c>
    </row>
    <row r="562" spans="1:21" x14ac:dyDescent="0.3">
      <c r="A562">
        <v>269308</v>
      </c>
      <c r="B562" t="s">
        <v>46</v>
      </c>
      <c r="C562" t="s">
        <v>511</v>
      </c>
      <c r="D562" t="s">
        <v>28</v>
      </c>
      <c r="E562" s="1" t="s">
        <v>2354</v>
      </c>
      <c r="F562">
        <v>24871882</v>
      </c>
      <c r="G562" t="s">
        <v>29</v>
      </c>
      <c r="H562" s="17">
        <v>47377960000139</v>
      </c>
      <c r="I562" s="17">
        <v>90739624001947</v>
      </c>
      <c r="J562" t="s">
        <v>2</v>
      </c>
      <c r="K562" s="9" t="s">
        <v>2355</v>
      </c>
      <c r="L562" t="s">
        <v>44</v>
      </c>
      <c r="M562">
        <v>113080</v>
      </c>
      <c r="N562" s="2" t="s">
        <v>695</v>
      </c>
      <c r="O562" s="9" t="s">
        <v>2356</v>
      </c>
      <c r="P562" t="s">
        <v>2357</v>
      </c>
      <c r="T562" s="2"/>
      <c r="U562" s="2" t="s">
        <v>718</v>
      </c>
    </row>
    <row r="563" spans="1:21" x14ac:dyDescent="0.3">
      <c r="A563">
        <v>269308</v>
      </c>
      <c r="B563" t="s">
        <v>46</v>
      </c>
      <c r="C563" t="s">
        <v>329</v>
      </c>
      <c r="D563" t="s">
        <v>170</v>
      </c>
      <c r="E563" s="1" t="s">
        <v>2358</v>
      </c>
      <c r="F563">
        <v>24871841</v>
      </c>
      <c r="G563" t="s">
        <v>178</v>
      </c>
      <c r="H563" s="17">
        <v>83392050000199</v>
      </c>
      <c r="I563" s="17">
        <v>90739624001432</v>
      </c>
      <c r="J563" t="s">
        <v>2</v>
      </c>
      <c r="K563" s="9" t="s">
        <v>2359</v>
      </c>
      <c r="L563" t="s">
        <v>44</v>
      </c>
      <c r="M563">
        <v>129492</v>
      </c>
      <c r="N563" s="2" t="s">
        <v>695</v>
      </c>
      <c r="O563" s="9" t="s">
        <v>2359</v>
      </c>
      <c r="P563" t="s">
        <v>2360</v>
      </c>
      <c r="T563" s="2"/>
      <c r="U563" s="2" t="s">
        <v>718</v>
      </c>
    </row>
    <row r="564" spans="1:21" x14ac:dyDescent="0.3">
      <c r="A564">
        <v>269308</v>
      </c>
      <c r="B564" t="s">
        <v>46</v>
      </c>
      <c r="C564" t="s">
        <v>536</v>
      </c>
      <c r="D564" t="s">
        <v>52</v>
      </c>
      <c r="E564" s="1" t="s">
        <v>2361</v>
      </c>
      <c r="F564">
        <v>24871534</v>
      </c>
      <c r="G564" t="s">
        <v>545</v>
      </c>
      <c r="H564" s="17">
        <v>30429333000282</v>
      </c>
      <c r="I564" s="17">
        <v>9576274000106</v>
      </c>
      <c r="J564" t="s">
        <v>2</v>
      </c>
      <c r="K564" s="9" t="s">
        <v>2362</v>
      </c>
      <c r="L564" t="s">
        <v>44</v>
      </c>
      <c r="M564">
        <v>40871</v>
      </c>
      <c r="N564" s="2" t="s">
        <v>695</v>
      </c>
      <c r="O564" s="9" t="s">
        <v>2362</v>
      </c>
      <c r="P564" t="s">
        <v>2363</v>
      </c>
      <c r="T564" s="2"/>
      <c r="U564" s="2" t="s">
        <v>718</v>
      </c>
    </row>
    <row r="565" spans="1:21" x14ac:dyDescent="0.3">
      <c r="A565">
        <v>269308</v>
      </c>
      <c r="B565" t="s">
        <v>46</v>
      </c>
      <c r="C565" t="s">
        <v>771</v>
      </c>
      <c r="D565" t="s">
        <v>52</v>
      </c>
      <c r="E565" s="1" t="s">
        <v>2364</v>
      </c>
      <c r="F565">
        <v>24871492</v>
      </c>
      <c r="G565" t="s">
        <v>127</v>
      </c>
      <c r="H565" s="17">
        <v>76493295000147</v>
      </c>
      <c r="I565" s="17">
        <v>9576274000106</v>
      </c>
      <c r="J565" t="s">
        <v>2</v>
      </c>
      <c r="K565" s="9" t="s">
        <v>2365</v>
      </c>
      <c r="L565" t="s">
        <v>44</v>
      </c>
      <c r="M565">
        <v>28771</v>
      </c>
      <c r="N565" s="2" t="s">
        <v>695</v>
      </c>
      <c r="O565" s="9" t="s">
        <v>2365</v>
      </c>
      <c r="P565" t="s">
        <v>2366</v>
      </c>
      <c r="T565" s="2"/>
      <c r="U565" s="2" t="s">
        <v>718</v>
      </c>
    </row>
    <row r="566" spans="1:21" x14ac:dyDescent="0.3">
      <c r="A566">
        <v>269308</v>
      </c>
      <c r="B566" t="s">
        <v>46</v>
      </c>
      <c r="C566" t="s">
        <v>934</v>
      </c>
      <c r="D566" t="s">
        <v>52</v>
      </c>
      <c r="E566" s="1" t="s">
        <v>2367</v>
      </c>
      <c r="F566">
        <v>24871455</v>
      </c>
      <c r="G566" t="s">
        <v>545</v>
      </c>
      <c r="H566" s="17">
        <v>30429333000282</v>
      </c>
      <c r="I566" s="17">
        <v>9576274000106</v>
      </c>
      <c r="J566" t="s">
        <v>2</v>
      </c>
      <c r="K566" s="9" t="s">
        <v>2368</v>
      </c>
      <c r="L566" t="s">
        <v>44</v>
      </c>
      <c r="M566">
        <v>40870</v>
      </c>
      <c r="N566" s="2" t="s">
        <v>695</v>
      </c>
      <c r="O566" s="9" t="s">
        <v>2369</v>
      </c>
      <c r="P566" t="s">
        <v>2370</v>
      </c>
      <c r="T566" s="2"/>
      <c r="U566" s="2" t="s">
        <v>718</v>
      </c>
    </row>
    <row r="567" spans="1:21" x14ac:dyDescent="0.3">
      <c r="A567">
        <v>269308</v>
      </c>
      <c r="B567" t="s">
        <v>46</v>
      </c>
      <c r="C567" t="s">
        <v>543</v>
      </c>
      <c r="D567" t="s">
        <v>174</v>
      </c>
      <c r="E567" s="1" t="s">
        <v>2371</v>
      </c>
      <c r="F567">
        <v>24871217</v>
      </c>
      <c r="G567" t="s">
        <v>176</v>
      </c>
      <c r="H567" s="17">
        <v>4219621000111</v>
      </c>
      <c r="I567" s="17">
        <v>90739624000118</v>
      </c>
      <c r="J567" t="s">
        <v>2</v>
      </c>
      <c r="K567" s="9" t="s">
        <v>2372</v>
      </c>
      <c r="L567" t="s">
        <v>44</v>
      </c>
      <c r="M567">
        <v>99165</v>
      </c>
      <c r="N567" s="2" t="s">
        <v>581</v>
      </c>
      <c r="O567" s="9" t="s">
        <v>2372</v>
      </c>
      <c r="P567" t="s">
        <v>2373</v>
      </c>
      <c r="T567" s="2"/>
      <c r="U567" s="2" t="s">
        <v>718</v>
      </c>
    </row>
    <row r="568" spans="1:21" x14ac:dyDescent="0.3">
      <c r="A568">
        <v>269308</v>
      </c>
      <c r="B568" t="s">
        <v>46</v>
      </c>
      <c r="C568" t="s">
        <v>494</v>
      </c>
      <c r="D568" t="s">
        <v>61</v>
      </c>
      <c r="E568" s="1" t="s">
        <v>2374</v>
      </c>
      <c r="F568">
        <v>24870710</v>
      </c>
      <c r="G568" t="s">
        <v>85</v>
      </c>
      <c r="H568" s="17">
        <v>1975878000105</v>
      </c>
      <c r="I568" s="17">
        <v>9576274000106</v>
      </c>
      <c r="J568" t="s">
        <v>2</v>
      </c>
      <c r="K568" s="9" t="s">
        <v>2375</v>
      </c>
      <c r="L568" t="s">
        <v>44</v>
      </c>
      <c r="M568">
        <v>2512</v>
      </c>
      <c r="N568" s="2" t="s">
        <v>695</v>
      </c>
      <c r="O568" s="9" t="s">
        <v>2375</v>
      </c>
      <c r="P568" t="s">
        <v>2376</v>
      </c>
      <c r="T568" s="2"/>
      <c r="U568" s="2" t="s">
        <v>718</v>
      </c>
    </row>
    <row r="569" spans="1:21" x14ac:dyDescent="0.3">
      <c r="A569">
        <v>269308</v>
      </c>
      <c r="B569" t="s">
        <v>46</v>
      </c>
      <c r="C569" t="s">
        <v>41</v>
      </c>
      <c r="D569" t="s">
        <v>40</v>
      </c>
      <c r="E569" s="1" t="s">
        <v>2377</v>
      </c>
      <c r="F569">
        <v>24870643</v>
      </c>
      <c r="G569" t="s">
        <v>42</v>
      </c>
      <c r="H569" s="17">
        <v>82156977000248</v>
      </c>
      <c r="I569" s="17">
        <v>90739624001432</v>
      </c>
      <c r="J569" t="s">
        <v>2</v>
      </c>
      <c r="K569" s="9" t="s">
        <v>2378</v>
      </c>
      <c r="L569" t="s">
        <v>44</v>
      </c>
      <c r="M569">
        <v>168387</v>
      </c>
      <c r="N569" s="2" t="s">
        <v>695</v>
      </c>
      <c r="O569" s="9" t="s">
        <v>2378</v>
      </c>
      <c r="P569" t="s">
        <v>2379</v>
      </c>
      <c r="T569" s="2"/>
      <c r="U569" s="2" t="s">
        <v>718</v>
      </c>
    </row>
    <row r="570" spans="1:21" x14ac:dyDescent="0.3">
      <c r="A570">
        <v>269308</v>
      </c>
      <c r="B570" t="s">
        <v>46</v>
      </c>
      <c r="C570" t="s">
        <v>544</v>
      </c>
      <c r="D570" t="s">
        <v>31</v>
      </c>
      <c r="E570" s="1" t="s">
        <v>2380</v>
      </c>
      <c r="F570">
        <v>24870581</v>
      </c>
      <c r="G570" t="s">
        <v>56</v>
      </c>
      <c r="H570" s="17">
        <v>8603562000212</v>
      </c>
      <c r="I570" s="17">
        <v>90739624001866</v>
      </c>
      <c r="J570" t="s">
        <v>2</v>
      </c>
      <c r="K570" s="9" t="s">
        <v>2381</v>
      </c>
      <c r="L570" t="s">
        <v>44</v>
      </c>
      <c r="M570">
        <v>54728</v>
      </c>
      <c r="N570" s="2" t="s">
        <v>695</v>
      </c>
      <c r="O570" s="9" t="s">
        <v>2381</v>
      </c>
      <c r="P570" t="s">
        <v>2382</v>
      </c>
      <c r="T570" s="2"/>
      <c r="U570" s="2" t="s">
        <v>718</v>
      </c>
    </row>
    <row r="571" spans="1:21" x14ac:dyDescent="0.3">
      <c r="A571">
        <v>269308</v>
      </c>
      <c r="B571" t="s">
        <v>46</v>
      </c>
      <c r="C571" t="s">
        <v>97</v>
      </c>
      <c r="D571" t="s">
        <v>28</v>
      </c>
      <c r="E571" s="1" t="s">
        <v>2383</v>
      </c>
      <c r="F571">
        <v>24870037</v>
      </c>
      <c r="G571" t="s">
        <v>48</v>
      </c>
      <c r="H571" s="17">
        <v>1272434001002</v>
      </c>
      <c r="I571" s="17">
        <v>90739624001947</v>
      </c>
      <c r="J571" t="s">
        <v>2</v>
      </c>
      <c r="K571" s="9" t="s">
        <v>2384</v>
      </c>
      <c r="L571" t="s">
        <v>44</v>
      </c>
      <c r="M571">
        <v>81263</v>
      </c>
      <c r="N571" s="2" t="s">
        <v>695</v>
      </c>
      <c r="O571" s="9" t="s">
        <v>2384</v>
      </c>
      <c r="P571" t="s">
        <v>2385</v>
      </c>
      <c r="T571" s="2"/>
      <c r="U571" s="2" t="s">
        <v>718</v>
      </c>
    </row>
    <row r="572" spans="1:21" x14ac:dyDescent="0.3">
      <c r="A572">
        <v>269308</v>
      </c>
      <c r="B572" t="s">
        <v>46</v>
      </c>
      <c r="C572" t="s">
        <v>361</v>
      </c>
      <c r="D572" t="s">
        <v>58</v>
      </c>
      <c r="E572" s="1" t="s">
        <v>2386</v>
      </c>
      <c r="F572">
        <v>24867319</v>
      </c>
      <c r="G572" t="s">
        <v>681</v>
      </c>
      <c r="H572" s="17">
        <v>7473735006465</v>
      </c>
      <c r="I572" s="17">
        <v>90739624002323</v>
      </c>
      <c r="J572" t="s">
        <v>2</v>
      </c>
      <c r="K572" s="9" t="s">
        <v>2387</v>
      </c>
      <c r="L572" t="s">
        <v>44</v>
      </c>
      <c r="M572">
        <v>215255</v>
      </c>
      <c r="N572" s="2" t="s">
        <v>695</v>
      </c>
      <c r="O572" s="9" t="s">
        <v>2387</v>
      </c>
      <c r="P572" t="s">
        <v>2388</v>
      </c>
      <c r="T572" s="2"/>
      <c r="U572" s="2" t="s">
        <v>718</v>
      </c>
    </row>
    <row r="573" spans="1:21" x14ac:dyDescent="0.3">
      <c r="A573">
        <v>269308</v>
      </c>
      <c r="B573" t="s">
        <v>46</v>
      </c>
      <c r="C573" t="s">
        <v>357</v>
      </c>
      <c r="D573" t="s">
        <v>61</v>
      </c>
      <c r="E573" s="1" t="s">
        <v>2389</v>
      </c>
      <c r="F573">
        <v>24867174</v>
      </c>
      <c r="G573" t="s">
        <v>85</v>
      </c>
      <c r="H573" s="17">
        <v>1975878000105</v>
      </c>
      <c r="I573" s="17">
        <v>9576274000106</v>
      </c>
      <c r="J573" t="s">
        <v>2</v>
      </c>
      <c r="K573" s="9" t="s">
        <v>2390</v>
      </c>
      <c r="L573" t="s">
        <v>44</v>
      </c>
      <c r="M573">
        <v>2511</v>
      </c>
      <c r="N573" s="2" t="s">
        <v>695</v>
      </c>
      <c r="O573" s="9" t="s">
        <v>2390</v>
      </c>
      <c r="P573" t="s">
        <v>2391</v>
      </c>
      <c r="T573" s="2"/>
      <c r="U573" s="2" t="s">
        <v>718</v>
      </c>
    </row>
    <row r="574" spans="1:21" x14ac:dyDescent="0.3">
      <c r="A574">
        <v>269308</v>
      </c>
      <c r="B574" t="s">
        <v>46</v>
      </c>
      <c r="C574" t="s">
        <v>53</v>
      </c>
      <c r="D574" t="s">
        <v>52</v>
      </c>
      <c r="E574" s="1" t="s">
        <v>2392</v>
      </c>
      <c r="F574">
        <v>24866985</v>
      </c>
      <c r="G574" t="s">
        <v>54</v>
      </c>
      <c r="H574" s="17">
        <v>79130647000198</v>
      </c>
      <c r="I574" s="17">
        <v>9576274000106</v>
      </c>
      <c r="J574" t="s">
        <v>2</v>
      </c>
      <c r="K574" s="9" t="s">
        <v>2393</v>
      </c>
      <c r="L574" t="s">
        <v>44</v>
      </c>
      <c r="M574">
        <v>20209</v>
      </c>
      <c r="N574" s="2" t="s">
        <v>695</v>
      </c>
      <c r="O574" s="9" t="s">
        <v>2393</v>
      </c>
      <c r="P574" t="s">
        <v>2394</v>
      </c>
      <c r="T574" s="2"/>
      <c r="U574" s="2" t="s">
        <v>718</v>
      </c>
    </row>
    <row r="575" spans="1:21" x14ac:dyDescent="0.3">
      <c r="A575">
        <v>269308</v>
      </c>
      <c r="B575" t="s">
        <v>46</v>
      </c>
      <c r="C575" t="s">
        <v>151</v>
      </c>
      <c r="D575" t="s">
        <v>100</v>
      </c>
      <c r="E575" s="1" t="s">
        <v>2395</v>
      </c>
      <c r="F575">
        <v>24866743</v>
      </c>
      <c r="G575" t="s">
        <v>152</v>
      </c>
      <c r="H575" s="17">
        <v>23891404000118</v>
      </c>
      <c r="I575" s="17">
        <v>90739624001866</v>
      </c>
      <c r="J575" t="s">
        <v>2</v>
      </c>
      <c r="K575" s="9" t="s">
        <v>2396</v>
      </c>
      <c r="L575" t="s">
        <v>44</v>
      </c>
      <c r="M575">
        <v>131547</v>
      </c>
      <c r="N575" s="2" t="s">
        <v>695</v>
      </c>
      <c r="O575" s="9" t="s">
        <v>2396</v>
      </c>
      <c r="P575" t="s">
        <v>2397</v>
      </c>
      <c r="T575" s="2"/>
      <c r="U575" s="2" t="s">
        <v>718</v>
      </c>
    </row>
    <row r="576" spans="1:21" x14ac:dyDescent="0.3">
      <c r="A576">
        <v>269308</v>
      </c>
      <c r="B576" t="s">
        <v>46</v>
      </c>
      <c r="C576" t="s">
        <v>107</v>
      </c>
      <c r="D576" t="s">
        <v>65</v>
      </c>
      <c r="E576" s="1" t="s">
        <v>2398</v>
      </c>
      <c r="F576">
        <v>24866624</v>
      </c>
      <c r="G576" t="s">
        <v>67</v>
      </c>
      <c r="H576" s="17">
        <v>7473735006031</v>
      </c>
      <c r="I576" s="17">
        <v>90739624002323</v>
      </c>
      <c r="J576" t="s">
        <v>2</v>
      </c>
      <c r="K576" s="9" t="s">
        <v>2399</v>
      </c>
      <c r="L576" t="s">
        <v>44</v>
      </c>
      <c r="M576">
        <v>75268</v>
      </c>
      <c r="N576" s="2" t="s">
        <v>695</v>
      </c>
      <c r="O576" s="9" t="s">
        <v>2399</v>
      </c>
      <c r="P576" t="s">
        <v>2400</v>
      </c>
      <c r="T576" s="2"/>
      <c r="U576" s="2" t="s">
        <v>718</v>
      </c>
    </row>
    <row r="577" spans="1:21" x14ac:dyDescent="0.3">
      <c r="A577">
        <v>269308</v>
      </c>
      <c r="B577" t="s">
        <v>46</v>
      </c>
      <c r="C577" t="s">
        <v>217</v>
      </c>
      <c r="D577" t="s">
        <v>40</v>
      </c>
      <c r="E577" s="1" t="s">
        <v>2401</v>
      </c>
      <c r="F577">
        <v>24866384</v>
      </c>
      <c r="G577" t="s">
        <v>42</v>
      </c>
      <c r="H577" s="17">
        <v>82156977000248</v>
      </c>
      <c r="I577" s="17">
        <v>90739624001432</v>
      </c>
      <c r="J577" t="s">
        <v>2</v>
      </c>
      <c r="K577" s="9" t="s">
        <v>2402</v>
      </c>
      <c r="L577" t="s">
        <v>44</v>
      </c>
      <c r="M577">
        <v>168380</v>
      </c>
      <c r="N577" s="2" t="s">
        <v>695</v>
      </c>
      <c r="O577" s="9" t="s">
        <v>2402</v>
      </c>
      <c r="P577" t="s">
        <v>2403</v>
      </c>
      <c r="T577" s="2"/>
      <c r="U577" s="2" t="s">
        <v>718</v>
      </c>
    </row>
    <row r="578" spans="1:21" x14ac:dyDescent="0.3">
      <c r="A578">
        <v>269308</v>
      </c>
      <c r="B578" t="s">
        <v>46</v>
      </c>
      <c r="C578" t="s">
        <v>74</v>
      </c>
      <c r="D578" t="s">
        <v>73</v>
      </c>
      <c r="E578" s="1" t="s">
        <v>2404</v>
      </c>
      <c r="F578">
        <v>24866185</v>
      </c>
      <c r="G578" t="s">
        <v>464</v>
      </c>
      <c r="H578" s="17">
        <v>7473735012350</v>
      </c>
      <c r="I578" s="17">
        <v>90739624002323</v>
      </c>
      <c r="J578" t="s">
        <v>2</v>
      </c>
      <c r="K578" s="9" t="s">
        <v>2405</v>
      </c>
      <c r="L578" t="s">
        <v>44</v>
      </c>
      <c r="M578">
        <v>4898</v>
      </c>
      <c r="N578" s="2" t="s">
        <v>695</v>
      </c>
      <c r="O578" s="9" t="s">
        <v>2405</v>
      </c>
      <c r="P578" t="s">
        <v>2406</v>
      </c>
      <c r="T578" s="2"/>
      <c r="U578" s="2" t="s">
        <v>718</v>
      </c>
    </row>
    <row r="579" spans="1:21" x14ac:dyDescent="0.3">
      <c r="A579">
        <v>269308</v>
      </c>
      <c r="B579" t="s">
        <v>46</v>
      </c>
      <c r="C579" t="s">
        <v>278</v>
      </c>
      <c r="D579" t="s">
        <v>65</v>
      </c>
      <c r="E579" s="1" t="s">
        <v>2407</v>
      </c>
      <c r="F579">
        <v>24865489</v>
      </c>
      <c r="G579" t="s">
        <v>279</v>
      </c>
      <c r="H579" s="17">
        <v>7473735014646</v>
      </c>
      <c r="I579" s="17">
        <v>90739624002323</v>
      </c>
      <c r="J579" t="s">
        <v>2</v>
      </c>
      <c r="K579" s="9" t="s">
        <v>2408</v>
      </c>
      <c r="L579" t="s">
        <v>44</v>
      </c>
      <c r="M579">
        <v>76349</v>
      </c>
      <c r="N579" s="2" t="s">
        <v>695</v>
      </c>
      <c r="O579" s="9" t="s">
        <v>2408</v>
      </c>
      <c r="P579" t="s">
        <v>2409</v>
      </c>
      <c r="T579" s="2"/>
      <c r="U579" s="2" t="s">
        <v>718</v>
      </c>
    </row>
    <row r="580" spans="1:21" x14ac:dyDescent="0.3">
      <c r="A580">
        <v>269308</v>
      </c>
      <c r="B580" t="s">
        <v>46</v>
      </c>
      <c r="C580" t="s">
        <v>179</v>
      </c>
      <c r="D580" t="s">
        <v>33</v>
      </c>
      <c r="E580" s="1" t="s">
        <v>2410</v>
      </c>
      <c r="F580">
        <v>24865462</v>
      </c>
      <c r="G580" t="s">
        <v>35</v>
      </c>
      <c r="H580" s="17">
        <v>27933025000102</v>
      </c>
      <c r="I580" s="17">
        <v>9576274000106</v>
      </c>
      <c r="J580" t="s">
        <v>2</v>
      </c>
      <c r="K580" s="9" t="s">
        <v>2411</v>
      </c>
      <c r="L580" t="s">
        <v>44</v>
      </c>
      <c r="M580">
        <v>1136</v>
      </c>
      <c r="N580" s="2" t="s">
        <v>796</v>
      </c>
      <c r="O580" s="9" t="s">
        <v>2411</v>
      </c>
      <c r="P580" t="s">
        <v>2412</v>
      </c>
      <c r="T580" s="2"/>
      <c r="U580" s="2" t="s">
        <v>718</v>
      </c>
    </row>
    <row r="581" spans="1:21" x14ac:dyDescent="0.3">
      <c r="A581">
        <v>269308</v>
      </c>
      <c r="B581" t="s">
        <v>46</v>
      </c>
      <c r="C581" t="s">
        <v>390</v>
      </c>
      <c r="D581" t="s">
        <v>58</v>
      </c>
      <c r="E581" s="1" t="s">
        <v>2413</v>
      </c>
      <c r="F581">
        <v>24865295</v>
      </c>
      <c r="G581" t="s">
        <v>106</v>
      </c>
      <c r="H581" s="17">
        <v>7473735015103</v>
      </c>
      <c r="I581" s="17">
        <v>90739624002323</v>
      </c>
      <c r="J581" t="s">
        <v>2</v>
      </c>
      <c r="K581" s="9" t="s">
        <v>1517</v>
      </c>
      <c r="L581" t="s">
        <v>44</v>
      </c>
      <c r="M581">
        <v>110896</v>
      </c>
      <c r="N581" s="2" t="s">
        <v>695</v>
      </c>
      <c r="O581" s="9" t="s">
        <v>1517</v>
      </c>
      <c r="P581" t="s">
        <v>2414</v>
      </c>
      <c r="T581" s="2"/>
      <c r="U581" s="2" t="s">
        <v>718</v>
      </c>
    </row>
    <row r="582" spans="1:21" x14ac:dyDescent="0.3">
      <c r="A582">
        <v>269308</v>
      </c>
      <c r="B582" t="s">
        <v>46</v>
      </c>
      <c r="C582" t="s">
        <v>474</v>
      </c>
      <c r="D582" t="s">
        <v>99</v>
      </c>
      <c r="E582" s="1" t="s">
        <v>2415</v>
      </c>
      <c r="F582">
        <v>24865281</v>
      </c>
      <c r="G582" t="s">
        <v>507</v>
      </c>
      <c r="H582" s="17">
        <v>3626094001330</v>
      </c>
      <c r="I582" s="17">
        <v>9576274000106</v>
      </c>
      <c r="J582" t="s">
        <v>2</v>
      </c>
      <c r="K582" s="9" t="s">
        <v>2416</v>
      </c>
      <c r="L582" t="s">
        <v>44</v>
      </c>
      <c r="M582">
        <v>50516</v>
      </c>
      <c r="N582" s="2" t="s">
        <v>590</v>
      </c>
      <c r="O582" s="9" t="s">
        <v>2416</v>
      </c>
      <c r="P582" t="s">
        <v>2417</v>
      </c>
      <c r="T582" s="2"/>
      <c r="U582" s="2" t="s">
        <v>718</v>
      </c>
    </row>
    <row r="583" spans="1:21" x14ac:dyDescent="0.3">
      <c r="A583">
        <v>269308</v>
      </c>
      <c r="B583" t="s">
        <v>46</v>
      </c>
      <c r="C583" t="s">
        <v>481</v>
      </c>
      <c r="D583" t="s">
        <v>58</v>
      </c>
      <c r="E583" s="1" t="s">
        <v>2418</v>
      </c>
      <c r="F583">
        <v>24865183</v>
      </c>
      <c r="G583" t="s">
        <v>480</v>
      </c>
      <c r="H583" s="17">
        <v>7473735019877</v>
      </c>
      <c r="I583" s="17">
        <v>90739624002323</v>
      </c>
      <c r="J583" t="s">
        <v>2</v>
      </c>
      <c r="K583" s="9" t="s">
        <v>2419</v>
      </c>
      <c r="L583" t="s">
        <v>44</v>
      </c>
      <c r="M583">
        <v>57710</v>
      </c>
      <c r="N583" s="2" t="s">
        <v>695</v>
      </c>
      <c r="O583" s="9" t="s">
        <v>2419</v>
      </c>
      <c r="P583" t="s">
        <v>2420</v>
      </c>
      <c r="T583" s="2"/>
      <c r="U583" s="2" t="s">
        <v>718</v>
      </c>
    </row>
    <row r="584" spans="1:21" x14ac:dyDescent="0.3">
      <c r="A584">
        <v>269308</v>
      </c>
      <c r="B584" t="s">
        <v>46</v>
      </c>
      <c r="C584" t="s">
        <v>321</v>
      </c>
      <c r="D584" t="s">
        <v>40</v>
      </c>
      <c r="E584" s="1" t="s">
        <v>2421</v>
      </c>
      <c r="F584">
        <v>24865119</v>
      </c>
      <c r="G584" t="s">
        <v>42</v>
      </c>
      <c r="H584" s="17">
        <v>82156977000248</v>
      </c>
      <c r="I584" s="17">
        <v>90739624001432</v>
      </c>
      <c r="J584" t="s">
        <v>2</v>
      </c>
      <c r="K584" s="9" t="s">
        <v>2422</v>
      </c>
      <c r="L584" t="s">
        <v>44</v>
      </c>
      <c r="M584">
        <v>168373</v>
      </c>
      <c r="N584" s="2" t="s">
        <v>695</v>
      </c>
      <c r="O584" s="9" t="s">
        <v>2422</v>
      </c>
      <c r="P584" t="s">
        <v>2423</v>
      </c>
      <c r="T584" s="2"/>
      <c r="U584" s="2" t="s">
        <v>718</v>
      </c>
    </row>
    <row r="585" spans="1:21" x14ac:dyDescent="0.3">
      <c r="A585">
        <v>269308</v>
      </c>
      <c r="B585" t="s">
        <v>46</v>
      </c>
      <c r="C585" t="s">
        <v>611</v>
      </c>
      <c r="D585" t="s">
        <v>61</v>
      </c>
      <c r="E585" s="1" t="s">
        <v>2424</v>
      </c>
      <c r="F585">
        <v>24864845</v>
      </c>
      <c r="G585" t="s">
        <v>85</v>
      </c>
      <c r="H585" s="17">
        <v>1975878000105</v>
      </c>
      <c r="I585" s="17">
        <v>9576274000106</v>
      </c>
      <c r="J585" t="s">
        <v>2</v>
      </c>
      <c r="K585" s="9" t="s">
        <v>2425</v>
      </c>
      <c r="L585" t="s">
        <v>44</v>
      </c>
      <c r="M585">
        <v>2510</v>
      </c>
      <c r="N585" s="2" t="s">
        <v>695</v>
      </c>
      <c r="O585" s="9" t="s">
        <v>2425</v>
      </c>
      <c r="P585" t="s">
        <v>2426</v>
      </c>
      <c r="T585" s="2"/>
      <c r="U585" s="2" t="s">
        <v>718</v>
      </c>
    </row>
    <row r="586" spans="1:21" x14ac:dyDescent="0.3">
      <c r="A586">
        <v>269308</v>
      </c>
      <c r="B586" t="s">
        <v>46</v>
      </c>
      <c r="C586" t="s">
        <v>129</v>
      </c>
      <c r="D586" t="s">
        <v>25</v>
      </c>
      <c r="E586" s="1" t="s">
        <v>2427</v>
      </c>
      <c r="F586">
        <v>24864829</v>
      </c>
      <c r="G586" t="s">
        <v>258</v>
      </c>
      <c r="H586" s="17">
        <v>26602128000119</v>
      </c>
      <c r="I586" s="17">
        <v>90739624001866</v>
      </c>
      <c r="J586" t="s">
        <v>2</v>
      </c>
      <c r="K586" s="9" t="s">
        <v>2428</v>
      </c>
      <c r="L586" t="s">
        <v>44</v>
      </c>
      <c r="M586">
        <v>136123</v>
      </c>
      <c r="N586" s="2" t="s">
        <v>695</v>
      </c>
      <c r="O586" s="9" t="s">
        <v>2428</v>
      </c>
      <c r="P586" t="s">
        <v>2429</v>
      </c>
      <c r="T586" s="2"/>
      <c r="U586" s="2" t="s">
        <v>718</v>
      </c>
    </row>
    <row r="587" spans="1:21" x14ac:dyDescent="0.3">
      <c r="A587">
        <v>269308</v>
      </c>
      <c r="B587" t="s">
        <v>46</v>
      </c>
      <c r="C587" t="s">
        <v>473</v>
      </c>
      <c r="D587" t="s">
        <v>25</v>
      </c>
      <c r="E587" s="1" t="s">
        <v>2430</v>
      </c>
      <c r="F587">
        <v>24864658</v>
      </c>
      <c r="G587" t="s">
        <v>132</v>
      </c>
      <c r="H587" s="17">
        <v>10588554000105</v>
      </c>
      <c r="I587" s="17">
        <v>90739624003486</v>
      </c>
      <c r="J587" t="s">
        <v>2</v>
      </c>
      <c r="K587" s="9" t="s">
        <v>2431</v>
      </c>
      <c r="L587" t="s">
        <v>44</v>
      </c>
      <c r="M587">
        <v>33949</v>
      </c>
      <c r="N587" s="2" t="s">
        <v>695</v>
      </c>
      <c r="O587" s="9" t="s">
        <v>2431</v>
      </c>
      <c r="P587" t="s">
        <v>2432</v>
      </c>
      <c r="T587" s="2"/>
      <c r="U587" s="2" t="s">
        <v>718</v>
      </c>
    </row>
    <row r="588" spans="1:21" x14ac:dyDescent="0.3">
      <c r="A588">
        <v>269308</v>
      </c>
      <c r="B588" t="s">
        <v>46</v>
      </c>
      <c r="C588" t="s">
        <v>219</v>
      </c>
      <c r="D588" t="s">
        <v>28</v>
      </c>
      <c r="E588" s="1" t="s">
        <v>2433</v>
      </c>
      <c r="F588">
        <v>24864595</v>
      </c>
      <c r="G588" t="s">
        <v>209</v>
      </c>
      <c r="H588" s="17">
        <v>33360405000190</v>
      </c>
      <c r="I588" s="17">
        <v>90739624001947</v>
      </c>
      <c r="J588" t="s">
        <v>2</v>
      </c>
      <c r="K588" s="9" t="s">
        <v>2434</v>
      </c>
      <c r="L588" t="s">
        <v>44</v>
      </c>
      <c r="M588">
        <v>38305</v>
      </c>
      <c r="N588" s="2" t="s">
        <v>695</v>
      </c>
      <c r="O588" s="9" t="s">
        <v>2434</v>
      </c>
      <c r="P588" t="s">
        <v>2435</v>
      </c>
      <c r="T588" s="2"/>
      <c r="U588" s="2" t="s">
        <v>718</v>
      </c>
    </row>
    <row r="589" spans="1:21" x14ac:dyDescent="0.3">
      <c r="A589">
        <v>269308</v>
      </c>
      <c r="B589" t="s">
        <v>46</v>
      </c>
      <c r="C589" t="s">
        <v>34</v>
      </c>
      <c r="D589" t="s">
        <v>33</v>
      </c>
      <c r="E589" s="1" t="s">
        <v>2436</v>
      </c>
      <c r="F589">
        <v>24864592</v>
      </c>
      <c r="G589" t="s">
        <v>35</v>
      </c>
      <c r="H589" s="17">
        <v>27933025000102</v>
      </c>
      <c r="I589" s="17">
        <v>9576274000106</v>
      </c>
      <c r="J589" t="s">
        <v>2</v>
      </c>
      <c r="K589" s="9" t="s">
        <v>2437</v>
      </c>
      <c r="L589" t="s">
        <v>44</v>
      </c>
      <c r="M589">
        <v>1135</v>
      </c>
      <c r="N589" s="2" t="s">
        <v>796</v>
      </c>
      <c r="O589" s="9" t="s">
        <v>2437</v>
      </c>
      <c r="P589" t="s">
        <v>2438</v>
      </c>
      <c r="T589" s="2"/>
      <c r="U589" s="2" t="s">
        <v>718</v>
      </c>
    </row>
    <row r="590" spans="1:21" x14ac:dyDescent="0.3">
      <c r="A590">
        <v>269308</v>
      </c>
      <c r="B590" t="s">
        <v>46</v>
      </c>
      <c r="C590" t="s">
        <v>245</v>
      </c>
      <c r="D590" t="s">
        <v>52</v>
      </c>
      <c r="E590" s="1" t="s">
        <v>2439</v>
      </c>
      <c r="F590">
        <v>24864530</v>
      </c>
      <c r="G590" t="s">
        <v>545</v>
      </c>
      <c r="H590" s="17">
        <v>30429333000282</v>
      </c>
      <c r="I590" s="17">
        <v>9576274000106</v>
      </c>
      <c r="J590" t="s">
        <v>2</v>
      </c>
      <c r="K590" s="9" t="s">
        <v>2440</v>
      </c>
      <c r="L590" t="s">
        <v>44</v>
      </c>
      <c r="M590">
        <v>40868</v>
      </c>
      <c r="N590" s="2" t="s">
        <v>695</v>
      </c>
      <c r="O590" s="9" t="s">
        <v>2440</v>
      </c>
      <c r="P590" t="s">
        <v>2441</v>
      </c>
      <c r="T590" s="2"/>
      <c r="U590" s="2" t="s">
        <v>718</v>
      </c>
    </row>
    <row r="591" spans="1:21" x14ac:dyDescent="0.3">
      <c r="A591">
        <v>269308</v>
      </c>
      <c r="B591" t="s">
        <v>46</v>
      </c>
      <c r="C591" t="s">
        <v>261</v>
      </c>
      <c r="D591" t="s">
        <v>73</v>
      </c>
      <c r="E591" s="1" t="s">
        <v>2442</v>
      </c>
      <c r="F591">
        <v>24864404</v>
      </c>
      <c r="G591" t="s">
        <v>262</v>
      </c>
      <c r="H591" s="17">
        <v>7473735001587</v>
      </c>
      <c r="I591" s="17">
        <v>90739624002323</v>
      </c>
      <c r="J591" t="s">
        <v>2</v>
      </c>
      <c r="K591" s="9" t="s">
        <v>2443</v>
      </c>
      <c r="L591" t="s">
        <v>44</v>
      </c>
      <c r="M591">
        <v>8855</v>
      </c>
      <c r="N591" s="2" t="s">
        <v>695</v>
      </c>
      <c r="O591" s="9" t="s">
        <v>2443</v>
      </c>
      <c r="P591" t="s">
        <v>2444</v>
      </c>
      <c r="T591" s="2"/>
      <c r="U591" s="2" t="s">
        <v>718</v>
      </c>
    </row>
    <row r="592" spans="1:21" x14ac:dyDescent="0.3">
      <c r="A592">
        <v>269308</v>
      </c>
      <c r="B592" t="s">
        <v>46</v>
      </c>
      <c r="C592" t="s">
        <v>356</v>
      </c>
      <c r="D592" t="s">
        <v>61</v>
      </c>
      <c r="E592" s="1" t="s">
        <v>2442</v>
      </c>
      <c r="F592">
        <v>24864403</v>
      </c>
      <c r="G592" t="s">
        <v>85</v>
      </c>
      <c r="H592" s="17">
        <v>1975878000105</v>
      </c>
      <c r="I592" s="17">
        <v>9576274000106</v>
      </c>
      <c r="J592" t="s">
        <v>2</v>
      </c>
      <c r="K592" s="9" t="s">
        <v>2445</v>
      </c>
      <c r="L592" t="s">
        <v>44</v>
      </c>
      <c r="M592">
        <v>2509</v>
      </c>
      <c r="N592" s="2" t="s">
        <v>695</v>
      </c>
      <c r="O592" s="9" t="s">
        <v>2445</v>
      </c>
      <c r="P592" t="s">
        <v>2446</v>
      </c>
      <c r="T592" s="2"/>
      <c r="U592" s="2" t="s">
        <v>718</v>
      </c>
    </row>
    <row r="593" spans="1:21" x14ac:dyDescent="0.3">
      <c r="A593">
        <v>269308</v>
      </c>
      <c r="B593" t="s">
        <v>46</v>
      </c>
      <c r="C593" t="s">
        <v>359</v>
      </c>
      <c r="D593" t="s">
        <v>170</v>
      </c>
      <c r="E593" s="1" t="s">
        <v>2447</v>
      </c>
      <c r="F593">
        <v>24864372</v>
      </c>
      <c r="G593" t="s">
        <v>178</v>
      </c>
      <c r="H593" s="17">
        <v>83392050000199</v>
      </c>
      <c r="I593" s="17">
        <v>90739624001432</v>
      </c>
      <c r="J593" t="s">
        <v>2</v>
      </c>
      <c r="K593" s="9" t="s">
        <v>1129</v>
      </c>
      <c r="L593" t="s">
        <v>44</v>
      </c>
      <c r="M593">
        <v>129469</v>
      </c>
      <c r="N593" s="2" t="s">
        <v>695</v>
      </c>
      <c r="O593" s="9" t="s">
        <v>1129</v>
      </c>
      <c r="P593" t="s">
        <v>2448</v>
      </c>
      <c r="T593" s="2"/>
      <c r="U593" s="2" t="s">
        <v>718</v>
      </c>
    </row>
    <row r="594" spans="1:21" x14ac:dyDescent="0.3">
      <c r="A594">
        <v>269308</v>
      </c>
      <c r="B594" t="s">
        <v>46</v>
      </c>
      <c r="C594" t="s">
        <v>96</v>
      </c>
      <c r="D594" t="s">
        <v>70</v>
      </c>
      <c r="E594" s="1" t="s">
        <v>2449</v>
      </c>
      <c r="F594">
        <v>24864344</v>
      </c>
      <c r="G594" t="s">
        <v>72</v>
      </c>
      <c r="H594" s="17">
        <v>79964177000168</v>
      </c>
      <c r="I594" s="17">
        <v>9576274000106</v>
      </c>
      <c r="J594" t="s">
        <v>2</v>
      </c>
      <c r="K594" s="9" t="s">
        <v>2450</v>
      </c>
      <c r="L594" t="s">
        <v>44</v>
      </c>
      <c r="M594">
        <v>257146</v>
      </c>
      <c r="N594" s="2" t="s">
        <v>695</v>
      </c>
      <c r="O594" s="9" t="s">
        <v>2450</v>
      </c>
      <c r="P594" t="s">
        <v>2451</v>
      </c>
      <c r="T594" s="2"/>
      <c r="U594" s="2" t="s">
        <v>718</v>
      </c>
    </row>
    <row r="595" spans="1:21" x14ac:dyDescent="0.3">
      <c r="A595">
        <v>269308</v>
      </c>
      <c r="B595" t="s">
        <v>46</v>
      </c>
      <c r="C595" t="s">
        <v>38</v>
      </c>
      <c r="D595" t="s">
        <v>33</v>
      </c>
      <c r="E595" s="1" t="s">
        <v>2452</v>
      </c>
      <c r="F595">
        <v>24864237</v>
      </c>
      <c r="G595" t="s">
        <v>35</v>
      </c>
      <c r="H595" s="17">
        <v>27933025000102</v>
      </c>
      <c r="I595" s="17">
        <v>9576274000106</v>
      </c>
      <c r="J595" t="s">
        <v>2</v>
      </c>
      <c r="K595" s="9" t="s">
        <v>2453</v>
      </c>
      <c r="L595" t="s">
        <v>44</v>
      </c>
      <c r="M595">
        <v>1134</v>
      </c>
      <c r="N595" s="2" t="s">
        <v>796</v>
      </c>
      <c r="O595" s="9" t="s">
        <v>2453</v>
      </c>
      <c r="P595" t="s">
        <v>2454</v>
      </c>
      <c r="T595" s="2"/>
      <c r="U595" s="2" t="s">
        <v>718</v>
      </c>
    </row>
    <row r="596" spans="1:21" x14ac:dyDescent="0.3">
      <c r="A596">
        <v>269308</v>
      </c>
      <c r="B596" t="s">
        <v>46</v>
      </c>
      <c r="C596" t="s">
        <v>597</v>
      </c>
      <c r="D596" t="s">
        <v>49</v>
      </c>
      <c r="E596" s="1" t="s">
        <v>2455</v>
      </c>
      <c r="F596">
        <v>24864118</v>
      </c>
      <c r="G596" t="s">
        <v>51</v>
      </c>
      <c r="H596" s="17">
        <v>2763612000161</v>
      </c>
      <c r="I596" s="17">
        <v>90739624003133</v>
      </c>
      <c r="J596" t="s">
        <v>2</v>
      </c>
      <c r="K596" s="9" t="s">
        <v>2456</v>
      </c>
      <c r="L596" t="s">
        <v>44</v>
      </c>
      <c r="M596">
        <v>162927</v>
      </c>
      <c r="N596" s="2" t="s">
        <v>695</v>
      </c>
      <c r="O596" s="9" t="s">
        <v>2456</v>
      </c>
      <c r="P596" t="s">
        <v>2457</v>
      </c>
      <c r="T596" s="2"/>
      <c r="U596" s="2" t="s">
        <v>718</v>
      </c>
    </row>
    <row r="597" spans="1:21" x14ac:dyDescent="0.3">
      <c r="A597">
        <v>269308</v>
      </c>
      <c r="B597" t="s">
        <v>46</v>
      </c>
      <c r="C597" t="s">
        <v>324</v>
      </c>
      <c r="D597" t="s">
        <v>170</v>
      </c>
      <c r="E597" s="1" t="s">
        <v>2458</v>
      </c>
      <c r="F597">
        <v>24864112</v>
      </c>
      <c r="G597" t="s">
        <v>178</v>
      </c>
      <c r="H597" s="17">
        <v>83392050000199</v>
      </c>
      <c r="I597" s="17">
        <v>90739624001432</v>
      </c>
      <c r="J597" t="s">
        <v>2</v>
      </c>
      <c r="K597" s="9" t="s">
        <v>2459</v>
      </c>
      <c r="L597" t="s">
        <v>44</v>
      </c>
      <c r="M597">
        <v>129463</v>
      </c>
      <c r="N597" s="2" t="s">
        <v>695</v>
      </c>
      <c r="O597" s="9" t="s">
        <v>2459</v>
      </c>
      <c r="P597" t="s">
        <v>2460</v>
      </c>
      <c r="T597" s="2"/>
      <c r="U597" s="2" t="s">
        <v>718</v>
      </c>
    </row>
    <row r="598" spans="1:21" x14ac:dyDescent="0.3">
      <c r="A598">
        <v>269308</v>
      </c>
      <c r="B598" t="s">
        <v>46</v>
      </c>
      <c r="C598" t="s">
        <v>172</v>
      </c>
      <c r="D598" t="s">
        <v>31</v>
      </c>
      <c r="E598" s="1" t="s">
        <v>2461</v>
      </c>
      <c r="F598">
        <v>24864105</v>
      </c>
      <c r="G598" t="s">
        <v>56</v>
      </c>
      <c r="H598" s="17">
        <v>8603562000212</v>
      </c>
      <c r="I598" s="17">
        <v>90739624001866</v>
      </c>
      <c r="J598" t="s">
        <v>2</v>
      </c>
      <c r="K598" s="9" t="s">
        <v>2462</v>
      </c>
      <c r="L598" t="s">
        <v>44</v>
      </c>
      <c r="M598">
        <v>54717</v>
      </c>
      <c r="N598" s="2" t="s">
        <v>695</v>
      </c>
      <c r="O598" s="9" t="s">
        <v>2462</v>
      </c>
      <c r="P598" t="s">
        <v>2463</v>
      </c>
      <c r="T598" s="2"/>
      <c r="U598" s="2" t="s">
        <v>718</v>
      </c>
    </row>
    <row r="599" spans="1:21" x14ac:dyDescent="0.3">
      <c r="A599">
        <v>269308</v>
      </c>
      <c r="B599" t="s">
        <v>46</v>
      </c>
      <c r="C599" t="s">
        <v>108</v>
      </c>
      <c r="D599" t="s">
        <v>25</v>
      </c>
      <c r="E599" s="1" t="s">
        <v>2464</v>
      </c>
      <c r="F599">
        <v>24863948</v>
      </c>
      <c r="G599" t="s">
        <v>255</v>
      </c>
      <c r="H599" s="17">
        <v>8512459000690</v>
      </c>
      <c r="I599" s="17">
        <v>90739624001866</v>
      </c>
      <c r="J599" t="s">
        <v>2</v>
      </c>
      <c r="K599" s="9" t="s">
        <v>2465</v>
      </c>
      <c r="L599" t="s">
        <v>44</v>
      </c>
      <c r="M599">
        <v>10465</v>
      </c>
      <c r="N599" s="2" t="s">
        <v>695</v>
      </c>
      <c r="O599" s="9" t="s">
        <v>2465</v>
      </c>
      <c r="P599" t="s">
        <v>2466</v>
      </c>
      <c r="T599" s="2"/>
      <c r="U599" s="2" t="s">
        <v>718</v>
      </c>
    </row>
    <row r="600" spans="1:21" x14ac:dyDescent="0.3">
      <c r="A600">
        <v>269308</v>
      </c>
      <c r="B600" t="s">
        <v>46</v>
      </c>
      <c r="C600" t="s">
        <v>319</v>
      </c>
      <c r="D600" t="s">
        <v>8</v>
      </c>
      <c r="E600" s="1" t="s">
        <v>2467</v>
      </c>
      <c r="F600">
        <v>24863937</v>
      </c>
      <c r="G600" t="s">
        <v>252</v>
      </c>
      <c r="H600" s="17">
        <v>3680814000102</v>
      </c>
      <c r="I600" s="17">
        <v>9576274000106</v>
      </c>
      <c r="J600" t="s">
        <v>2</v>
      </c>
      <c r="K600" s="9" t="s">
        <v>2468</v>
      </c>
      <c r="L600" t="s">
        <v>44</v>
      </c>
      <c r="M600">
        <v>9422</v>
      </c>
      <c r="N600" s="2" t="s">
        <v>695</v>
      </c>
      <c r="O600" s="9" t="s">
        <v>2468</v>
      </c>
      <c r="P600" t="s">
        <v>2469</v>
      </c>
      <c r="T600" s="2"/>
      <c r="U600" s="2" t="s">
        <v>718</v>
      </c>
    </row>
    <row r="601" spans="1:21" x14ac:dyDescent="0.3">
      <c r="A601">
        <v>269308</v>
      </c>
      <c r="B601" t="s">
        <v>46</v>
      </c>
      <c r="C601" t="s">
        <v>270</v>
      </c>
      <c r="D601" t="s">
        <v>63</v>
      </c>
      <c r="E601" s="1" t="s">
        <v>2470</v>
      </c>
      <c r="F601">
        <v>24863914</v>
      </c>
      <c r="G601" t="s">
        <v>919</v>
      </c>
      <c r="H601" s="17">
        <v>20630766000167</v>
      </c>
      <c r="I601" s="17">
        <v>90739624001432</v>
      </c>
      <c r="J601" t="s">
        <v>17</v>
      </c>
      <c r="K601" s="9" t="s">
        <v>2471</v>
      </c>
      <c r="L601" t="s">
        <v>44</v>
      </c>
      <c r="M601">
        <v>59194</v>
      </c>
      <c r="N601" s="2" t="s">
        <v>695</v>
      </c>
      <c r="O601" s="9" t="s">
        <v>2471</v>
      </c>
      <c r="P601" t="s">
        <v>2472</v>
      </c>
      <c r="T601" s="2"/>
      <c r="U601" s="2" t="s">
        <v>718</v>
      </c>
    </row>
    <row r="602" spans="1:21" x14ac:dyDescent="0.3">
      <c r="A602">
        <v>269308</v>
      </c>
      <c r="B602" t="s">
        <v>46</v>
      </c>
      <c r="C602" t="s">
        <v>456</v>
      </c>
      <c r="D602" t="s">
        <v>70</v>
      </c>
      <c r="E602" s="1" t="s">
        <v>2473</v>
      </c>
      <c r="F602">
        <v>24863910</v>
      </c>
      <c r="G602" t="s">
        <v>72</v>
      </c>
      <c r="H602" s="17">
        <v>79964177000168</v>
      </c>
      <c r="I602" s="17">
        <v>9576274000106</v>
      </c>
      <c r="J602" t="s">
        <v>2</v>
      </c>
      <c r="K602" s="9" t="s">
        <v>2474</v>
      </c>
      <c r="L602" t="s">
        <v>44</v>
      </c>
      <c r="M602">
        <v>257144</v>
      </c>
      <c r="N602" s="2" t="s">
        <v>695</v>
      </c>
      <c r="O602" s="9" t="s">
        <v>2474</v>
      </c>
      <c r="P602" t="s">
        <v>2475</v>
      </c>
      <c r="T602" s="2"/>
      <c r="U602" s="2" t="s">
        <v>718</v>
      </c>
    </row>
    <row r="603" spans="1:21" x14ac:dyDescent="0.3">
      <c r="A603">
        <v>269308</v>
      </c>
      <c r="B603" t="s">
        <v>46</v>
      </c>
      <c r="C603" t="s">
        <v>270</v>
      </c>
      <c r="D603" t="s">
        <v>63</v>
      </c>
      <c r="E603" s="1" t="s">
        <v>2476</v>
      </c>
      <c r="F603">
        <v>24863893</v>
      </c>
      <c r="G603" t="s">
        <v>919</v>
      </c>
      <c r="H603" s="17">
        <v>20630766000167</v>
      </c>
      <c r="I603" s="17">
        <v>90739624001432</v>
      </c>
      <c r="J603" t="s">
        <v>2</v>
      </c>
      <c r="K603" s="9" t="s">
        <v>2477</v>
      </c>
      <c r="L603" t="s">
        <v>44</v>
      </c>
      <c r="M603">
        <v>59193</v>
      </c>
      <c r="N603" s="2" t="s">
        <v>695</v>
      </c>
      <c r="O603" s="9" t="s">
        <v>2477</v>
      </c>
      <c r="P603" t="s">
        <v>2478</v>
      </c>
      <c r="T603" s="2"/>
      <c r="U603" s="2" t="s">
        <v>718</v>
      </c>
    </row>
    <row r="604" spans="1:21" x14ac:dyDescent="0.3">
      <c r="A604">
        <v>269308</v>
      </c>
      <c r="B604" t="s">
        <v>46</v>
      </c>
      <c r="C604" t="s">
        <v>555</v>
      </c>
      <c r="D604" t="s">
        <v>58</v>
      </c>
      <c r="E604" s="1" t="s">
        <v>2479</v>
      </c>
      <c r="F604">
        <v>24863795</v>
      </c>
      <c r="G604" t="s">
        <v>106</v>
      </c>
      <c r="H604" s="17">
        <v>7473735015103</v>
      </c>
      <c r="I604" s="17">
        <v>90739624002323</v>
      </c>
      <c r="J604" t="s">
        <v>2</v>
      </c>
      <c r="K604" s="9" t="s">
        <v>2480</v>
      </c>
      <c r="L604" t="s">
        <v>44</v>
      </c>
      <c r="M604">
        <v>110885</v>
      </c>
      <c r="N604" s="2" t="s">
        <v>695</v>
      </c>
      <c r="O604" s="9" t="s">
        <v>2480</v>
      </c>
      <c r="P604" t="s">
        <v>2481</v>
      </c>
      <c r="T604" s="2"/>
      <c r="U604" s="2" t="s">
        <v>718</v>
      </c>
    </row>
    <row r="605" spans="1:21" x14ac:dyDescent="0.3">
      <c r="A605">
        <v>269308</v>
      </c>
      <c r="B605" t="s">
        <v>46</v>
      </c>
      <c r="C605" t="s">
        <v>249</v>
      </c>
      <c r="D605" t="s">
        <v>52</v>
      </c>
      <c r="E605" s="1" t="s">
        <v>2482</v>
      </c>
      <c r="F605">
        <v>24863684</v>
      </c>
      <c r="G605" t="s">
        <v>545</v>
      </c>
      <c r="H605" s="17">
        <v>30429333000282</v>
      </c>
      <c r="I605" s="17">
        <v>9576274000106</v>
      </c>
      <c r="J605" t="s">
        <v>2</v>
      </c>
      <c r="K605" s="9" t="s">
        <v>2483</v>
      </c>
      <c r="L605" t="s">
        <v>44</v>
      </c>
      <c r="M605">
        <v>40867</v>
      </c>
      <c r="N605" s="2" t="s">
        <v>695</v>
      </c>
      <c r="O605" s="9" t="s">
        <v>2483</v>
      </c>
      <c r="P605" t="s">
        <v>2484</v>
      </c>
      <c r="T605" s="2"/>
      <c r="U605" s="2" t="s">
        <v>718</v>
      </c>
    </row>
    <row r="606" spans="1:21" x14ac:dyDescent="0.3">
      <c r="A606">
        <v>269308</v>
      </c>
      <c r="B606" t="s">
        <v>46</v>
      </c>
      <c r="C606" t="s">
        <v>153</v>
      </c>
      <c r="D606" t="s">
        <v>58</v>
      </c>
      <c r="E606" s="1" t="s">
        <v>2485</v>
      </c>
      <c r="F606">
        <v>24863675</v>
      </c>
      <c r="G606" t="s">
        <v>106</v>
      </c>
      <c r="H606" s="17">
        <v>7473735015103</v>
      </c>
      <c r="I606" s="17">
        <v>90739624002323</v>
      </c>
      <c r="J606" t="s">
        <v>2</v>
      </c>
      <c r="K606" s="9" t="s">
        <v>2486</v>
      </c>
      <c r="L606" t="s">
        <v>44</v>
      </c>
      <c r="M606">
        <v>110883</v>
      </c>
      <c r="N606" s="2" t="s">
        <v>695</v>
      </c>
      <c r="O606" s="9" t="s">
        <v>2486</v>
      </c>
      <c r="P606" t="s">
        <v>2487</v>
      </c>
      <c r="T606" s="2"/>
      <c r="U606" s="2" t="s">
        <v>718</v>
      </c>
    </row>
    <row r="607" spans="1:21" x14ac:dyDescent="0.3">
      <c r="A607">
        <v>269308</v>
      </c>
      <c r="B607" t="s">
        <v>46</v>
      </c>
      <c r="C607" t="s">
        <v>247</v>
      </c>
      <c r="D607" t="s">
        <v>11</v>
      </c>
      <c r="E607" s="1" t="s">
        <v>2488</v>
      </c>
      <c r="F607">
        <v>24863639</v>
      </c>
      <c r="G607" t="s">
        <v>608</v>
      </c>
      <c r="H607" s="17">
        <v>42183609000193</v>
      </c>
      <c r="I607" s="17">
        <v>90739624001947</v>
      </c>
      <c r="J607" t="s">
        <v>2</v>
      </c>
      <c r="K607" s="9" t="s">
        <v>2489</v>
      </c>
      <c r="L607" t="s">
        <v>44</v>
      </c>
      <c r="M607">
        <v>46863</v>
      </c>
      <c r="N607" s="2" t="s">
        <v>695</v>
      </c>
      <c r="O607" s="9" t="s">
        <v>2489</v>
      </c>
      <c r="P607" t="s">
        <v>2490</v>
      </c>
      <c r="T607" s="2"/>
      <c r="U607" s="2" t="s">
        <v>718</v>
      </c>
    </row>
    <row r="608" spans="1:21" x14ac:dyDescent="0.3">
      <c r="A608">
        <v>269308</v>
      </c>
      <c r="B608" t="s">
        <v>46</v>
      </c>
      <c r="C608" t="s">
        <v>2491</v>
      </c>
      <c r="D608" t="s">
        <v>126</v>
      </c>
      <c r="E608" s="1" t="s">
        <v>2492</v>
      </c>
      <c r="F608">
        <v>24863478</v>
      </c>
      <c r="G608" t="s">
        <v>127</v>
      </c>
      <c r="H608" s="17">
        <v>76493295000147</v>
      </c>
      <c r="I608" s="17">
        <v>9576274000106</v>
      </c>
      <c r="J608" t="s">
        <v>2</v>
      </c>
      <c r="K608" s="9" t="s">
        <v>2493</v>
      </c>
      <c r="L608" t="s">
        <v>44</v>
      </c>
      <c r="M608">
        <v>28745</v>
      </c>
      <c r="N608" s="2" t="s">
        <v>695</v>
      </c>
      <c r="O608" s="9" t="s">
        <v>2493</v>
      </c>
      <c r="P608" t="s">
        <v>2494</v>
      </c>
      <c r="T608" s="2"/>
      <c r="U608" s="2" t="s">
        <v>718</v>
      </c>
    </row>
    <row r="609" spans="1:21" x14ac:dyDescent="0.3">
      <c r="A609">
        <v>269308</v>
      </c>
      <c r="B609" t="s">
        <v>46</v>
      </c>
      <c r="C609" t="s">
        <v>526</v>
      </c>
      <c r="D609" t="s">
        <v>73</v>
      </c>
      <c r="E609" s="1" t="s">
        <v>2495</v>
      </c>
      <c r="F609">
        <v>24863427</v>
      </c>
      <c r="G609" t="s">
        <v>262</v>
      </c>
      <c r="H609" s="17">
        <v>7473735001587</v>
      </c>
      <c r="I609" s="17">
        <v>90739624002323</v>
      </c>
      <c r="J609" t="s">
        <v>2</v>
      </c>
      <c r="K609" s="9" t="s">
        <v>2496</v>
      </c>
      <c r="L609" t="s">
        <v>44</v>
      </c>
      <c r="M609">
        <v>8846</v>
      </c>
      <c r="N609" s="2" t="s">
        <v>695</v>
      </c>
      <c r="O609" s="9" t="s">
        <v>2496</v>
      </c>
      <c r="P609" t="s">
        <v>2497</v>
      </c>
      <c r="T609" s="2"/>
      <c r="U609" s="2" t="s">
        <v>718</v>
      </c>
    </row>
    <row r="610" spans="1:21" x14ac:dyDescent="0.3">
      <c r="A610">
        <v>269308</v>
      </c>
      <c r="B610" t="s">
        <v>46</v>
      </c>
      <c r="C610" t="s">
        <v>304</v>
      </c>
      <c r="D610" t="s">
        <v>61</v>
      </c>
      <c r="E610" s="1" t="s">
        <v>2498</v>
      </c>
      <c r="F610">
        <v>24863198</v>
      </c>
      <c r="G610" t="s">
        <v>79</v>
      </c>
      <c r="H610" s="17">
        <v>7473735000777</v>
      </c>
      <c r="I610" s="17">
        <v>90739624002323</v>
      </c>
      <c r="J610" t="s">
        <v>2</v>
      </c>
      <c r="K610" s="9" t="s">
        <v>2499</v>
      </c>
      <c r="L610" t="s">
        <v>44</v>
      </c>
      <c r="M610">
        <v>32130</v>
      </c>
      <c r="N610" s="2" t="s">
        <v>695</v>
      </c>
      <c r="O610" s="9" t="s">
        <v>2499</v>
      </c>
      <c r="P610" t="s">
        <v>2500</v>
      </c>
      <c r="T610" s="2"/>
      <c r="U610" s="2" t="s">
        <v>718</v>
      </c>
    </row>
    <row r="611" spans="1:21" x14ac:dyDescent="0.3">
      <c r="A611">
        <v>269308</v>
      </c>
      <c r="B611" t="s">
        <v>46</v>
      </c>
      <c r="C611" t="s">
        <v>139</v>
      </c>
      <c r="D611" t="s">
        <v>8</v>
      </c>
      <c r="E611" s="1" t="s">
        <v>2501</v>
      </c>
      <c r="F611">
        <v>24863099</v>
      </c>
      <c r="G611" t="s">
        <v>62</v>
      </c>
      <c r="H611" s="17">
        <v>79964177000591</v>
      </c>
      <c r="I611" s="17">
        <v>9576274000106</v>
      </c>
      <c r="J611" t="s">
        <v>2</v>
      </c>
      <c r="K611" s="9" t="s">
        <v>2502</v>
      </c>
      <c r="L611" t="s">
        <v>44</v>
      </c>
      <c r="M611">
        <v>820193</v>
      </c>
      <c r="N611" s="2" t="s">
        <v>695</v>
      </c>
      <c r="O611" s="9" t="s">
        <v>2502</v>
      </c>
      <c r="P611" t="s">
        <v>2503</v>
      </c>
      <c r="T611" s="2"/>
      <c r="U611" s="2" t="s">
        <v>718</v>
      </c>
    </row>
    <row r="612" spans="1:21" x14ac:dyDescent="0.3">
      <c r="A612">
        <v>269308</v>
      </c>
      <c r="B612" t="s">
        <v>46</v>
      </c>
      <c r="C612" t="s">
        <v>228</v>
      </c>
      <c r="D612" t="s">
        <v>63</v>
      </c>
      <c r="E612" s="1" t="s">
        <v>2504</v>
      </c>
      <c r="F612">
        <v>24862978</v>
      </c>
      <c r="G612" t="s">
        <v>64</v>
      </c>
      <c r="H612" s="17">
        <v>23448964001921</v>
      </c>
      <c r="I612" s="17">
        <v>90739624001432</v>
      </c>
      <c r="J612" t="s">
        <v>2</v>
      </c>
      <c r="K612" s="9" t="s">
        <v>2505</v>
      </c>
      <c r="L612" t="s">
        <v>44</v>
      </c>
      <c r="M612">
        <v>179051</v>
      </c>
      <c r="N612" s="2" t="s">
        <v>695</v>
      </c>
      <c r="O612" s="9" t="s">
        <v>2505</v>
      </c>
      <c r="P612" t="s">
        <v>2506</v>
      </c>
      <c r="T612" s="2"/>
      <c r="U612" s="2" t="s">
        <v>718</v>
      </c>
    </row>
    <row r="613" spans="1:21" x14ac:dyDescent="0.3">
      <c r="A613">
        <v>269308</v>
      </c>
      <c r="B613" t="s">
        <v>46</v>
      </c>
      <c r="C613" t="s">
        <v>76</v>
      </c>
      <c r="D613" t="s">
        <v>8</v>
      </c>
      <c r="E613" s="1" t="s">
        <v>2507</v>
      </c>
      <c r="F613">
        <v>24862678</v>
      </c>
      <c r="G613" t="s">
        <v>51</v>
      </c>
      <c r="H613" s="17">
        <v>2763612000161</v>
      </c>
      <c r="I613" s="17">
        <v>90739624003133</v>
      </c>
      <c r="J613" t="s">
        <v>17</v>
      </c>
      <c r="K613" s="9" t="s">
        <v>2508</v>
      </c>
      <c r="L613" t="s">
        <v>44</v>
      </c>
      <c r="M613">
        <v>162917</v>
      </c>
      <c r="N613" s="2" t="s">
        <v>695</v>
      </c>
      <c r="O613" s="9" t="s">
        <v>2508</v>
      </c>
      <c r="P613" t="s">
        <v>2509</v>
      </c>
      <c r="T613" s="2"/>
      <c r="U613" s="2" t="s">
        <v>718</v>
      </c>
    </row>
    <row r="614" spans="1:21" x14ac:dyDescent="0.3">
      <c r="A614">
        <v>269308</v>
      </c>
      <c r="B614" t="s">
        <v>46</v>
      </c>
      <c r="C614" t="s">
        <v>76</v>
      </c>
      <c r="D614" t="s">
        <v>8</v>
      </c>
      <c r="E614" s="1" t="s">
        <v>2510</v>
      </c>
      <c r="F614">
        <v>24862668</v>
      </c>
      <c r="G614" t="s">
        <v>51</v>
      </c>
      <c r="H614" s="17">
        <v>2763612000161</v>
      </c>
      <c r="I614" s="17">
        <v>90739624003133</v>
      </c>
      <c r="J614" t="s">
        <v>2</v>
      </c>
      <c r="K614" s="9" t="s">
        <v>2511</v>
      </c>
      <c r="L614" t="s">
        <v>44</v>
      </c>
      <c r="M614">
        <v>162916</v>
      </c>
      <c r="N614" s="2" t="s">
        <v>695</v>
      </c>
      <c r="O614" s="9" t="s">
        <v>2511</v>
      </c>
      <c r="P614" t="s">
        <v>2512</v>
      </c>
      <c r="T614" s="2"/>
      <c r="U614" s="2" t="s">
        <v>718</v>
      </c>
    </row>
    <row r="615" spans="1:21" x14ac:dyDescent="0.3">
      <c r="A615">
        <v>269308</v>
      </c>
      <c r="B615" t="s">
        <v>46</v>
      </c>
      <c r="C615" t="s">
        <v>118</v>
      </c>
      <c r="D615" t="s">
        <v>31</v>
      </c>
      <c r="E615" s="1" t="s">
        <v>2513</v>
      </c>
      <c r="F615">
        <v>24862660</v>
      </c>
      <c r="G615" t="s">
        <v>233</v>
      </c>
      <c r="H615" s="17">
        <v>22611652000103</v>
      </c>
      <c r="I615" s="17">
        <v>90739624001866</v>
      </c>
      <c r="J615" t="s">
        <v>2</v>
      </c>
      <c r="K615" s="9" t="s">
        <v>2514</v>
      </c>
      <c r="L615" t="s">
        <v>44</v>
      </c>
      <c r="M615">
        <v>171672</v>
      </c>
      <c r="N615" s="2" t="s">
        <v>695</v>
      </c>
      <c r="O615" s="9" t="s">
        <v>2514</v>
      </c>
      <c r="P615" t="s">
        <v>2515</v>
      </c>
      <c r="T615" s="2"/>
      <c r="U615" s="2" t="s">
        <v>718</v>
      </c>
    </row>
    <row r="616" spans="1:21" x14ac:dyDescent="0.3">
      <c r="A616">
        <v>269308</v>
      </c>
      <c r="B616" t="s">
        <v>46</v>
      </c>
      <c r="C616" t="s">
        <v>306</v>
      </c>
      <c r="D616" t="s">
        <v>63</v>
      </c>
      <c r="E616" s="1" t="s">
        <v>2516</v>
      </c>
      <c r="F616">
        <v>24862554</v>
      </c>
      <c r="G616" t="s">
        <v>2517</v>
      </c>
      <c r="H616" s="17">
        <v>37435735001391</v>
      </c>
      <c r="I616" s="17">
        <v>90739624001432</v>
      </c>
      <c r="J616" t="s">
        <v>2</v>
      </c>
      <c r="K616" s="9" t="s">
        <v>2518</v>
      </c>
      <c r="L616" t="s">
        <v>44</v>
      </c>
      <c r="M616">
        <v>1020</v>
      </c>
      <c r="N616" s="2" t="s">
        <v>792</v>
      </c>
      <c r="O616" s="9" t="s">
        <v>2518</v>
      </c>
      <c r="P616" t="s">
        <v>2519</v>
      </c>
      <c r="T616" s="2"/>
      <c r="U616" s="2" t="s">
        <v>718</v>
      </c>
    </row>
    <row r="617" spans="1:21" x14ac:dyDescent="0.3">
      <c r="A617">
        <v>269308</v>
      </c>
      <c r="B617" t="s">
        <v>46</v>
      </c>
      <c r="C617" t="s">
        <v>266</v>
      </c>
      <c r="D617" t="s">
        <v>99</v>
      </c>
      <c r="E617" s="1" t="s">
        <v>2520</v>
      </c>
      <c r="F617">
        <v>24862539</v>
      </c>
      <c r="G617" t="s">
        <v>507</v>
      </c>
      <c r="H617" s="17">
        <v>3626094001330</v>
      </c>
      <c r="I617" s="17">
        <v>9576274000106</v>
      </c>
      <c r="J617" t="s">
        <v>2</v>
      </c>
      <c r="K617" s="9" t="s">
        <v>2521</v>
      </c>
      <c r="L617" t="s">
        <v>44</v>
      </c>
      <c r="M617">
        <v>50512</v>
      </c>
      <c r="N617" s="2" t="s">
        <v>695</v>
      </c>
      <c r="O617" s="9" t="s">
        <v>2521</v>
      </c>
      <c r="P617" t="s">
        <v>2522</v>
      </c>
      <c r="T617" s="2"/>
      <c r="U617" s="2" t="s">
        <v>718</v>
      </c>
    </row>
    <row r="618" spans="1:21" x14ac:dyDescent="0.3">
      <c r="A618">
        <v>269308</v>
      </c>
      <c r="B618" t="s">
        <v>46</v>
      </c>
      <c r="C618" t="s">
        <v>511</v>
      </c>
      <c r="D618" t="s">
        <v>28</v>
      </c>
      <c r="E618" s="1" t="s">
        <v>2523</v>
      </c>
      <c r="F618">
        <v>24862505</v>
      </c>
      <c r="G618" t="s">
        <v>366</v>
      </c>
      <c r="H618" s="17">
        <v>27098262000197</v>
      </c>
      <c r="I618" s="17">
        <v>90739624001947</v>
      </c>
      <c r="J618" t="s">
        <v>2</v>
      </c>
      <c r="K618" s="9" t="s">
        <v>2524</v>
      </c>
      <c r="L618" t="s">
        <v>44</v>
      </c>
      <c r="M618">
        <v>8565</v>
      </c>
      <c r="N618" s="2" t="s">
        <v>695</v>
      </c>
      <c r="O618" s="9" t="s">
        <v>2524</v>
      </c>
      <c r="P618" t="s">
        <v>2525</v>
      </c>
      <c r="T618" s="2"/>
      <c r="U618" s="2" t="s">
        <v>718</v>
      </c>
    </row>
    <row r="619" spans="1:21" x14ac:dyDescent="0.3">
      <c r="A619">
        <v>269308</v>
      </c>
      <c r="B619" t="s">
        <v>46</v>
      </c>
      <c r="C619" t="s">
        <v>325</v>
      </c>
      <c r="D619" t="s">
        <v>61</v>
      </c>
      <c r="E619" s="1" t="s">
        <v>2526</v>
      </c>
      <c r="F619">
        <v>24862416</v>
      </c>
      <c r="G619" t="s">
        <v>85</v>
      </c>
      <c r="H619" s="17">
        <v>1975878000105</v>
      </c>
      <c r="I619" s="17">
        <v>9576274000106</v>
      </c>
      <c r="J619" t="s">
        <v>2</v>
      </c>
      <c r="K619" s="9" t="s">
        <v>2527</v>
      </c>
      <c r="L619" t="s">
        <v>44</v>
      </c>
      <c r="M619">
        <v>2508</v>
      </c>
      <c r="N619" s="2" t="s">
        <v>695</v>
      </c>
      <c r="O619" s="9" t="s">
        <v>2527</v>
      </c>
      <c r="P619" t="s">
        <v>2528</v>
      </c>
      <c r="T619" s="2"/>
      <c r="U619" s="2" t="s">
        <v>718</v>
      </c>
    </row>
    <row r="620" spans="1:21" x14ac:dyDescent="0.3">
      <c r="A620">
        <v>269308</v>
      </c>
      <c r="B620" t="s">
        <v>46</v>
      </c>
      <c r="C620" t="s">
        <v>19</v>
      </c>
      <c r="D620" t="s">
        <v>18</v>
      </c>
      <c r="E620" s="1" t="s">
        <v>2529</v>
      </c>
      <c r="F620">
        <v>24862222</v>
      </c>
      <c r="G620" t="s">
        <v>54</v>
      </c>
      <c r="H620" s="17">
        <v>79130647000198</v>
      </c>
      <c r="I620" s="17">
        <v>9576274000106</v>
      </c>
      <c r="J620" t="s">
        <v>17</v>
      </c>
      <c r="K620" s="9" t="s">
        <v>2530</v>
      </c>
      <c r="L620" t="s">
        <v>44</v>
      </c>
      <c r="M620">
        <v>20208</v>
      </c>
      <c r="N620" s="2" t="s">
        <v>695</v>
      </c>
      <c r="O620" s="9" t="s">
        <v>2530</v>
      </c>
      <c r="P620" t="s">
        <v>2531</v>
      </c>
      <c r="T620" s="2"/>
      <c r="U620" s="2" t="s">
        <v>718</v>
      </c>
    </row>
    <row r="621" spans="1:21" x14ac:dyDescent="0.3">
      <c r="A621">
        <v>269308</v>
      </c>
      <c r="B621" t="s">
        <v>46</v>
      </c>
      <c r="C621" t="s">
        <v>19</v>
      </c>
      <c r="D621" t="s">
        <v>18</v>
      </c>
      <c r="E621" s="1" t="s">
        <v>2532</v>
      </c>
      <c r="F621">
        <v>24862096</v>
      </c>
      <c r="G621" t="s">
        <v>54</v>
      </c>
      <c r="H621" s="17">
        <v>79130647000198</v>
      </c>
      <c r="I621" s="17">
        <v>9576274000106</v>
      </c>
      <c r="J621" t="s">
        <v>2</v>
      </c>
      <c r="K621" s="9" t="s">
        <v>2533</v>
      </c>
      <c r="L621" t="s">
        <v>44</v>
      </c>
      <c r="M621">
        <v>20207</v>
      </c>
      <c r="N621" s="2" t="s">
        <v>695</v>
      </c>
      <c r="O621" s="9" t="s">
        <v>2533</v>
      </c>
      <c r="P621" t="s">
        <v>2534</v>
      </c>
      <c r="T621" s="2"/>
      <c r="U621" s="2" t="s">
        <v>718</v>
      </c>
    </row>
    <row r="622" spans="1:21" x14ac:dyDescent="0.3">
      <c r="A622">
        <v>269308</v>
      </c>
      <c r="B622" t="s">
        <v>46</v>
      </c>
      <c r="C622" t="s">
        <v>271</v>
      </c>
      <c r="D622" t="s">
        <v>0</v>
      </c>
      <c r="E622" s="1" t="s">
        <v>2535</v>
      </c>
      <c r="F622">
        <v>24862066</v>
      </c>
      <c r="G622" t="s">
        <v>461</v>
      </c>
      <c r="H622" s="17">
        <v>1172040000183</v>
      </c>
      <c r="I622" s="17">
        <v>90739624001432</v>
      </c>
      <c r="J622" t="s">
        <v>2</v>
      </c>
      <c r="K622" s="9" t="s">
        <v>2536</v>
      </c>
      <c r="L622" t="s">
        <v>44</v>
      </c>
      <c r="M622">
        <v>52773</v>
      </c>
      <c r="N622" s="2" t="s">
        <v>695</v>
      </c>
      <c r="O622" s="9" t="s">
        <v>2537</v>
      </c>
      <c r="P622" t="s">
        <v>2538</v>
      </c>
      <c r="T622" s="2"/>
      <c r="U622" s="2" t="s">
        <v>718</v>
      </c>
    </row>
    <row r="623" spans="1:21" x14ac:dyDescent="0.3">
      <c r="A623">
        <v>269308</v>
      </c>
      <c r="B623" t="s">
        <v>46</v>
      </c>
      <c r="C623" t="s">
        <v>643</v>
      </c>
      <c r="D623" t="s">
        <v>120</v>
      </c>
      <c r="E623" s="1" t="s">
        <v>2539</v>
      </c>
      <c r="F623">
        <v>24861769</v>
      </c>
      <c r="G623" t="s">
        <v>157</v>
      </c>
      <c r="H623" s="17">
        <v>78253424000155</v>
      </c>
      <c r="I623" s="17">
        <v>90739624001432</v>
      </c>
      <c r="J623" t="s">
        <v>2</v>
      </c>
      <c r="K623" s="9" t="s">
        <v>654</v>
      </c>
      <c r="L623" t="s">
        <v>44</v>
      </c>
      <c r="M623">
        <v>38146</v>
      </c>
      <c r="N623" s="2" t="s">
        <v>695</v>
      </c>
      <c r="O623" s="9" t="s">
        <v>654</v>
      </c>
      <c r="P623" t="s">
        <v>2540</v>
      </c>
      <c r="T623" s="2"/>
      <c r="U623" s="2" t="s">
        <v>718</v>
      </c>
    </row>
    <row r="624" spans="1:21" x14ac:dyDescent="0.3">
      <c r="A624">
        <v>269308</v>
      </c>
      <c r="B624" t="s">
        <v>46</v>
      </c>
      <c r="C624" t="s">
        <v>207</v>
      </c>
      <c r="D624" t="s">
        <v>13</v>
      </c>
      <c r="E624" s="1" t="s">
        <v>2541</v>
      </c>
      <c r="F624">
        <v>24861753</v>
      </c>
      <c r="G624" t="s">
        <v>337</v>
      </c>
      <c r="H624" s="17">
        <v>6068493000188</v>
      </c>
      <c r="I624" s="17">
        <v>90739624000380</v>
      </c>
      <c r="J624" t="s">
        <v>17</v>
      </c>
      <c r="K624" s="9" t="s">
        <v>2542</v>
      </c>
      <c r="L624" t="s">
        <v>44</v>
      </c>
      <c r="M624">
        <v>263981</v>
      </c>
      <c r="N624" s="2" t="s">
        <v>581</v>
      </c>
      <c r="O624" s="9" t="s">
        <v>2543</v>
      </c>
      <c r="P624" t="s">
        <v>2544</v>
      </c>
      <c r="T624" s="2"/>
      <c r="U624" s="2" t="s">
        <v>718</v>
      </c>
    </row>
    <row r="625" spans="1:21" x14ac:dyDescent="0.3">
      <c r="A625">
        <v>269308</v>
      </c>
      <c r="B625" t="s">
        <v>46</v>
      </c>
      <c r="C625" t="s">
        <v>207</v>
      </c>
      <c r="D625" t="s">
        <v>13</v>
      </c>
      <c r="E625" s="1" t="s">
        <v>2545</v>
      </c>
      <c r="F625">
        <v>24861643</v>
      </c>
      <c r="G625" t="s">
        <v>337</v>
      </c>
      <c r="H625" s="17">
        <v>6068493000188</v>
      </c>
      <c r="I625" s="17">
        <v>90739624000380</v>
      </c>
      <c r="J625" t="s">
        <v>2</v>
      </c>
      <c r="K625" s="9" t="s">
        <v>2546</v>
      </c>
      <c r="L625" t="s">
        <v>44</v>
      </c>
      <c r="M625">
        <v>263981</v>
      </c>
      <c r="N625" s="2" t="s">
        <v>581</v>
      </c>
      <c r="O625" s="9" t="s">
        <v>2543</v>
      </c>
      <c r="P625" t="s">
        <v>2544</v>
      </c>
      <c r="T625" s="2"/>
      <c r="U625" s="2" t="s">
        <v>718</v>
      </c>
    </row>
    <row r="626" spans="1:21" x14ac:dyDescent="0.3">
      <c r="A626">
        <v>269308</v>
      </c>
      <c r="B626" t="s">
        <v>46</v>
      </c>
      <c r="C626" t="s">
        <v>30</v>
      </c>
      <c r="D626" t="s">
        <v>11</v>
      </c>
      <c r="E626" s="1" t="s">
        <v>2547</v>
      </c>
      <c r="F626">
        <v>24861628</v>
      </c>
      <c r="G626" t="s">
        <v>486</v>
      </c>
      <c r="H626" s="17">
        <v>58446194000133</v>
      </c>
      <c r="I626" s="17">
        <v>90739624001947</v>
      </c>
      <c r="J626" t="s">
        <v>2</v>
      </c>
      <c r="K626" s="9" t="s">
        <v>2548</v>
      </c>
      <c r="L626" t="s">
        <v>44</v>
      </c>
      <c r="M626">
        <v>371545</v>
      </c>
      <c r="N626" s="2" t="s">
        <v>602</v>
      </c>
      <c r="O626" s="9" t="s">
        <v>2548</v>
      </c>
      <c r="P626" t="s">
        <v>2549</v>
      </c>
      <c r="T626" s="2"/>
      <c r="U626" s="2" t="s">
        <v>718</v>
      </c>
    </row>
    <row r="627" spans="1:21" x14ac:dyDescent="0.3">
      <c r="A627">
        <v>269308</v>
      </c>
      <c r="B627" t="s">
        <v>46</v>
      </c>
      <c r="C627" t="s">
        <v>114</v>
      </c>
      <c r="D627" t="s">
        <v>99</v>
      </c>
      <c r="E627" s="1" t="s">
        <v>2550</v>
      </c>
      <c r="F627">
        <v>24861622</v>
      </c>
      <c r="G627" t="s">
        <v>507</v>
      </c>
      <c r="H627" s="17">
        <v>3626094001330</v>
      </c>
      <c r="I627" s="17">
        <v>9576274000106</v>
      </c>
      <c r="J627" t="s">
        <v>2</v>
      </c>
      <c r="K627" s="9" t="s">
        <v>2551</v>
      </c>
      <c r="L627" t="s">
        <v>44</v>
      </c>
      <c r="M627">
        <v>50511</v>
      </c>
      <c r="N627" s="2" t="s">
        <v>695</v>
      </c>
      <c r="O627" s="9" t="s">
        <v>2551</v>
      </c>
      <c r="P627" t="s">
        <v>2552</v>
      </c>
      <c r="T627" s="2"/>
      <c r="U627" s="2" t="s">
        <v>718</v>
      </c>
    </row>
    <row r="628" spans="1:21" x14ac:dyDescent="0.3">
      <c r="A628">
        <v>269308</v>
      </c>
      <c r="B628" t="s">
        <v>46</v>
      </c>
      <c r="C628" t="s">
        <v>205</v>
      </c>
      <c r="D628" t="s">
        <v>28</v>
      </c>
      <c r="E628" s="1" t="s">
        <v>2553</v>
      </c>
      <c r="F628">
        <v>24861372</v>
      </c>
      <c r="G628" t="s">
        <v>48</v>
      </c>
      <c r="H628" s="17">
        <v>1272434001002</v>
      </c>
      <c r="I628" s="17">
        <v>90739624001947</v>
      </c>
      <c r="J628" t="s">
        <v>2</v>
      </c>
      <c r="K628" s="9" t="s">
        <v>2554</v>
      </c>
      <c r="L628" t="s">
        <v>44</v>
      </c>
      <c r="M628">
        <v>81264</v>
      </c>
      <c r="N628" s="2" t="s">
        <v>695</v>
      </c>
      <c r="O628" s="9" t="s">
        <v>2555</v>
      </c>
      <c r="P628" t="s">
        <v>2556</v>
      </c>
      <c r="T628" s="2"/>
      <c r="U628" s="2" t="s">
        <v>718</v>
      </c>
    </row>
    <row r="629" spans="1:21" x14ac:dyDescent="0.3">
      <c r="A629">
        <v>269308</v>
      </c>
      <c r="B629" t="s">
        <v>46</v>
      </c>
      <c r="C629" t="s">
        <v>227</v>
      </c>
      <c r="D629" t="s">
        <v>40</v>
      </c>
      <c r="E629" s="1" t="s">
        <v>2557</v>
      </c>
      <c r="F629">
        <v>24861212</v>
      </c>
      <c r="G629" t="s">
        <v>42</v>
      </c>
      <c r="H629" s="17">
        <v>82156977000248</v>
      </c>
      <c r="I629" s="17">
        <v>90739624001432</v>
      </c>
      <c r="J629" t="s">
        <v>17</v>
      </c>
      <c r="K629" s="9" t="s">
        <v>2558</v>
      </c>
      <c r="L629" t="s">
        <v>44</v>
      </c>
      <c r="M629">
        <v>168351</v>
      </c>
      <c r="N629" s="2" t="s">
        <v>695</v>
      </c>
      <c r="O629" s="9" t="s">
        <v>2558</v>
      </c>
      <c r="P629" t="s">
        <v>2559</v>
      </c>
      <c r="T629" s="2"/>
      <c r="U629" s="2" t="s">
        <v>718</v>
      </c>
    </row>
    <row r="630" spans="1:21" x14ac:dyDescent="0.3">
      <c r="A630">
        <v>269308</v>
      </c>
      <c r="B630" t="s">
        <v>46</v>
      </c>
      <c r="C630" t="s">
        <v>227</v>
      </c>
      <c r="D630" t="s">
        <v>40</v>
      </c>
      <c r="E630" s="1" t="s">
        <v>2560</v>
      </c>
      <c r="F630">
        <v>24861204</v>
      </c>
      <c r="G630" t="s">
        <v>42</v>
      </c>
      <c r="H630" s="17">
        <v>82156977000248</v>
      </c>
      <c r="I630" s="17">
        <v>90739624001432</v>
      </c>
      <c r="J630" t="s">
        <v>2</v>
      </c>
      <c r="K630" s="9" t="s">
        <v>2561</v>
      </c>
      <c r="L630" t="s">
        <v>44</v>
      </c>
      <c r="M630">
        <v>168350</v>
      </c>
      <c r="N630" s="2" t="s">
        <v>695</v>
      </c>
      <c r="O630" s="9" t="s">
        <v>2561</v>
      </c>
      <c r="P630" t="s">
        <v>2562</v>
      </c>
      <c r="T630" s="2"/>
      <c r="U630" s="2" t="s">
        <v>718</v>
      </c>
    </row>
    <row r="631" spans="1:21" x14ac:dyDescent="0.3">
      <c r="A631">
        <v>269308</v>
      </c>
      <c r="B631" t="s">
        <v>46</v>
      </c>
      <c r="C631" t="s">
        <v>12</v>
      </c>
      <c r="D631" t="s">
        <v>11</v>
      </c>
      <c r="E631" s="1" t="s">
        <v>2563</v>
      </c>
      <c r="F631">
        <v>24861101</v>
      </c>
      <c r="G631" t="s">
        <v>678</v>
      </c>
      <c r="H631" s="17">
        <v>2651099000117</v>
      </c>
      <c r="I631" s="17">
        <v>90739624001947</v>
      </c>
      <c r="J631" t="s">
        <v>2</v>
      </c>
      <c r="K631" s="9" t="s">
        <v>2564</v>
      </c>
      <c r="L631" t="s">
        <v>44</v>
      </c>
      <c r="M631">
        <v>287032</v>
      </c>
      <c r="N631" s="2" t="s">
        <v>695</v>
      </c>
      <c r="O631" s="9" t="s">
        <v>2564</v>
      </c>
      <c r="P631" t="s">
        <v>2565</v>
      </c>
      <c r="T631" s="2"/>
      <c r="U631" s="2" t="s">
        <v>718</v>
      </c>
    </row>
    <row r="632" spans="1:21" x14ac:dyDescent="0.3">
      <c r="A632">
        <v>269308</v>
      </c>
      <c r="B632" t="s">
        <v>46</v>
      </c>
      <c r="C632" t="s">
        <v>66</v>
      </c>
      <c r="D632" t="s">
        <v>65</v>
      </c>
      <c r="E632" s="1" t="s">
        <v>2566</v>
      </c>
      <c r="F632">
        <v>24860801</v>
      </c>
      <c r="G632" t="s">
        <v>67</v>
      </c>
      <c r="H632" s="17">
        <v>7473735006031</v>
      </c>
      <c r="I632" s="17">
        <v>90739624002323</v>
      </c>
      <c r="J632" t="s">
        <v>17</v>
      </c>
      <c r="K632" s="9" t="s">
        <v>2567</v>
      </c>
      <c r="L632" t="s">
        <v>44</v>
      </c>
      <c r="M632">
        <v>75241</v>
      </c>
      <c r="N632" s="2" t="s">
        <v>695</v>
      </c>
      <c r="O632" s="9" t="s">
        <v>2567</v>
      </c>
      <c r="P632" t="s">
        <v>2568</v>
      </c>
      <c r="T632" s="2"/>
      <c r="U632" s="2" t="s">
        <v>718</v>
      </c>
    </row>
    <row r="633" spans="1:21" x14ac:dyDescent="0.3">
      <c r="A633">
        <v>269308</v>
      </c>
      <c r="B633" t="s">
        <v>46</v>
      </c>
      <c r="C633" t="s">
        <v>389</v>
      </c>
      <c r="D633" t="s">
        <v>58</v>
      </c>
      <c r="E633" s="1" t="s">
        <v>2569</v>
      </c>
      <c r="F633">
        <v>24860781</v>
      </c>
      <c r="G633" t="s">
        <v>106</v>
      </c>
      <c r="H633" s="17">
        <v>7473735015103</v>
      </c>
      <c r="I633" s="17">
        <v>90739624002323</v>
      </c>
      <c r="J633" t="s">
        <v>2</v>
      </c>
      <c r="K633" s="9" t="s">
        <v>2570</v>
      </c>
      <c r="L633" t="s">
        <v>44</v>
      </c>
      <c r="M633">
        <v>110874</v>
      </c>
      <c r="N633" s="2" t="s">
        <v>695</v>
      </c>
      <c r="O633" s="9" t="s">
        <v>2570</v>
      </c>
      <c r="P633" t="s">
        <v>2571</v>
      </c>
      <c r="T633" s="2"/>
      <c r="U633" s="2" t="s">
        <v>718</v>
      </c>
    </row>
    <row r="634" spans="1:21" x14ac:dyDescent="0.3">
      <c r="A634">
        <v>269308</v>
      </c>
      <c r="B634" t="s">
        <v>82</v>
      </c>
      <c r="C634" t="s">
        <v>12</v>
      </c>
      <c r="D634" t="s">
        <v>11</v>
      </c>
      <c r="E634" s="1" t="s">
        <v>721</v>
      </c>
      <c r="F634">
        <v>24860705</v>
      </c>
      <c r="G634" t="s">
        <v>678</v>
      </c>
      <c r="H634" s="17">
        <v>2651099000117</v>
      </c>
      <c r="I634" s="17"/>
      <c r="J634" t="s">
        <v>2</v>
      </c>
      <c r="K634" s="9" t="s">
        <v>712</v>
      </c>
      <c r="L634" t="s">
        <v>81</v>
      </c>
      <c r="N634" s="2"/>
      <c r="O634" s="9"/>
      <c r="S634">
        <v>269308</v>
      </c>
      <c r="T634" s="2" t="s">
        <v>721</v>
      </c>
      <c r="U634" s="2" t="s">
        <v>718</v>
      </c>
    </row>
    <row r="635" spans="1:21" x14ac:dyDescent="0.3">
      <c r="A635">
        <v>269308</v>
      </c>
      <c r="B635" t="s">
        <v>46</v>
      </c>
      <c r="C635" t="s">
        <v>392</v>
      </c>
      <c r="D635" t="s">
        <v>58</v>
      </c>
      <c r="E635" s="1" t="s">
        <v>2572</v>
      </c>
      <c r="F635">
        <v>24860677</v>
      </c>
      <c r="G635" t="s">
        <v>532</v>
      </c>
      <c r="H635" s="17">
        <v>7473735018552</v>
      </c>
      <c r="I635" s="17">
        <v>90739624002323</v>
      </c>
      <c r="J635" t="s">
        <v>2</v>
      </c>
      <c r="K635" s="9" t="s">
        <v>2573</v>
      </c>
      <c r="L635" t="s">
        <v>44</v>
      </c>
      <c r="M635">
        <v>56239</v>
      </c>
      <c r="N635" s="2" t="s">
        <v>695</v>
      </c>
      <c r="O635" s="9" t="s">
        <v>2573</v>
      </c>
      <c r="P635" t="s">
        <v>2574</v>
      </c>
      <c r="T635" s="2"/>
      <c r="U635" s="2" t="s">
        <v>718</v>
      </c>
    </row>
    <row r="636" spans="1:21" x14ac:dyDescent="0.3">
      <c r="A636">
        <v>269308</v>
      </c>
      <c r="B636" t="s">
        <v>46</v>
      </c>
      <c r="C636" t="s">
        <v>66</v>
      </c>
      <c r="D636" t="s">
        <v>65</v>
      </c>
      <c r="E636" s="1" t="s">
        <v>2575</v>
      </c>
      <c r="F636">
        <v>24860672</v>
      </c>
      <c r="G636" t="s">
        <v>67</v>
      </c>
      <c r="H636" s="17">
        <v>7473735006031</v>
      </c>
      <c r="I636" s="17">
        <v>90739624002323</v>
      </c>
      <c r="J636" t="s">
        <v>2</v>
      </c>
      <c r="K636" s="9" t="s">
        <v>2576</v>
      </c>
      <c r="L636" t="s">
        <v>44</v>
      </c>
      <c r="M636">
        <v>75240</v>
      </c>
      <c r="N636" s="2" t="s">
        <v>695</v>
      </c>
      <c r="O636" s="9" t="s">
        <v>2576</v>
      </c>
      <c r="P636" t="s">
        <v>2577</v>
      </c>
      <c r="T636" s="2"/>
      <c r="U636" s="2" t="s">
        <v>718</v>
      </c>
    </row>
    <row r="637" spans="1:21" x14ac:dyDescent="0.3">
      <c r="A637">
        <v>269308</v>
      </c>
      <c r="B637" t="s">
        <v>46</v>
      </c>
      <c r="C637" t="s">
        <v>539</v>
      </c>
      <c r="D637" t="s">
        <v>58</v>
      </c>
      <c r="E637" s="1" t="s">
        <v>2578</v>
      </c>
      <c r="F637">
        <v>24860575</v>
      </c>
      <c r="G637" t="s">
        <v>106</v>
      </c>
      <c r="H637" s="17">
        <v>7473735015103</v>
      </c>
      <c r="I637" s="17">
        <v>90739624002323</v>
      </c>
      <c r="J637" t="s">
        <v>2</v>
      </c>
      <c r="K637" s="9" t="s">
        <v>2579</v>
      </c>
      <c r="L637" t="s">
        <v>44</v>
      </c>
      <c r="M637">
        <v>110872</v>
      </c>
      <c r="N637" s="2" t="s">
        <v>695</v>
      </c>
      <c r="O637" s="9" t="s">
        <v>2579</v>
      </c>
      <c r="P637" t="s">
        <v>2580</v>
      </c>
      <c r="T637" s="2"/>
      <c r="U637" s="2" t="s">
        <v>718</v>
      </c>
    </row>
    <row r="638" spans="1:21" x14ac:dyDescent="0.3">
      <c r="A638">
        <v>269308</v>
      </c>
      <c r="B638" t="s">
        <v>46</v>
      </c>
      <c r="C638" t="s">
        <v>483</v>
      </c>
      <c r="D638" t="s">
        <v>28</v>
      </c>
      <c r="E638" s="1" t="s">
        <v>2581</v>
      </c>
      <c r="F638">
        <v>24860572</v>
      </c>
      <c r="G638" t="s">
        <v>288</v>
      </c>
      <c r="H638" s="17">
        <v>2162964000161</v>
      </c>
      <c r="I638" s="17">
        <v>90739624001947</v>
      </c>
      <c r="J638" t="s">
        <v>2</v>
      </c>
      <c r="K638" s="9" t="s">
        <v>1111</v>
      </c>
      <c r="L638" t="s">
        <v>44</v>
      </c>
      <c r="M638">
        <v>67790</v>
      </c>
      <c r="N638" s="2" t="s">
        <v>695</v>
      </c>
      <c r="O638" s="9" t="s">
        <v>1111</v>
      </c>
      <c r="P638" t="s">
        <v>2582</v>
      </c>
      <c r="T638" s="2"/>
      <c r="U638" s="2" t="s">
        <v>718</v>
      </c>
    </row>
    <row r="639" spans="1:21" x14ac:dyDescent="0.3">
      <c r="A639">
        <v>269308</v>
      </c>
      <c r="B639" t="s">
        <v>46</v>
      </c>
      <c r="C639" t="s">
        <v>112</v>
      </c>
      <c r="D639" t="s">
        <v>100</v>
      </c>
      <c r="E639" s="1" t="s">
        <v>2583</v>
      </c>
      <c r="F639">
        <v>24860380</v>
      </c>
      <c r="G639" t="s">
        <v>248</v>
      </c>
      <c r="H639" s="17">
        <v>3623054000282</v>
      </c>
      <c r="I639" s="17">
        <v>90739624001866</v>
      </c>
      <c r="J639" t="s">
        <v>2</v>
      </c>
      <c r="K639" s="9" t="s">
        <v>2584</v>
      </c>
      <c r="L639" t="s">
        <v>44</v>
      </c>
      <c r="M639">
        <v>3382844</v>
      </c>
      <c r="N639" s="2" t="s">
        <v>695</v>
      </c>
      <c r="O639" s="9" t="s">
        <v>2584</v>
      </c>
      <c r="P639" t="s">
        <v>2585</v>
      </c>
      <c r="T639" s="2"/>
      <c r="U639" s="2" t="s">
        <v>718</v>
      </c>
    </row>
    <row r="640" spans="1:21" x14ac:dyDescent="0.3">
      <c r="A640">
        <v>269308</v>
      </c>
      <c r="B640" t="s">
        <v>46</v>
      </c>
      <c r="C640" t="s">
        <v>544</v>
      </c>
      <c r="D640" t="s">
        <v>31</v>
      </c>
      <c r="E640" s="1" t="s">
        <v>2586</v>
      </c>
      <c r="F640">
        <v>24860265</v>
      </c>
      <c r="G640" t="s">
        <v>142</v>
      </c>
      <c r="H640" s="17">
        <v>54494203000100</v>
      </c>
      <c r="I640" s="17">
        <v>90739624001866</v>
      </c>
      <c r="J640" t="s">
        <v>2</v>
      </c>
      <c r="K640" s="9" t="s">
        <v>2587</v>
      </c>
      <c r="L640" t="s">
        <v>44</v>
      </c>
      <c r="M640">
        <v>15843</v>
      </c>
      <c r="N640" s="2" t="s">
        <v>590</v>
      </c>
      <c r="O640" s="9" t="s">
        <v>2587</v>
      </c>
      <c r="P640" t="s">
        <v>2588</v>
      </c>
      <c r="T640" s="2"/>
      <c r="U640" s="2" t="s">
        <v>718</v>
      </c>
    </row>
    <row r="641" spans="1:21" x14ac:dyDescent="0.3">
      <c r="A641">
        <v>269308</v>
      </c>
      <c r="B641" t="s">
        <v>46</v>
      </c>
      <c r="C641" t="s">
        <v>276</v>
      </c>
      <c r="D641" t="s">
        <v>63</v>
      </c>
      <c r="E641" s="1" t="s">
        <v>2589</v>
      </c>
      <c r="F641">
        <v>24858067</v>
      </c>
      <c r="G641" t="s">
        <v>64</v>
      </c>
      <c r="H641" s="17">
        <v>23448964001921</v>
      </c>
      <c r="I641" s="17">
        <v>90739624001432</v>
      </c>
      <c r="J641" t="s">
        <v>2</v>
      </c>
      <c r="K641" s="9" t="s">
        <v>2590</v>
      </c>
      <c r="L641" t="s">
        <v>44</v>
      </c>
      <c r="M641">
        <v>179020</v>
      </c>
      <c r="N641" s="2" t="s">
        <v>695</v>
      </c>
      <c r="O641" s="9" t="s">
        <v>2590</v>
      </c>
      <c r="P641" t="s">
        <v>2591</v>
      </c>
      <c r="T641" s="2"/>
      <c r="U641" s="2" t="s">
        <v>718</v>
      </c>
    </row>
    <row r="642" spans="1:21" x14ac:dyDescent="0.3">
      <c r="A642">
        <v>269308</v>
      </c>
      <c r="B642" t="s">
        <v>46</v>
      </c>
      <c r="C642" t="s">
        <v>115</v>
      </c>
      <c r="D642" t="s">
        <v>70</v>
      </c>
      <c r="E642" s="1" t="s">
        <v>2592</v>
      </c>
      <c r="F642">
        <v>24857130</v>
      </c>
      <c r="G642" t="s">
        <v>72</v>
      </c>
      <c r="H642" s="17">
        <v>79964177000168</v>
      </c>
      <c r="I642" s="17">
        <v>9576274000106</v>
      </c>
      <c r="J642" t="s">
        <v>2</v>
      </c>
      <c r="K642" s="9" t="s">
        <v>2593</v>
      </c>
      <c r="L642" t="s">
        <v>44</v>
      </c>
      <c r="M642">
        <v>257127</v>
      </c>
      <c r="N642" s="2" t="s">
        <v>695</v>
      </c>
      <c r="O642" s="9" t="s">
        <v>2593</v>
      </c>
      <c r="P642" t="s">
        <v>2594</v>
      </c>
      <c r="T642" s="2"/>
      <c r="U642" s="2" t="s">
        <v>718</v>
      </c>
    </row>
    <row r="643" spans="1:21" x14ac:dyDescent="0.3">
      <c r="A643">
        <v>269308</v>
      </c>
      <c r="B643" t="s">
        <v>46</v>
      </c>
      <c r="C643" t="s">
        <v>571</v>
      </c>
      <c r="D643" t="s">
        <v>0</v>
      </c>
      <c r="E643" s="1" t="s">
        <v>2595</v>
      </c>
      <c r="F643">
        <v>24856257</v>
      </c>
      <c r="G643" t="s">
        <v>200</v>
      </c>
      <c r="H643" s="17">
        <v>4308884000520</v>
      </c>
      <c r="I643" s="17">
        <v>90739624001432</v>
      </c>
      <c r="J643" t="s">
        <v>2</v>
      </c>
      <c r="K643" s="9" t="s">
        <v>2596</v>
      </c>
      <c r="L643" t="s">
        <v>44</v>
      </c>
      <c r="M643">
        <v>35410</v>
      </c>
      <c r="N643" s="2" t="s">
        <v>695</v>
      </c>
      <c r="O643" s="9" t="s">
        <v>2596</v>
      </c>
      <c r="P643" t="s">
        <v>2597</v>
      </c>
      <c r="T643" s="2"/>
      <c r="U643" s="2" t="s">
        <v>718</v>
      </c>
    </row>
    <row r="644" spans="1:21" x14ac:dyDescent="0.3">
      <c r="A644">
        <v>269308</v>
      </c>
      <c r="B644" t="s">
        <v>46</v>
      </c>
      <c r="C644" t="s">
        <v>703</v>
      </c>
      <c r="D644" t="s">
        <v>25</v>
      </c>
      <c r="E644" s="1" t="s">
        <v>2598</v>
      </c>
      <c r="F644">
        <v>24855648</v>
      </c>
      <c r="G644" t="s">
        <v>206</v>
      </c>
      <c r="H644" s="17">
        <v>50128357000128</v>
      </c>
      <c r="I644" s="17">
        <v>90739624003486</v>
      </c>
      <c r="J644" t="s">
        <v>2</v>
      </c>
      <c r="K644" s="9" t="s">
        <v>2599</v>
      </c>
      <c r="L644" t="s">
        <v>44</v>
      </c>
      <c r="M644">
        <v>144586</v>
      </c>
      <c r="N644" s="2" t="s">
        <v>695</v>
      </c>
      <c r="O644" s="9" t="s">
        <v>2599</v>
      </c>
      <c r="P644" t="s">
        <v>2600</v>
      </c>
      <c r="T644" s="2"/>
      <c r="U644" s="2" t="s">
        <v>718</v>
      </c>
    </row>
    <row r="645" spans="1:21" x14ac:dyDescent="0.3">
      <c r="A645">
        <v>269308</v>
      </c>
      <c r="B645" t="s">
        <v>88</v>
      </c>
      <c r="C645" t="s">
        <v>564</v>
      </c>
      <c r="D645" t="s">
        <v>58</v>
      </c>
      <c r="E645" s="1" t="s">
        <v>2601</v>
      </c>
      <c r="F645">
        <v>24855610</v>
      </c>
      <c r="G645" t="s">
        <v>609</v>
      </c>
      <c r="H645" s="17">
        <v>7473735024102</v>
      </c>
      <c r="I645" s="17"/>
      <c r="J645" t="s">
        <v>2</v>
      </c>
      <c r="K645" s="9" t="s">
        <v>2602</v>
      </c>
      <c r="L645" t="s">
        <v>87</v>
      </c>
      <c r="N645" s="2"/>
      <c r="O645" s="9"/>
      <c r="T645" s="2"/>
      <c r="U645" s="2" t="s">
        <v>718</v>
      </c>
    </row>
    <row r="646" spans="1:21" x14ac:dyDescent="0.3">
      <c r="A646">
        <v>269308</v>
      </c>
      <c r="B646" t="s">
        <v>46</v>
      </c>
      <c r="C646" t="s">
        <v>511</v>
      </c>
      <c r="D646" t="s">
        <v>28</v>
      </c>
      <c r="E646" s="1" t="s">
        <v>2603</v>
      </c>
      <c r="F646">
        <v>24855602</v>
      </c>
      <c r="G646" t="s">
        <v>29</v>
      </c>
      <c r="H646" s="17">
        <v>47377960000139</v>
      </c>
      <c r="I646" s="17">
        <v>90739624001947</v>
      </c>
      <c r="J646" t="s">
        <v>2</v>
      </c>
      <c r="K646" s="9" t="s">
        <v>2064</v>
      </c>
      <c r="L646" t="s">
        <v>44</v>
      </c>
      <c r="M646">
        <v>113042</v>
      </c>
      <c r="N646" s="2" t="s">
        <v>695</v>
      </c>
      <c r="O646" s="9" t="s">
        <v>2064</v>
      </c>
      <c r="P646" t="s">
        <v>2604</v>
      </c>
      <c r="T646" s="2"/>
      <c r="U646" s="2" t="s">
        <v>718</v>
      </c>
    </row>
    <row r="647" spans="1:21" x14ac:dyDescent="0.3">
      <c r="A647">
        <v>269308</v>
      </c>
      <c r="B647" t="s">
        <v>46</v>
      </c>
      <c r="C647" t="s">
        <v>93</v>
      </c>
      <c r="D647" t="s">
        <v>25</v>
      </c>
      <c r="E647" s="1" t="s">
        <v>2605</v>
      </c>
      <c r="F647">
        <v>24855529</v>
      </c>
      <c r="G647" t="s">
        <v>132</v>
      </c>
      <c r="H647" s="17">
        <v>10588554000105</v>
      </c>
      <c r="I647" s="17">
        <v>90739624003486</v>
      </c>
      <c r="J647" t="s">
        <v>2</v>
      </c>
      <c r="K647" s="9" t="s">
        <v>2606</v>
      </c>
      <c r="L647" t="s">
        <v>44</v>
      </c>
      <c r="M647">
        <v>33939</v>
      </c>
      <c r="N647" s="2" t="s">
        <v>695</v>
      </c>
      <c r="O647" s="9" t="s">
        <v>2606</v>
      </c>
      <c r="P647" t="s">
        <v>2607</v>
      </c>
      <c r="T647" s="2"/>
      <c r="U647" s="2" t="s">
        <v>718</v>
      </c>
    </row>
    <row r="648" spans="1:21" x14ac:dyDescent="0.3">
      <c r="A648">
        <v>269308</v>
      </c>
      <c r="B648" t="s">
        <v>46</v>
      </c>
      <c r="C648" t="s">
        <v>549</v>
      </c>
      <c r="D648" t="s">
        <v>28</v>
      </c>
      <c r="E648" s="1" t="s">
        <v>2608</v>
      </c>
      <c r="F648">
        <v>24855500</v>
      </c>
      <c r="G648" t="s">
        <v>186</v>
      </c>
      <c r="H648" s="17">
        <v>7822636000168</v>
      </c>
      <c r="I648" s="17">
        <v>90739624004458</v>
      </c>
      <c r="J648" t="s">
        <v>2</v>
      </c>
      <c r="K648" s="9" t="s">
        <v>2609</v>
      </c>
      <c r="L648" t="s">
        <v>44</v>
      </c>
      <c r="M648">
        <v>4148</v>
      </c>
      <c r="N648" s="2" t="s">
        <v>695</v>
      </c>
      <c r="O648" s="9" t="s">
        <v>2609</v>
      </c>
      <c r="P648" t="s">
        <v>2610</v>
      </c>
      <c r="T648" s="2"/>
      <c r="U648" s="2" t="s">
        <v>718</v>
      </c>
    </row>
    <row r="649" spans="1:21" x14ac:dyDescent="0.3">
      <c r="A649">
        <v>269308</v>
      </c>
      <c r="B649" t="s">
        <v>46</v>
      </c>
      <c r="C649" t="s">
        <v>273</v>
      </c>
      <c r="D649" t="s">
        <v>31</v>
      </c>
      <c r="E649" s="1" t="s">
        <v>2611</v>
      </c>
      <c r="F649">
        <v>24855203</v>
      </c>
      <c r="G649" t="s">
        <v>2612</v>
      </c>
      <c r="H649" s="17">
        <v>32962458000118</v>
      </c>
      <c r="I649" s="17">
        <v>90739624001866</v>
      </c>
      <c r="J649" t="s">
        <v>2</v>
      </c>
      <c r="K649" s="9" t="s">
        <v>2613</v>
      </c>
      <c r="L649" t="s">
        <v>44</v>
      </c>
      <c r="M649">
        <v>190374</v>
      </c>
      <c r="N649" s="2" t="s">
        <v>695</v>
      </c>
      <c r="O649" s="9" t="s">
        <v>2613</v>
      </c>
      <c r="P649" t="s">
        <v>2614</v>
      </c>
      <c r="T649" s="2"/>
      <c r="U649" s="2" t="s">
        <v>718</v>
      </c>
    </row>
    <row r="650" spans="1:21" x14ac:dyDescent="0.3">
      <c r="A650">
        <v>269308</v>
      </c>
      <c r="B650" t="s">
        <v>46</v>
      </c>
      <c r="C650" t="s">
        <v>2615</v>
      </c>
      <c r="D650" t="s">
        <v>25</v>
      </c>
      <c r="E650" s="1" t="s">
        <v>2616</v>
      </c>
      <c r="F650">
        <v>24855129</v>
      </c>
      <c r="G650" t="s">
        <v>132</v>
      </c>
      <c r="H650" s="17">
        <v>10588554000105</v>
      </c>
      <c r="I650" s="17">
        <v>90739624003486</v>
      </c>
      <c r="J650" t="s">
        <v>2</v>
      </c>
      <c r="K650" s="9" t="s">
        <v>2617</v>
      </c>
      <c r="L650" t="s">
        <v>44</v>
      </c>
      <c r="M650">
        <v>33938</v>
      </c>
      <c r="N650" s="2" t="s">
        <v>695</v>
      </c>
      <c r="O650" s="9" t="s">
        <v>2617</v>
      </c>
      <c r="P650" t="s">
        <v>2618</v>
      </c>
      <c r="T650" s="2"/>
      <c r="U650" s="2" t="s">
        <v>718</v>
      </c>
    </row>
    <row r="651" spans="1:21" x14ac:dyDescent="0.3">
      <c r="A651">
        <v>269308</v>
      </c>
      <c r="B651" t="s">
        <v>46</v>
      </c>
      <c r="C651" t="s">
        <v>180</v>
      </c>
      <c r="D651" t="s">
        <v>73</v>
      </c>
      <c r="E651" s="1" t="s">
        <v>2619</v>
      </c>
      <c r="F651">
        <v>24855097</v>
      </c>
      <c r="G651" t="s">
        <v>2620</v>
      </c>
      <c r="H651" s="17">
        <v>7473735013240</v>
      </c>
      <c r="I651" s="17">
        <v>90739624002323</v>
      </c>
      <c r="J651" t="s">
        <v>2</v>
      </c>
      <c r="K651" s="9" t="s">
        <v>2621</v>
      </c>
      <c r="L651" t="s">
        <v>44</v>
      </c>
      <c r="M651">
        <v>37603</v>
      </c>
      <c r="N651" s="2" t="s">
        <v>695</v>
      </c>
      <c r="O651" s="9" t="s">
        <v>2621</v>
      </c>
      <c r="P651" t="s">
        <v>2622</v>
      </c>
      <c r="T651" s="2"/>
      <c r="U651" s="2" t="s">
        <v>718</v>
      </c>
    </row>
    <row r="652" spans="1:21" x14ac:dyDescent="0.3">
      <c r="A652">
        <v>269308</v>
      </c>
      <c r="B652" t="s">
        <v>46</v>
      </c>
      <c r="C652" t="s">
        <v>653</v>
      </c>
      <c r="D652" t="s">
        <v>100</v>
      </c>
      <c r="E652" s="1" t="s">
        <v>2623</v>
      </c>
      <c r="F652">
        <v>24855001</v>
      </c>
      <c r="G652" t="s">
        <v>283</v>
      </c>
      <c r="H652" s="17">
        <v>9663620000185</v>
      </c>
      <c r="I652" s="17">
        <v>90739624001866</v>
      </c>
      <c r="J652" t="s">
        <v>2</v>
      </c>
      <c r="K652" s="9" t="s">
        <v>2624</v>
      </c>
      <c r="L652" t="s">
        <v>44</v>
      </c>
      <c r="M652">
        <v>92958</v>
      </c>
      <c r="N652" s="2" t="s">
        <v>695</v>
      </c>
      <c r="O652" s="9" t="s">
        <v>2624</v>
      </c>
      <c r="P652" t="s">
        <v>2625</v>
      </c>
      <c r="T652" s="2"/>
      <c r="U652" s="2" t="s">
        <v>718</v>
      </c>
    </row>
    <row r="653" spans="1:21" x14ac:dyDescent="0.3">
      <c r="A653">
        <v>269308</v>
      </c>
      <c r="B653" t="s">
        <v>46</v>
      </c>
      <c r="C653" t="s">
        <v>365</v>
      </c>
      <c r="D653" t="s">
        <v>65</v>
      </c>
      <c r="E653" s="1" t="s">
        <v>2626</v>
      </c>
      <c r="F653">
        <v>24854873</v>
      </c>
      <c r="G653" t="s">
        <v>67</v>
      </c>
      <c r="H653" s="17">
        <v>7473735006031</v>
      </c>
      <c r="I653" s="17">
        <v>90739624002323</v>
      </c>
      <c r="J653" t="s">
        <v>2</v>
      </c>
      <c r="K653" s="9" t="s">
        <v>2627</v>
      </c>
      <c r="L653" t="s">
        <v>44</v>
      </c>
      <c r="M653">
        <v>75232</v>
      </c>
      <c r="N653" s="2" t="s">
        <v>695</v>
      </c>
      <c r="O653" s="9" t="s">
        <v>2627</v>
      </c>
      <c r="P653" t="s">
        <v>2628</v>
      </c>
      <c r="T653" s="2"/>
      <c r="U653" s="2" t="s">
        <v>718</v>
      </c>
    </row>
    <row r="654" spans="1:21" x14ac:dyDescent="0.3">
      <c r="A654">
        <v>269308</v>
      </c>
      <c r="B654" t="s">
        <v>46</v>
      </c>
      <c r="C654" t="s">
        <v>124</v>
      </c>
      <c r="D654" t="s">
        <v>40</v>
      </c>
      <c r="E654" s="1" t="s">
        <v>2629</v>
      </c>
      <c r="F654">
        <v>24854745</v>
      </c>
      <c r="G654" t="s">
        <v>42</v>
      </c>
      <c r="H654" s="17">
        <v>82156977000248</v>
      </c>
      <c r="I654" s="17">
        <v>90739624001432</v>
      </c>
      <c r="J654" t="s">
        <v>2</v>
      </c>
      <c r="K654" s="9" t="s">
        <v>2630</v>
      </c>
      <c r="L654" t="s">
        <v>44</v>
      </c>
      <c r="M654">
        <v>168339</v>
      </c>
      <c r="N654" s="2" t="s">
        <v>695</v>
      </c>
      <c r="O654" s="9" t="s">
        <v>2630</v>
      </c>
      <c r="P654" t="s">
        <v>2631</v>
      </c>
      <c r="T654" s="2"/>
      <c r="U654" s="2" t="s">
        <v>718</v>
      </c>
    </row>
    <row r="655" spans="1:21" x14ac:dyDescent="0.3">
      <c r="A655">
        <v>269308</v>
      </c>
      <c r="B655" t="s">
        <v>46</v>
      </c>
      <c r="C655" t="s">
        <v>214</v>
      </c>
      <c r="D655" t="s">
        <v>28</v>
      </c>
      <c r="E655" s="1" t="s">
        <v>2632</v>
      </c>
      <c r="F655">
        <v>24854542</v>
      </c>
      <c r="G655" t="s">
        <v>92</v>
      </c>
      <c r="H655" s="17">
        <v>2310460000141</v>
      </c>
      <c r="I655" s="17">
        <v>90739624001947</v>
      </c>
      <c r="J655" t="s">
        <v>2</v>
      </c>
      <c r="K655" s="9" t="s">
        <v>2633</v>
      </c>
      <c r="L655" t="s">
        <v>44</v>
      </c>
      <c r="M655">
        <v>53761</v>
      </c>
      <c r="N655" s="2" t="s">
        <v>695</v>
      </c>
      <c r="O655" s="9" t="s">
        <v>2633</v>
      </c>
      <c r="P655" t="s">
        <v>2634</v>
      </c>
      <c r="T655" s="2"/>
      <c r="U655" s="2" t="s">
        <v>718</v>
      </c>
    </row>
    <row r="656" spans="1:21" x14ac:dyDescent="0.3">
      <c r="A656">
        <v>269308</v>
      </c>
      <c r="B656" t="s">
        <v>46</v>
      </c>
      <c r="C656" t="s">
        <v>336</v>
      </c>
      <c r="D656" t="s">
        <v>13</v>
      </c>
      <c r="E656" s="1" t="s">
        <v>2635</v>
      </c>
      <c r="F656">
        <v>24854303</v>
      </c>
      <c r="G656" t="s">
        <v>340</v>
      </c>
      <c r="H656" s="17">
        <v>29127799000163</v>
      </c>
      <c r="I656" s="17">
        <v>90739624000380</v>
      </c>
      <c r="J656" t="s">
        <v>2</v>
      </c>
      <c r="K656" s="9" t="s">
        <v>2636</v>
      </c>
      <c r="L656" t="s">
        <v>44</v>
      </c>
      <c r="M656">
        <v>117192</v>
      </c>
      <c r="N656" s="2" t="s">
        <v>695</v>
      </c>
      <c r="O656" s="9" t="s">
        <v>2636</v>
      </c>
      <c r="P656" t="s">
        <v>2637</v>
      </c>
      <c r="T656" s="2"/>
      <c r="U656" s="2" t="s">
        <v>718</v>
      </c>
    </row>
    <row r="657" spans="1:21" x14ac:dyDescent="0.3">
      <c r="A657">
        <v>269308</v>
      </c>
      <c r="B657" t="s">
        <v>88</v>
      </c>
      <c r="C657" t="s">
        <v>612</v>
      </c>
      <c r="D657" t="s">
        <v>58</v>
      </c>
      <c r="E657" s="1" t="s">
        <v>2638</v>
      </c>
      <c r="F657">
        <v>24854202</v>
      </c>
      <c r="G657" t="s">
        <v>2639</v>
      </c>
      <c r="H657" s="17">
        <v>7473735021340</v>
      </c>
      <c r="I657" s="17"/>
      <c r="J657" t="s">
        <v>2</v>
      </c>
      <c r="K657" s="9" t="s">
        <v>2640</v>
      </c>
      <c r="L657" t="s">
        <v>87</v>
      </c>
      <c r="N657" s="2"/>
      <c r="O657" s="9"/>
      <c r="T657" s="2"/>
      <c r="U657" s="2" t="s">
        <v>718</v>
      </c>
    </row>
    <row r="658" spans="1:21" x14ac:dyDescent="0.3">
      <c r="A658">
        <v>269308</v>
      </c>
      <c r="B658" t="s">
        <v>46</v>
      </c>
      <c r="C658" t="s">
        <v>238</v>
      </c>
      <c r="D658" t="s">
        <v>8</v>
      </c>
      <c r="E658" s="1" t="s">
        <v>2641</v>
      </c>
      <c r="F658">
        <v>24853990</v>
      </c>
      <c r="G658" t="s">
        <v>10</v>
      </c>
      <c r="H658" s="17">
        <v>33286065000102</v>
      </c>
      <c r="I658" s="17">
        <v>9576274000106</v>
      </c>
      <c r="J658" t="s">
        <v>2</v>
      </c>
      <c r="K658" s="9" t="s">
        <v>2642</v>
      </c>
      <c r="L658" t="s">
        <v>44</v>
      </c>
      <c r="M658">
        <v>4284</v>
      </c>
      <c r="N658" s="2" t="s">
        <v>695</v>
      </c>
      <c r="O658" s="9" t="s">
        <v>2642</v>
      </c>
      <c r="P658" t="s">
        <v>2643</v>
      </c>
      <c r="T658" s="2"/>
      <c r="U658" s="2" t="s">
        <v>718</v>
      </c>
    </row>
    <row r="659" spans="1:21" x14ac:dyDescent="0.3">
      <c r="A659">
        <v>269308</v>
      </c>
      <c r="B659" t="s">
        <v>46</v>
      </c>
      <c r="C659" t="s">
        <v>499</v>
      </c>
      <c r="D659" t="s">
        <v>61</v>
      </c>
      <c r="E659" s="1" t="s">
        <v>2644</v>
      </c>
      <c r="F659">
        <v>24853987</v>
      </c>
      <c r="G659" t="s">
        <v>62</v>
      </c>
      <c r="H659" s="17">
        <v>79964177000591</v>
      </c>
      <c r="I659" s="17">
        <v>9576274000106</v>
      </c>
      <c r="J659" t="s">
        <v>2</v>
      </c>
      <c r="K659" s="9" t="s">
        <v>2645</v>
      </c>
      <c r="L659" t="s">
        <v>44</v>
      </c>
      <c r="M659">
        <v>820159</v>
      </c>
      <c r="N659" s="2" t="s">
        <v>695</v>
      </c>
      <c r="O659" s="9" t="s">
        <v>2645</v>
      </c>
      <c r="P659" t="s">
        <v>2646</v>
      </c>
      <c r="T659" s="2"/>
      <c r="U659" s="2" t="s">
        <v>718</v>
      </c>
    </row>
    <row r="660" spans="1:21" x14ac:dyDescent="0.3">
      <c r="A660">
        <v>269308</v>
      </c>
      <c r="B660" t="s">
        <v>88</v>
      </c>
      <c r="C660" t="s">
        <v>468</v>
      </c>
      <c r="D660" t="s">
        <v>25</v>
      </c>
      <c r="E660" s="1" t="s">
        <v>2647</v>
      </c>
      <c r="F660">
        <v>24853851</v>
      </c>
      <c r="G660" t="s">
        <v>32</v>
      </c>
      <c r="H660" s="17">
        <v>9001879002619</v>
      </c>
      <c r="I660" s="17"/>
      <c r="J660" t="s">
        <v>2</v>
      </c>
      <c r="K660" s="9" t="s">
        <v>2648</v>
      </c>
      <c r="L660" t="s">
        <v>87</v>
      </c>
      <c r="N660" s="2"/>
      <c r="O660" s="9"/>
      <c r="T660" s="2"/>
      <c r="U660" s="2" t="s">
        <v>718</v>
      </c>
    </row>
    <row r="661" spans="1:21" x14ac:dyDescent="0.3">
      <c r="A661">
        <v>269308</v>
      </c>
      <c r="B661" t="s">
        <v>46</v>
      </c>
      <c r="C661" t="s">
        <v>191</v>
      </c>
      <c r="D661" t="s">
        <v>61</v>
      </c>
      <c r="E661" s="1" t="s">
        <v>2649</v>
      </c>
      <c r="F661">
        <v>24853559</v>
      </c>
      <c r="G661" t="s">
        <v>10</v>
      </c>
      <c r="H661" s="17">
        <v>33286065000102</v>
      </c>
      <c r="I661" s="17">
        <v>9576274000106</v>
      </c>
      <c r="J661" t="s">
        <v>2</v>
      </c>
      <c r="K661" s="9" t="s">
        <v>2650</v>
      </c>
      <c r="L661" t="s">
        <v>44</v>
      </c>
      <c r="M661">
        <v>4283</v>
      </c>
      <c r="N661" s="2" t="s">
        <v>695</v>
      </c>
      <c r="O661" s="9" t="s">
        <v>2650</v>
      </c>
      <c r="P661" t="s">
        <v>2651</v>
      </c>
      <c r="T661" s="2"/>
      <c r="U661" s="2" t="s">
        <v>718</v>
      </c>
    </row>
    <row r="662" spans="1:21" x14ac:dyDescent="0.3">
      <c r="A662">
        <v>269308</v>
      </c>
      <c r="B662" t="s">
        <v>46</v>
      </c>
      <c r="C662" t="s">
        <v>191</v>
      </c>
      <c r="D662" t="s">
        <v>61</v>
      </c>
      <c r="E662" s="1" t="s">
        <v>2652</v>
      </c>
      <c r="F662">
        <v>24853546</v>
      </c>
      <c r="G662" t="s">
        <v>10</v>
      </c>
      <c r="H662" s="17">
        <v>33286065000102</v>
      </c>
      <c r="I662" s="17">
        <v>9576274000106</v>
      </c>
      <c r="J662" t="s">
        <v>17</v>
      </c>
      <c r="K662" s="9" t="s">
        <v>2653</v>
      </c>
      <c r="L662" t="s">
        <v>44</v>
      </c>
      <c r="M662">
        <v>4282</v>
      </c>
      <c r="N662" s="2" t="s">
        <v>695</v>
      </c>
      <c r="O662" s="9" t="s">
        <v>2653</v>
      </c>
      <c r="P662" t="s">
        <v>2654</v>
      </c>
      <c r="T662" s="2"/>
      <c r="U662" s="2" t="s">
        <v>718</v>
      </c>
    </row>
    <row r="663" spans="1:21" x14ac:dyDescent="0.3">
      <c r="A663">
        <v>269308</v>
      </c>
      <c r="B663" t="s">
        <v>46</v>
      </c>
      <c r="C663" t="s">
        <v>59</v>
      </c>
      <c r="D663" t="s">
        <v>58</v>
      </c>
      <c r="E663" s="1" t="s">
        <v>2655</v>
      </c>
      <c r="F663">
        <v>24853383</v>
      </c>
      <c r="G663" t="s">
        <v>60</v>
      </c>
      <c r="H663" s="17">
        <v>7473735018200</v>
      </c>
      <c r="I663" s="17">
        <v>90739624002323</v>
      </c>
      <c r="J663" t="s">
        <v>17</v>
      </c>
      <c r="K663" s="9" t="s">
        <v>2656</v>
      </c>
      <c r="L663" t="s">
        <v>44</v>
      </c>
      <c r="M663">
        <v>74083</v>
      </c>
      <c r="N663" s="2" t="s">
        <v>695</v>
      </c>
      <c r="O663" s="9" t="s">
        <v>2656</v>
      </c>
      <c r="P663" t="s">
        <v>2657</v>
      </c>
      <c r="T663" s="2"/>
      <c r="U663" s="2" t="s">
        <v>718</v>
      </c>
    </row>
    <row r="664" spans="1:21" x14ac:dyDescent="0.3">
      <c r="A664">
        <v>269308</v>
      </c>
      <c r="B664" t="s">
        <v>46</v>
      </c>
      <c r="C664" t="s">
        <v>59</v>
      </c>
      <c r="D664" t="s">
        <v>58</v>
      </c>
      <c r="E664" s="1" t="s">
        <v>2658</v>
      </c>
      <c r="F664">
        <v>24853344</v>
      </c>
      <c r="G664" t="s">
        <v>60</v>
      </c>
      <c r="H664" s="17">
        <v>7473735018200</v>
      </c>
      <c r="I664" s="17">
        <v>90739624002323</v>
      </c>
      <c r="J664" t="s">
        <v>2</v>
      </c>
      <c r="K664" s="9" t="s">
        <v>2659</v>
      </c>
      <c r="L664" t="s">
        <v>44</v>
      </c>
      <c r="M664">
        <v>74082</v>
      </c>
      <c r="N664" s="2" t="s">
        <v>695</v>
      </c>
      <c r="O664" s="9" t="s">
        <v>2659</v>
      </c>
      <c r="P664" t="s">
        <v>2660</v>
      </c>
      <c r="T664" s="2"/>
      <c r="U664" s="2" t="s">
        <v>718</v>
      </c>
    </row>
    <row r="665" spans="1:21" x14ac:dyDescent="0.3">
      <c r="A665">
        <v>269308</v>
      </c>
      <c r="B665" t="s">
        <v>46</v>
      </c>
      <c r="C665" t="s">
        <v>116</v>
      </c>
      <c r="D665" t="s">
        <v>11</v>
      </c>
      <c r="E665" s="1" t="s">
        <v>2661</v>
      </c>
      <c r="F665">
        <v>24853315</v>
      </c>
      <c r="G665" t="s">
        <v>95</v>
      </c>
      <c r="H665" s="17">
        <v>37489429000102</v>
      </c>
      <c r="I665" s="17">
        <v>90739624001947</v>
      </c>
      <c r="J665" t="s">
        <v>2</v>
      </c>
      <c r="K665" s="9" t="s">
        <v>2662</v>
      </c>
      <c r="L665" t="s">
        <v>44</v>
      </c>
      <c r="M665">
        <v>4413</v>
      </c>
      <c r="N665" s="2" t="s">
        <v>695</v>
      </c>
      <c r="O665" s="9" t="s">
        <v>2662</v>
      </c>
      <c r="P665" t="s">
        <v>2663</v>
      </c>
      <c r="T665" s="2"/>
      <c r="U665" s="2" t="s">
        <v>718</v>
      </c>
    </row>
    <row r="666" spans="1:21" x14ac:dyDescent="0.3">
      <c r="A666">
        <v>269308</v>
      </c>
      <c r="B666" t="s">
        <v>46</v>
      </c>
      <c r="C666" t="s">
        <v>284</v>
      </c>
      <c r="D666" t="s">
        <v>0</v>
      </c>
      <c r="E666" s="1" t="s">
        <v>2664</v>
      </c>
      <c r="F666">
        <v>24853311</v>
      </c>
      <c r="G666" t="s">
        <v>200</v>
      </c>
      <c r="H666" s="17">
        <v>4308884000520</v>
      </c>
      <c r="I666" s="17">
        <v>90739624001432</v>
      </c>
      <c r="J666" t="s">
        <v>17</v>
      </c>
      <c r="K666" s="9" t="s">
        <v>2665</v>
      </c>
      <c r="L666" t="s">
        <v>44</v>
      </c>
      <c r="M666">
        <v>35405</v>
      </c>
      <c r="N666" s="2" t="s">
        <v>695</v>
      </c>
      <c r="O666" s="9" t="s">
        <v>2665</v>
      </c>
      <c r="P666" t="s">
        <v>2666</v>
      </c>
      <c r="T666" s="2"/>
      <c r="U666" s="2" t="s">
        <v>718</v>
      </c>
    </row>
    <row r="667" spans="1:21" x14ac:dyDescent="0.3">
      <c r="A667">
        <v>269308</v>
      </c>
      <c r="B667" t="s">
        <v>46</v>
      </c>
      <c r="C667" t="s">
        <v>284</v>
      </c>
      <c r="D667" t="s">
        <v>0</v>
      </c>
      <c r="E667" s="1" t="s">
        <v>2667</v>
      </c>
      <c r="F667">
        <v>24853131</v>
      </c>
      <c r="G667" t="s">
        <v>200</v>
      </c>
      <c r="H667" s="17">
        <v>4308884000520</v>
      </c>
      <c r="I667" s="17">
        <v>90739624001432</v>
      </c>
      <c r="J667" t="s">
        <v>2</v>
      </c>
      <c r="K667" s="9" t="s">
        <v>2668</v>
      </c>
      <c r="L667" t="s">
        <v>44</v>
      </c>
      <c r="M667">
        <v>35403</v>
      </c>
      <c r="N667" s="2" t="s">
        <v>695</v>
      </c>
      <c r="O667" s="9" t="s">
        <v>2668</v>
      </c>
      <c r="P667" t="s">
        <v>2669</v>
      </c>
      <c r="T667" s="2"/>
      <c r="U667" s="2" t="s">
        <v>718</v>
      </c>
    </row>
    <row r="668" spans="1:21" x14ac:dyDescent="0.3">
      <c r="A668">
        <v>269308</v>
      </c>
      <c r="B668" t="s">
        <v>46</v>
      </c>
      <c r="C668" t="s">
        <v>146</v>
      </c>
      <c r="D668" t="s">
        <v>33</v>
      </c>
      <c r="E668" s="1" t="s">
        <v>2670</v>
      </c>
      <c r="F668">
        <v>24853129</v>
      </c>
      <c r="G668" t="s">
        <v>35</v>
      </c>
      <c r="H668" s="17">
        <v>27933025000102</v>
      </c>
      <c r="I668" s="17">
        <v>9576274000106</v>
      </c>
      <c r="J668" t="s">
        <v>2</v>
      </c>
      <c r="K668" s="9" t="s">
        <v>2671</v>
      </c>
      <c r="L668" t="s">
        <v>44</v>
      </c>
      <c r="M668">
        <v>1133</v>
      </c>
      <c r="N668" s="2" t="s">
        <v>796</v>
      </c>
      <c r="O668" s="9" t="s">
        <v>2671</v>
      </c>
      <c r="P668" t="s">
        <v>2672</v>
      </c>
      <c r="T668" s="2"/>
      <c r="U668" s="2" t="s">
        <v>718</v>
      </c>
    </row>
    <row r="669" spans="1:21" x14ac:dyDescent="0.3">
      <c r="A669">
        <v>269308</v>
      </c>
      <c r="B669" t="s">
        <v>46</v>
      </c>
      <c r="C669" t="s">
        <v>9</v>
      </c>
      <c r="D669" t="s">
        <v>8</v>
      </c>
      <c r="E669" s="1" t="s">
        <v>2673</v>
      </c>
      <c r="F669">
        <v>24853102</v>
      </c>
      <c r="G669" t="s">
        <v>10</v>
      </c>
      <c r="H669" s="17">
        <v>33286065000102</v>
      </c>
      <c r="I669" s="17">
        <v>9576274000106</v>
      </c>
      <c r="J669" t="s">
        <v>2</v>
      </c>
      <c r="K669" s="9" t="s">
        <v>2674</v>
      </c>
      <c r="L669" t="s">
        <v>44</v>
      </c>
      <c r="M669">
        <v>4280</v>
      </c>
      <c r="N669" s="2" t="s">
        <v>695</v>
      </c>
      <c r="O669" s="9" t="s">
        <v>2674</v>
      </c>
      <c r="P669" t="s">
        <v>2675</v>
      </c>
      <c r="T669" s="2"/>
      <c r="U669" s="2" t="s">
        <v>718</v>
      </c>
    </row>
    <row r="670" spans="1:21" x14ac:dyDescent="0.3">
      <c r="A670">
        <v>269308</v>
      </c>
      <c r="B670" t="s">
        <v>46</v>
      </c>
      <c r="C670" t="s">
        <v>9</v>
      </c>
      <c r="D670" t="s">
        <v>8</v>
      </c>
      <c r="E670" s="1" t="s">
        <v>2676</v>
      </c>
      <c r="F670">
        <v>24853089</v>
      </c>
      <c r="G670" t="s">
        <v>10</v>
      </c>
      <c r="H670" s="17">
        <v>33286065000102</v>
      </c>
      <c r="I670" s="17">
        <v>9576274000106</v>
      </c>
      <c r="J670" t="s">
        <v>17</v>
      </c>
      <c r="K670" s="9" t="s">
        <v>2677</v>
      </c>
      <c r="L670" t="s">
        <v>44</v>
      </c>
      <c r="M670">
        <v>4279</v>
      </c>
      <c r="N670" s="2" t="s">
        <v>695</v>
      </c>
      <c r="O670" s="9" t="s">
        <v>2677</v>
      </c>
      <c r="P670" t="s">
        <v>2678</v>
      </c>
      <c r="T670" s="2"/>
      <c r="U670" s="2" t="s">
        <v>718</v>
      </c>
    </row>
    <row r="671" spans="1:21" x14ac:dyDescent="0.3">
      <c r="A671">
        <v>269308</v>
      </c>
      <c r="B671" t="s">
        <v>46</v>
      </c>
      <c r="C671" t="s">
        <v>151</v>
      </c>
      <c r="D671" t="s">
        <v>100</v>
      </c>
      <c r="E671" s="1" t="s">
        <v>2679</v>
      </c>
      <c r="F671">
        <v>24852840</v>
      </c>
      <c r="G671" t="s">
        <v>152</v>
      </c>
      <c r="H671" s="17">
        <v>23891404000118</v>
      </c>
      <c r="I671" s="17">
        <v>90739624001866</v>
      </c>
      <c r="J671" t="s">
        <v>2</v>
      </c>
      <c r="K671" s="9" t="s">
        <v>2680</v>
      </c>
      <c r="L671" t="s">
        <v>44</v>
      </c>
      <c r="M671">
        <v>131504</v>
      </c>
      <c r="N671" s="2" t="s">
        <v>695</v>
      </c>
      <c r="O671" s="9" t="s">
        <v>2680</v>
      </c>
      <c r="P671" t="s">
        <v>2681</v>
      </c>
      <c r="T671" s="2"/>
      <c r="U671" s="2" t="s">
        <v>718</v>
      </c>
    </row>
    <row r="672" spans="1:21" x14ac:dyDescent="0.3">
      <c r="A672">
        <v>269308</v>
      </c>
      <c r="B672" t="s">
        <v>46</v>
      </c>
      <c r="C672" t="s">
        <v>147</v>
      </c>
      <c r="D672" t="s">
        <v>40</v>
      </c>
      <c r="E672" s="1" t="s">
        <v>2682</v>
      </c>
      <c r="F672">
        <v>24852510</v>
      </c>
      <c r="G672" t="s">
        <v>42</v>
      </c>
      <c r="H672" s="17">
        <v>82156977000248</v>
      </c>
      <c r="I672" s="17">
        <v>90739624001432</v>
      </c>
      <c r="J672" t="s">
        <v>2</v>
      </c>
      <c r="K672" s="9" t="s">
        <v>2683</v>
      </c>
      <c r="L672" t="s">
        <v>44</v>
      </c>
      <c r="M672">
        <v>168326</v>
      </c>
      <c r="N672" s="2" t="s">
        <v>695</v>
      </c>
      <c r="O672" s="9" t="s">
        <v>2683</v>
      </c>
      <c r="P672" t="s">
        <v>2684</v>
      </c>
      <c r="T672" s="2"/>
      <c r="U672" s="2" t="s">
        <v>718</v>
      </c>
    </row>
    <row r="673" spans="1:21" x14ac:dyDescent="0.3">
      <c r="A673">
        <v>269308</v>
      </c>
      <c r="B673" t="s">
        <v>46</v>
      </c>
      <c r="C673" t="s">
        <v>586</v>
      </c>
      <c r="D673" t="s">
        <v>25</v>
      </c>
      <c r="E673" s="1" t="s">
        <v>2685</v>
      </c>
      <c r="F673">
        <v>24852509</v>
      </c>
      <c r="G673" t="s">
        <v>149</v>
      </c>
      <c r="H673" s="17">
        <v>8512459000186</v>
      </c>
      <c r="I673" s="17">
        <v>90739624001866</v>
      </c>
      <c r="J673" t="s">
        <v>2</v>
      </c>
      <c r="K673" s="9" t="s">
        <v>2686</v>
      </c>
      <c r="L673" t="s">
        <v>44</v>
      </c>
      <c r="M673">
        <v>30444</v>
      </c>
      <c r="N673" s="2" t="s">
        <v>695</v>
      </c>
      <c r="O673" s="9" t="s">
        <v>2686</v>
      </c>
      <c r="P673" t="s">
        <v>2687</v>
      </c>
      <c r="T673" s="2"/>
      <c r="U673" s="2" t="s">
        <v>718</v>
      </c>
    </row>
    <row r="674" spans="1:21" x14ac:dyDescent="0.3">
      <c r="A674">
        <v>269308</v>
      </c>
      <c r="B674" t="s">
        <v>46</v>
      </c>
      <c r="C674" t="s">
        <v>536</v>
      </c>
      <c r="D674" t="s">
        <v>52</v>
      </c>
      <c r="E674" s="1" t="s">
        <v>2688</v>
      </c>
      <c r="F674">
        <v>24852412</v>
      </c>
      <c r="G674" t="s">
        <v>545</v>
      </c>
      <c r="H674" s="17">
        <v>30429333000282</v>
      </c>
      <c r="I674" s="17">
        <v>9576274000106</v>
      </c>
      <c r="J674" t="s">
        <v>2</v>
      </c>
      <c r="K674" s="9" t="s">
        <v>2689</v>
      </c>
      <c r="L674" t="s">
        <v>44</v>
      </c>
      <c r="M674">
        <v>40773</v>
      </c>
      <c r="N674" s="2" t="s">
        <v>695</v>
      </c>
      <c r="O674" s="9" t="s">
        <v>2689</v>
      </c>
      <c r="P674" t="s">
        <v>2690</v>
      </c>
      <c r="T674" s="2"/>
      <c r="U674" s="2" t="s">
        <v>718</v>
      </c>
    </row>
    <row r="675" spans="1:21" x14ac:dyDescent="0.3">
      <c r="A675">
        <v>269308</v>
      </c>
      <c r="B675" t="s">
        <v>88</v>
      </c>
      <c r="C675" t="s">
        <v>372</v>
      </c>
      <c r="D675" t="s">
        <v>58</v>
      </c>
      <c r="E675" s="1" t="s">
        <v>2691</v>
      </c>
      <c r="F675">
        <v>24852406</v>
      </c>
      <c r="G675" t="s">
        <v>664</v>
      </c>
      <c r="H675" s="17">
        <v>7473735023122</v>
      </c>
      <c r="I675" s="17"/>
      <c r="J675" t="s">
        <v>2</v>
      </c>
      <c r="K675" s="9" t="s">
        <v>2692</v>
      </c>
      <c r="L675" t="s">
        <v>87</v>
      </c>
      <c r="N675" s="2"/>
      <c r="O675" s="9"/>
      <c r="T675" s="2"/>
      <c r="U675" s="2" t="s">
        <v>718</v>
      </c>
    </row>
    <row r="676" spans="1:21" x14ac:dyDescent="0.3">
      <c r="A676">
        <v>269308</v>
      </c>
      <c r="B676" t="s">
        <v>46</v>
      </c>
      <c r="C676" t="s">
        <v>666</v>
      </c>
      <c r="D676" t="s">
        <v>58</v>
      </c>
      <c r="E676" s="1" t="s">
        <v>2693</v>
      </c>
      <c r="F676">
        <v>24852138</v>
      </c>
      <c r="G676" t="s">
        <v>69</v>
      </c>
      <c r="H676" s="17">
        <v>7473735015375</v>
      </c>
      <c r="I676" s="17">
        <v>90739624002323</v>
      </c>
      <c r="J676" t="s">
        <v>2</v>
      </c>
      <c r="K676" s="9" t="s">
        <v>2694</v>
      </c>
      <c r="L676" t="s">
        <v>44</v>
      </c>
      <c r="M676">
        <v>26818</v>
      </c>
      <c r="N676" s="2" t="s">
        <v>695</v>
      </c>
      <c r="O676" s="9" t="s">
        <v>2694</v>
      </c>
      <c r="P676" t="s">
        <v>2695</v>
      </c>
      <c r="T676" s="2"/>
      <c r="U676" s="2" t="s">
        <v>718</v>
      </c>
    </row>
    <row r="677" spans="1:21" x14ac:dyDescent="0.3">
      <c r="A677">
        <v>269308</v>
      </c>
      <c r="B677" t="s">
        <v>46</v>
      </c>
      <c r="C677" t="s">
        <v>297</v>
      </c>
      <c r="D677" t="s">
        <v>8</v>
      </c>
      <c r="E677" s="1" t="s">
        <v>2696</v>
      </c>
      <c r="F677">
        <v>24852136</v>
      </c>
      <c r="G677" t="s">
        <v>10</v>
      </c>
      <c r="H677" s="17">
        <v>33286065000102</v>
      </c>
      <c r="I677" s="17">
        <v>9576274000106</v>
      </c>
      <c r="J677" t="s">
        <v>17</v>
      </c>
      <c r="K677" s="9" t="s">
        <v>2697</v>
      </c>
      <c r="L677" t="s">
        <v>44</v>
      </c>
      <c r="M677">
        <v>4274</v>
      </c>
      <c r="N677" s="2" t="s">
        <v>695</v>
      </c>
      <c r="O677" s="9" t="s">
        <v>2697</v>
      </c>
      <c r="P677" t="s">
        <v>2698</v>
      </c>
      <c r="T677" s="2"/>
      <c r="U677" s="2" t="s">
        <v>718</v>
      </c>
    </row>
    <row r="678" spans="1:21" x14ac:dyDescent="0.3">
      <c r="A678">
        <v>269308</v>
      </c>
      <c r="B678" t="s">
        <v>46</v>
      </c>
      <c r="C678" t="s">
        <v>297</v>
      </c>
      <c r="D678" t="s">
        <v>8</v>
      </c>
      <c r="E678" s="1" t="s">
        <v>2699</v>
      </c>
      <c r="F678">
        <v>24852117</v>
      </c>
      <c r="G678" t="s">
        <v>10</v>
      </c>
      <c r="H678" s="17">
        <v>33286065000102</v>
      </c>
      <c r="I678" s="17">
        <v>9576274000106</v>
      </c>
      <c r="J678" t="s">
        <v>2</v>
      </c>
      <c r="K678" s="9" t="s">
        <v>2700</v>
      </c>
      <c r="L678" t="s">
        <v>44</v>
      </c>
      <c r="M678">
        <v>4273</v>
      </c>
      <c r="N678" s="2" t="s">
        <v>695</v>
      </c>
      <c r="O678" s="9" t="s">
        <v>2700</v>
      </c>
      <c r="P678" t="s">
        <v>2701</v>
      </c>
      <c r="T678" s="2"/>
      <c r="U678" s="2" t="s">
        <v>718</v>
      </c>
    </row>
    <row r="679" spans="1:21" x14ac:dyDescent="0.3">
      <c r="A679">
        <v>269308</v>
      </c>
      <c r="B679" t="s">
        <v>46</v>
      </c>
      <c r="C679" t="s">
        <v>542</v>
      </c>
      <c r="D679" t="s">
        <v>58</v>
      </c>
      <c r="E679" s="1" t="s">
        <v>2702</v>
      </c>
      <c r="F679">
        <v>24852069</v>
      </c>
      <c r="G679" t="s">
        <v>606</v>
      </c>
      <c r="H679" s="17">
        <v>7473735014999</v>
      </c>
      <c r="I679" s="17">
        <v>90739624002323</v>
      </c>
      <c r="J679" t="s">
        <v>2</v>
      </c>
      <c r="K679" s="9" t="s">
        <v>2703</v>
      </c>
      <c r="L679" t="s">
        <v>44</v>
      </c>
      <c r="M679">
        <v>42844</v>
      </c>
      <c r="N679" s="2" t="s">
        <v>695</v>
      </c>
      <c r="O679" s="9" t="s">
        <v>2703</v>
      </c>
      <c r="P679" t="s">
        <v>2704</v>
      </c>
      <c r="T679" s="2"/>
      <c r="U679" s="2" t="s">
        <v>718</v>
      </c>
    </row>
    <row r="680" spans="1:21" x14ac:dyDescent="0.3">
      <c r="A680">
        <v>269308</v>
      </c>
      <c r="B680" t="s">
        <v>46</v>
      </c>
      <c r="C680" t="s">
        <v>503</v>
      </c>
      <c r="D680" t="s">
        <v>8</v>
      </c>
      <c r="E680" s="1" t="s">
        <v>2705</v>
      </c>
      <c r="F680">
        <v>24851947</v>
      </c>
      <c r="G680" t="s">
        <v>10</v>
      </c>
      <c r="H680" s="17">
        <v>33286065000102</v>
      </c>
      <c r="I680" s="17">
        <v>9576274000106</v>
      </c>
      <c r="J680" t="s">
        <v>2</v>
      </c>
      <c r="K680" s="9" t="s">
        <v>2706</v>
      </c>
      <c r="L680" t="s">
        <v>44</v>
      </c>
      <c r="M680">
        <v>4272</v>
      </c>
      <c r="N680" s="2" t="s">
        <v>695</v>
      </c>
      <c r="O680" s="9" t="s">
        <v>2706</v>
      </c>
      <c r="P680" t="s">
        <v>2707</v>
      </c>
      <c r="T680" s="2"/>
      <c r="U680" s="2" t="s">
        <v>718</v>
      </c>
    </row>
    <row r="681" spans="1:21" x14ac:dyDescent="0.3">
      <c r="A681">
        <v>269308</v>
      </c>
      <c r="B681" t="s">
        <v>46</v>
      </c>
      <c r="C681" t="s">
        <v>627</v>
      </c>
      <c r="D681" t="s">
        <v>8</v>
      </c>
      <c r="E681" s="1" t="s">
        <v>2708</v>
      </c>
      <c r="F681">
        <v>24851940</v>
      </c>
      <c r="G681" t="s">
        <v>144</v>
      </c>
      <c r="H681" s="17">
        <v>37607755000169</v>
      </c>
      <c r="I681" s="17">
        <v>9576274000106</v>
      </c>
      <c r="J681" t="s">
        <v>17</v>
      </c>
      <c r="K681" s="9" t="s">
        <v>2709</v>
      </c>
      <c r="L681" t="s">
        <v>44</v>
      </c>
      <c r="M681">
        <v>10555</v>
      </c>
      <c r="N681" s="2" t="s">
        <v>695</v>
      </c>
      <c r="O681" s="9" t="s">
        <v>2709</v>
      </c>
      <c r="P681" t="s">
        <v>2710</v>
      </c>
      <c r="T681" s="2"/>
      <c r="U681" s="2" t="s">
        <v>718</v>
      </c>
    </row>
    <row r="682" spans="1:21" x14ac:dyDescent="0.3">
      <c r="A682">
        <v>269308</v>
      </c>
      <c r="B682" t="s">
        <v>46</v>
      </c>
      <c r="C682" t="s">
        <v>627</v>
      </c>
      <c r="D682" t="s">
        <v>8</v>
      </c>
      <c r="E682" s="1" t="s">
        <v>2711</v>
      </c>
      <c r="F682">
        <v>24851908</v>
      </c>
      <c r="G682" t="s">
        <v>144</v>
      </c>
      <c r="H682" s="17">
        <v>37607755000169</v>
      </c>
      <c r="I682" s="17">
        <v>9576274000106</v>
      </c>
      <c r="J682" t="s">
        <v>2</v>
      </c>
      <c r="K682" s="9" t="s">
        <v>2712</v>
      </c>
      <c r="L682" t="s">
        <v>44</v>
      </c>
      <c r="M682">
        <v>10554</v>
      </c>
      <c r="N682" s="2" t="s">
        <v>695</v>
      </c>
      <c r="O682" s="9" t="s">
        <v>2712</v>
      </c>
      <c r="P682" t="s">
        <v>2713</v>
      </c>
      <c r="T682" s="2"/>
      <c r="U682" s="2" t="s">
        <v>718</v>
      </c>
    </row>
    <row r="683" spans="1:21" x14ac:dyDescent="0.3">
      <c r="A683">
        <v>269308</v>
      </c>
      <c r="B683" t="s">
        <v>46</v>
      </c>
      <c r="C683" t="s">
        <v>478</v>
      </c>
      <c r="D683" t="s">
        <v>49</v>
      </c>
      <c r="E683" s="1" t="s">
        <v>2714</v>
      </c>
      <c r="F683">
        <v>24851740</v>
      </c>
      <c r="G683" t="s">
        <v>51</v>
      </c>
      <c r="H683" s="17">
        <v>2763612000161</v>
      </c>
      <c r="I683" s="17">
        <v>90739624003133</v>
      </c>
      <c r="J683" t="s">
        <v>2</v>
      </c>
      <c r="K683" s="9" t="s">
        <v>2715</v>
      </c>
      <c r="L683" t="s">
        <v>44</v>
      </c>
      <c r="M683">
        <v>162891</v>
      </c>
      <c r="N683" s="2" t="s">
        <v>695</v>
      </c>
      <c r="O683" s="9" t="s">
        <v>2715</v>
      </c>
      <c r="P683" t="s">
        <v>2716</v>
      </c>
      <c r="T683" s="2"/>
      <c r="U683" s="2" t="s">
        <v>718</v>
      </c>
    </row>
    <row r="684" spans="1:21" x14ac:dyDescent="0.3">
      <c r="A684">
        <v>269308</v>
      </c>
      <c r="B684" t="s">
        <v>46</v>
      </c>
      <c r="C684" t="s">
        <v>240</v>
      </c>
      <c r="D684" t="s">
        <v>52</v>
      </c>
      <c r="E684" s="1" t="s">
        <v>2717</v>
      </c>
      <c r="F684">
        <v>24851551</v>
      </c>
      <c r="G684" t="s">
        <v>545</v>
      </c>
      <c r="H684" s="17">
        <v>30429333000282</v>
      </c>
      <c r="I684" s="17">
        <v>9576274000106</v>
      </c>
      <c r="J684" t="s">
        <v>2</v>
      </c>
      <c r="K684" s="9" t="s">
        <v>2718</v>
      </c>
      <c r="L684" t="s">
        <v>44</v>
      </c>
      <c r="M684">
        <v>40752</v>
      </c>
      <c r="N684" s="2" t="s">
        <v>695</v>
      </c>
      <c r="O684" s="9" t="s">
        <v>2718</v>
      </c>
      <c r="P684" t="s">
        <v>2719</v>
      </c>
      <c r="T684" s="2"/>
      <c r="U684" s="2" t="s">
        <v>718</v>
      </c>
    </row>
    <row r="685" spans="1:21" x14ac:dyDescent="0.3">
      <c r="A685">
        <v>269308</v>
      </c>
      <c r="B685" t="s">
        <v>46</v>
      </c>
      <c r="C685" t="s">
        <v>512</v>
      </c>
      <c r="D685" t="s">
        <v>8</v>
      </c>
      <c r="E685" s="1" t="s">
        <v>2720</v>
      </c>
      <c r="F685">
        <v>24850920</v>
      </c>
      <c r="G685" t="s">
        <v>144</v>
      </c>
      <c r="H685" s="17">
        <v>37607755000169</v>
      </c>
      <c r="I685" s="17">
        <v>9576274000106</v>
      </c>
      <c r="J685" t="s">
        <v>2</v>
      </c>
      <c r="K685" s="9" t="s">
        <v>2721</v>
      </c>
      <c r="L685" t="s">
        <v>44</v>
      </c>
      <c r="M685">
        <v>10549</v>
      </c>
      <c r="N685" s="2" t="s">
        <v>695</v>
      </c>
      <c r="O685" s="9" t="s">
        <v>2721</v>
      </c>
      <c r="P685" t="s">
        <v>2722</v>
      </c>
      <c r="T685" s="2"/>
      <c r="U685" s="2" t="s">
        <v>718</v>
      </c>
    </row>
    <row r="686" spans="1:21" x14ac:dyDescent="0.3">
      <c r="A686">
        <v>269308</v>
      </c>
      <c r="B686" t="s">
        <v>46</v>
      </c>
      <c r="C686" t="s">
        <v>91</v>
      </c>
      <c r="D686" t="s">
        <v>28</v>
      </c>
      <c r="E686" s="1" t="s">
        <v>2723</v>
      </c>
      <c r="F686">
        <v>24850861</v>
      </c>
      <c r="G686" t="s">
        <v>29</v>
      </c>
      <c r="H686" s="17">
        <v>47377960000139</v>
      </c>
      <c r="I686" s="17">
        <v>90739624001947</v>
      </c>
      <c r="J686" t="s">
        <v>2</v>
      </c>
      <c r="K686" s="9" t="s">
        <v>2724</v>
      </c>
      <c r="L686" t="s">
        <v>44</v>
      </c>
      <c r="M686">
        <v>113023</v>
      </c>
      <c r="N686" s="2" t="s">
        <v>695</v>
      </c>
      <c r="O686" s="9" t="s">
        <v>2724</v>
      </c>
      <c r="P686" t="s">
        <v>2725</v>
      </c>
      <c r="T686" s="2"/>
      <c r="U686" s="2" t="s">
        <v>718</v>
      </c>
    </row>
    <row r="687" spans="1:21" x14ac:dyDescent="0.3">
      <c r="A687">
        <v>269308</v>
      </c>
      <c r="B687" t="s">
        <v>46</v>
      </c>
      <c r="C687" t="s">
        <v>286</v>
      </c>
      <c r="D687" t="s">
        <v>174</v>
      </c>
      <c r="E687" s="1" t="s">
        <v>2726</v>
      </c>
      <c r="F687">
        <v>24850526</v>
      </c>
      <c r="G687" t="s">
        <v>268</v>
      </c>
      <c r="H687" s="17">
        <v>4985282000184</v>
      </c>
      <c r="I687" s="17">
        <v>90739624000118</v>
      </c>
      <c r="J687" t="s">
        <v>2</v>
      </c>
      <c r="K687" s="9" t="s">
        <v>2727</v>
      </c>
      <c r="L687" t="s">
        <v>44</v>
      </c>
      <c r="M687">
        <v>5571</v>
      </c>
      <c r="N687" s="2" t="s">
        <v>695</v>
      </c>
      <c r="O687" s="9" t="s">
        <v>2727</v>
      </c>
      <c r="P687" t="s">
        <v>2728</v>
      </c>
      <c r="T687" s="2"/>
      <c r="U687" s="2" t="s">
        <v>718</v>
      </c>
    </row>
    <row r="688" spans="1:21" x14ac:dyDescent="0.3">
      <c r="A688">
        <v>269308</v>
      </c>
      <c r="B688" t="s">
        <v>88</v>
      </c>
      <c r="C688" t="s">
        <v>159</v>
      </c>
      <c r="D688" t="s">
        <v>73</v>
      </c>
      <c r="E688" s="1" t="s">
        <v>2729</v>
      </c>
      <c r="F688">
        <v>24850181</v>
      </c>
      <c r="G688" t="s">
        <v>694</v>
      </c>
      <c r="H688" s="17">
        <v>7473735020026</v>
      </c>
      <c r="I688" s="17"/>
      <c r="J688" t="s">
        <v>2</v>
      </c>
      <c r="K688" s="9" t="s">
        <v>2730</v>
      </c>
      <c r="L688" t="s">
        <v>87</v>
      </c>
      <c r="N688" s="2"/>
      <c r="O688" s="9"/>
      <c r="T688" s="2"/>
      <c r="U688" s="2" t="s">
        <v>718</v>
      </c>
    </row>
    <row r="689" spans="1:21" x14ac:dyDescent="0.3">
      <c r="A689">
        <v>269308</v>
      </c>
      <c r="B689" t="s">
        <v>46</v>
      </c>
      <c r="C689" t="s">
        <v>569</v>
      </c>
      <c r="D689" t="s">
        <v>61</v>
      </c>
      <c r="E689" s="1" t="s">
        <v>2731</v>
      </c>
      <c r="F689">
        <v>24849624</v>
      </c>
      <c r="G689" t="s">
        <v>85</v>
      </c>
      <c r="H689" s="17">
        <v>1975878000105</v>
      </c>
      <c r="I689" s="17">
        <v>9576274000106</v>
      </c>
      <c r="J689" t="s">
        <v>2</v>
      </c>
      <c r="K689" s="9" t="s">
        <v>2732</v>
      </c>
      <c r="L689" t="s">
        <v>44</v>
      </c>
      <c r="M689">
        <v>2506</v>
      </c>
      <c r="N689" s="2" t="s">
        <v>695</v>
      </c>
      <c r="O689" s="9" t="s">
        <v>2732</v>
      </c>
      <c r="P689" t="s">
        <v>2733</v>
      </c>
      <c r="T689" s="2"/>
      <c r="U689" s="2" t="s">
        <v>718</v>
      </c>
    </row>
    <row r="690" spans="1:21" x14ac:dyDescent="0.3">
      <c r="A690">
        <v>269308</v>
      </c>
      <c r="B690" t="s">
        <v>46</v>
      </c>
      <c r="C690" t="s">
        <v>108</v>
      </c>
      <c r="D690" t="s">
        <v>25</v>
      </c>
      <c r="E690" s="1" t="s">
        <v>2734</v>
      </c>
      <c r="F690">
        <v>24849028</v>
      </c>
      <c r="G690" t="s">
        <v>109</v>
      </c>
      <c r="H690" s="17">
        <v>5218335000102</v>
      </c>
      <c r="I690" s="17">
        <v>90739624001866</v>
      </c>
      <c r="J690" t="s">
        <v>2</v>
      </c>
      <c r="K690" s="9" t="s">
        <v>2735</v>
      </c>
      <c r="L690" t="s">
        <v>44</v>
      </c>
      <c r="M690">
        <v>297872</v>
      </c>
      <c r="N690" s="2" t="s">
        <v>695</v>
      </c>
      <c r="O690" s="9" t="s">
        <v>2735</v>
      </c>
      <c r="P690" t="s">
        <v>2736</v>
      </c>
      <c r="T690" s="2"/>
      <c r="U690" s="2" t="s">
        <v>718</v>
      </c>
    </row>
    <row r="691" spans="1:21" x14ac:dyDescent="0.3">
      <c r="A691">
        <v>269308</v>
      </c>
      <c r="B691" t="s">
        <v>46</v>
      </c>
      <c r="C691" t="s">
        <v>560</v>
      </c>
      <c r="D691" t="s">
        <v>28</v>
      </c>
      <c r="E691" s="1" t="s">
        <v>2737</v>
      </c>
      <c r="F691">
        <v>24847496</v>
      </c>
      <c r="G691" t="s">
        <v>48</v>
      </c>
      <c r="H691" s="17">
        <v>1272434001002</v>
      </c>
      <c r="I691" s="17">
        <v>90739624001947</v>
      </c>
      <c r="J691" t="s">
        <v>2</v>
      </c>
      <c r="K691" s="9" t="s">
        <v>2738</v>
      </c>
      <c r="L691" t="s">
        <v>44</v>
      </c>
      <c r="M691">
        <v>81224</v>
      </c>
      <c r="N691" s="2" t="s">
        <v>695</v>
      </c>
      <c r="O691" s="9" t="s">
        <v>2738</v>
      </c>
      <c r="P691" t="s">
        <v>2739</v>
      </c>
      <c r="T691" s="2"/>
      <c r="U691" s="2" t="s">
        <v>718</v>
      </c>
    </row>
    <row r="692" spans="1:21" x14ac:dyDescent="0.3">
      <c r="A692">
        <v>269308</v>
      </c>
      <c r="B692" t="s">
        <v>46</v>
      </c>
      <c r="C692" t="s">
        <v>269</v>
      </c>
      <c r="D692" t="s">
        <v>61</v>
      </c>
      <c r="E692" s="1" t="s">
        <v>2740</v>
      </c>
      <c r="F692">
        <v>24847484</v>
      </c>
      <c r="G692" t="s">
        <v>62</v>
      </c>
      <c r="H692" s="17">
        <v>79964177000591</v>
      </c>
      <c r="I692" s="17">
        <v>9576274000106</v>
      </c>
      <c r="J692" t="s">
        <v>2</v>
      </c>
      <c r="K692" s="9" t="s">
        <v>2741</v>
      </c>
      <c r="L692" t="s">
        <v>44</v>
      </c>
      <c r="M692">
        <v>820140</v>
      </c>
      <c r="N692" s="2" t="s">
        <v>695</v>
      </c>
      <c r="O692" s="9" t="s">
        <v>2741</v>
      </c>
      <c r="P692" t="s">
        <v>2742</v>
      </c>
      <c r="T692" s="2"/>
      <c r="U692" s="2" t="s">
        <v>718</v>
      </c>
    </row>
    <row r="693" spans="1:21" x14ac:dyDescent="0.3">
      <c r="A693">
        <v>269308</v>
      </c>
      <c r="B693" t="s">
        <v>46</v>
      </c>
      <c r="C693" t="s">
        <v>195</v>
      </c>
      <c r="D693" t="s">
        <v>63</v>
      </c>
      <c r="E693" s="1" t="s">
        <v>2743</v>
      </c>
      <c r="F693">
        <v>24847042</v>
      </c>
      <c r="G693" t="s">
        <v>64</v>
      </c>
      <c r="H693" s="17">
        <v>23448964001921</v>
      </c>
      <c r="I693" s="17">
        <v>90739624001432</v>
      </c>
      <c r="J693" t="s">
        <v>2</v>
      </c>
      <c r="K693" s="9" t="s">
        <v>2744</v>
      </c>
      <c r="L693" t="s">
        <v>44</v>
      </c>
      <c r="M693">
        <v>178972</v>
      </c>
      <c r="N693" s="2" t="s">
        <v>695</v>
      </c>
      <c r="O693" s="9" t="s">
        <v>2744</v>
      </c>
      <c r="P693" t="s">
        <v>2745</v>
      </c>
      <c r="T693" s="2"/>
      <c r="U693" s="2" t="s">
        <v>718</v>
      </c>
    </row>
    <row r="694" spans="1:21" x14ac:dyDescent="0.3">
      <c r="A694">
        <v>269308</v>
      </c>
      <c r="B694" t="s">
        <v>46</v>
      </c>
      <c r="C694" t="s">
        <v>244</v>
      </c>
      <c r="D694" t="s">
        <v>120</v>
      </c>
      <c r="E694" s="1" t="s">
        <v>2746</v>
      </c>
      <c r="F694">
        <v>24846840</v>
      </c>
      <c r="G694" t="s">
        <v>150</v>
      </c>
      <c r="H694" s="17">
        <v>27643038000139</v>
      </c>
      <c r="I694" s="17">
        <v>90739624001432</v>
      </c>
      <c r="J694" t="s">
        <v>2</v>
      </c>
      <c r="K694" s="9" t="s">
        <v>2747</v>
      </c>
      <c r="L694" t="s">
        <v>44</v>
      </c>
      <c r="M694">
        <v>60970</v>
      </c>
      <c r="N694" s="2" t="s">
        <v>695</v>
      </c>
      <c r="O694" s="9" t="s">
        <v>2747</v>
      </c>
      <c r="P694" t="s">
        <v>2748</v>
      </c>
      <c r="T694" s="2"/>
      <c r="U694" s="2" t="s">
        <v>718</v>
      </c>
    </row>
    <row r="695" spans="1:21" x14ac:dyDescent="0.3">
      <c r="A695">
        <v>269308</v>
      </c>
      <c r="B695" t="s">
        <v>46</v>
      </c>
      <c r="C695" t="s">
        <v>506</v>
      </c>
      <c r="D695" t="s">
        <v>73</v>
      </c>
      <c r="E695" s="1" t="s">
        <v>2749</v>
      </c>
      <c r="F695">
        <v>24846641</v>
      </c>
      <c r="G695" t="s">
        <v>604</v>
      </c>
      <c r="H695" s="17">
        <v>7473735013593</v>
      </c>
      <c r="I695" s="17">
        <v>90739624002323</v>
      </c>
      <c r="J695" t="s">
        <v>2</v>
      </c>
      <c r="K695" s="9" t="s">
        <v>2750</v>
      </c>
      <c r="L695" t="s">
        <v>44</v>
      </c>
      <c r="M695">
        <v>45577</v>
      </c>
      <c r="N695" s="2" t="s">
        <v>695</v>
      </c>
      <c r="O695" s="9" t="s">
        <v>2750</v>
      </c>
      <c r="P695" t="s">
        <v>2751</v>
      </c>
      <c r="T695" s="2"/>
      <c r="U695" s="2" t="s">
        <v>718</v>
      </c>
    </row>
    <row r="696" spans="1:21" x14ac:dyDescent="0.3">
      <c r="A696">
        <v>269308</v>
      </c>
      <c r="B696" t="s">
        <v>46</v>
      </c>
      <c r="C696" t="s">
        <v>376</v>
      </c>
      <c r="D696" t="s">
        <v>13</v>
      </c>
      <c r="E696" s="1" t="s">
        <v>2752</v>
      </c>
      <c r="F696">
        <v>24846345</v>
      </c>
      <c r="G696" t="s">
        <v>465</v>
      </c>
      <c r="H696" s="17">
        <v>24601882000109</v>
      </c>
      <c r="I696" s="17">
        <v>90739624001190</v>
      </c>
      <c r="J696" t="s">
        <v>2</v>
      </c>
      <c r="K696" s="9" t="s">
        <v>658</v>
      </c>
      <c r="L696" t="s">
        <v>44</v>
      </c>
      <c r="M696">
        <v>91529</v>
      </c>
      <c r="N696" s="2" t="s">
        <v>583</v>
      </c>
      <c r="O696" s="9" t="s">
        <v>658</v>
      </c>
      <c r="P696" t="s">
        <v>2753</v>
      </c>
      <c r="T696" s="2"/>
      <c r="U696" s="2" t="s">
        <v>718</v>
      </c>
    </row>
    <row r="697" spans="1:21" x14ac:dyDescent="0.3">
      <c r="A697">
        <v>269308</v>
      </c>
      <c r="B697" t="s">
        <v>46</v>
      </c>
      <c r="C697" t="s">
        <v>588</v>
      </c>
      <c r="D697" t="s">
        <v>170</v>
      </c>
      <c r="E697" s="1" t="s">
        <v>2754</v>
      </c>
      <c r="F697">
        <v>24846141</v>
      </c>
      <c r="G697" t="s">
        <v>178</v>
      </c>
      <c r="H697" s="17">
        <v>83392050000199</v>
      </c>
      <c r="I697" s="17">
        <v>90739624001432</v>
      </c>
      <c r="J697" t="s">
        <v>2</v>
      </c>
      <c r="K697" s="9" t="s">
        <v>2755</v>
      </c>
      <c r="L697" t="s">
        <v>44</v>
      </c>
      <c r="M697">
        <v>129360</v>
      </c>
      <c r="N697" s="2" t="s">
        <v>695</v>
      </c>
      <c r="O697" s="9" t="s">
        <v>2755</v>
      </c>
      <c r="P697" t="s">
        <v>2756</v>
      </c>
      <c r="T697" s="2"/>
      <c r="U697" s="2" t="s">
        <v>718</v>
      </c>
    </row>
    <row r="698" spans="1:21" x14ac:dyDescent="0.3">
      <c r="A698">
        <v>269308</v>
      </c>
      <c r="B698" t="s">
        <v>46</v>
      </c>
      <c r="C698" t="s">
        <v>359</v>
      </c>
      <c r="D698" t="s">
        <v>170</v>
      </c>
      <c r="E698" s="1" t="s">
        <v>2757</v>
      </c>
      <c r="F698">
        <v>24846083</v>
      </c>
      <c r="G698" t="s">
        <v>178</v>
      </c>
      <c r="H698" s="17">
        <v>83392050000199</v>
      </c>
      <c r="I698" s="17">
        <v>90739624001432</v>
      </c>
      <c r="J698" t="s">
        <v>2</v>
      </c>
      <c r="K698" s="9" t="s">
        <v>1678</v>
      </c>
      <c r="L698" t="s">
        <v>44</v>
      </c>
      <c r="M698">
        <v>129359</v>
      </c>
      <c r="N698" s="2" t="s">
        <v>695</v>
      </c>
      <c r="O698" s="9" t="s">
        <v>1678</v>
      </c>
      <c r="P698" t="s">
        <v>2758</v>
      </c>
      <c r="T698" s="2"/>
      <c r="U698" s="2" t="s">
        <v>718</v>
      </c>
    </row>
    <row r="699" spans="1:21" x14ac:dyDescent="0.3">
      <c r="A699">
        <v>269308</v>
      </c>
      <c r="B699" t="s">
        <v>46</v>
      </c>
      <c r="C699" t="s">
        <v>934</v>
      </c>
      <c r="D699" t="s">
        <v>52</v>
      </c>
      <c r="E699" s="1" t="s">
        <v>2759</v>
      </c>
      <c r="F699">
        <v>24846031</v>
      </c>
      <c r="G699" t="s">
        <v>545</v>
      </c>
      <c r="H699" s="17">
        <v>30429333000282</v>
      </c>
      <c r="I699" s="17">
        <v>9576274000106</v>
      </c>
      <c r="J699" t="s">
        <v>2</v>
      </c>
      <c r="K699" s="9" t="s">
        <v>2760</v>
      </c>
      <c r="L699" t="s">
        <v>44</v>
      </c>
      <c r="M699">
        <v>40751</v>
      </c>
      <c r="N699" s="2" t="s">
        <v>695</v>
      </c>
      <c r="O699" s="9" t="s">
        <v>2760</v>
      </c>
      <c r="P699" t="s">
        <v>2761</v>
      </c>
      <c r="T699" s="2"/>
      <c r="U699" s="2" t="s">
        <v>718</v>
      </c>
    </row>
    <row r="700" spans="1:21" x14ac:dyDescent="0.3">
      <c r="A700">
        <v>269308</v>
      </c>
      <c r="B700" t="s">
        <v>46</v>
      </c>
      <c r="C700" t="s">
        <v>1</v>
      </c>
      <c r="D700" t="s">
        <v>0</v>
      </c>
      <c r="E700" s="1" t="s">
        <v>2762</v>
      </c>
      <c r="F700">
        <v>24845946</v>
      </c>
      <c r="G700" t="s">
        <v>134</v>
      </c>
      <c r="H700" s="17">
        <v>81326258000770</v>
      </c>
      <c r="I700" s="17">
        <v>90739624001432</v>
      </c>
      <c r="J700" t="s">
        <v>2</v>
      </c>
      <c r="K700" s="9" t="s">
        <v>2763</v>
      </c>
      <c r="L700" t="s">
        <v>44</v>
      </c>
      <c r="M700">
        <v>101166</v>
      </c>
      <c r="N700" s="2" t="s">
        <v>695</v>
      </c>
      <c r="O700" s="9" t="s">
        <v>2763</v>
      </c>
      <c r="P700" t="s">
        <v>2764</v>
      </c>
      <c r="T700" s="2"/>
      <c r="U700" s="2" t="s">
        <v>718</v>
      </c>
    </row>
    <row r="701" spans="1:21" x14ac:dyDescent="0.3">
      <c r="A701">
        <v>269308</v>
      </c>
      <c r="B701" t="s">
        <v>46</v>
      </c>
      <c r="C701" t="s">
        <v>493</v>
      </c>
      <c r="D701" t="s">
        <v>36</v>
      </c>
      <c r="E701" s="1" t="s">
        <v>2765</v>
      </c>
      <c r="F701">
        <v>24845830</v>
      </c>
      <c r="G701" t="s">
        <v>186</v>
      </c>
      <c r="H701" s="17">
        <v>7822636000168</v>
      </c>
      <c r="I701" s="17">
        <v>90739624004458</v>
      </c>
      <c r="J701" t="s">
        <v>2</v>
      </c>
      <c r="K701" s="9" t="s">
        <v>2766</v>
      </c>
      <c r="L701" t="s">
        <v>44</v>
      </c>
      <c r="M701">
        <v>4142</v>
      </c>
      <c r="N701" s="2" t="s">
        <v>695</v>
      </c>
      <c r="O701" s="9" t="s">
        <v>2767</v>
      </c>
      <c r="P701" t="s">
        <v>2768</v>
      </c>
      <c r="T701" s="2"/>
      <c r="U701" s="2" t="s">
        <v>718</v>
      </c>
    </row>
    <row r="702" spans="1:21" x14ac:dyDescent="0.3">
      <c r="A702">
        <v>269308</v>
      </c>
      <c r="B702" t="s">
        <v>46</v>
      </c>
      <c r="C702" t="s">
        <v>381</v>
      </c>
      <c r="D702" t="s">
        <v>170</v>
      </c>
      <c r="E702" s="1" t="s">
        <v>2769</v>
      </c>
      <c r="F702">
        <v>24845817</v>
      </c>
      <c r="G702" t="s">
        <v>178</v>
      </c>
      <c r="H702" s="17">
        <v>83392050000199</v>
      </c>
      <c r="I702" s="17">
        <v>90739624001432</v>
      </c>
      <c r="J702" t="s">
        <v>2</v>
      </c>
      <c r="K702" s="9" t="s">
        <v>2770</v>
      </c>
      <c r="L702" t="s">
        <v>44</v>
      </c>
      <c r="M702">
        <v>129358</v>
      </c>
      <c r="N702" s="2" t="s">
        <v>695</v>
      </c>
      <c r="O702" s="9" t="s">
        <v>2770</v>
      </c>
      <c r="P702" t="s">
        <v>2771</v>
      </c>
      <c r="T702" s="2"/>
      <c r="U702" s="2" t="s">
        <v>718</v>
      </c>
    </row>
    <row r="703" spans="1:21" x14ac:dyDescent="0.3">
      <c r="A703">
        <v>269308</v>
      </c>
      <c r="B703" t="s">
        <v>46</v>
      </c>
      <c r="C703" t="s">
        <v>322</v>
      </c>
      <c r="D703" t="s">
        <v>28</v>
      </c>
      <c r="E703" s="1" t="s">
        <v>2772</v>
      </c>
      <c r="F703">
        <v>24845757</v>
      </c>
      <c r="G703" t="s">
        <v>487</v>
      </c>
      <c r="H703" s="17">
        <v>148072000180</v>
      </c>
      <c r="I703" s="17">
        <v>90739624001947</v>
      </c>
      <c r="J703" t="s">
        <v>2</v>
      </c>
      <c r="K703" s="9" t="s">
        <v>2773</v>
      </c>
      <c r="L703" t="s">
        <v>44</v>
      </c>
      <c r="M703">
        <v>124962</v>
      </c>
      <c r="N703" s="2" t="s">
        <v>581</v>
      </c>
      <c r="O703" s="9" t="s">
        <v>2773</v>
      </c>
      <c r="P703" t="s">
        <v>2774</v>
      </c>
      <c r="T703" s="2"/>
      <c r="U703" s="2" t="s">
        <v>718</v>
      </c>
    </row>
    <row r="704" spans="1:21" x14ac:dyDescent="0.3">
      <c r="A704">
        <v>269308</v>
      </c>
      <c r="B704" t="s">
        <v>46</v>
      </c>
      <c r="C704" t="s">
        <v>145</v>
      </c>
      <c r="D704" t="s">
        <v>8</v>
      </c>
      <c r="E704" s="1" t="s">
        <v>2775</v>
      </c>
      <c r="F704">
        <v>24845707</v>
      </c>
      <c r="G704" t="s">
        <v>144</v>
      </c>
      <c r="H704" s="17">
        <v>37607755000169</v>
      </c>
      <c r="I704" s="17">
        <v>9576274000106</v>
      </c>
      <c r="J704" t="s">
        <v>2</v>
      </c>
      <c r="K704" s="9" t="s">
        <v>2776</v>
      </c>
      <c r="L704" t="s">
        <v>44</v>
      </c>
      <c r="M704">
        <v>10548</v>
      </c>
      <c r="N704" s="2" t="s">
        <v>695</v>
      </c>
      <c r="O704" s="9" t="s">
        <v>2776</v>
      </c>
      <c r="P704" t="s">
        <v>2777</v>
      </c>
      <c r="T704" s="2"/>
      <c r="U704" s="2" t="s">
        <v>718</v>
      </c>
    </row>
    <row r="705" spans="1:21" x14ac:dyDescent="0.3">
      <c r="A705">
        <v>269308</v>
      </c>
      <c r="B705" t="s">
        <v>46</v>
      </c>
      <c r="C705" t="s">
        <v>155</v>
      </c>
      <c r="D705" t="s">
        <v>8</v>
      </c>
      <c r="E705" s="1" t="s">
        <v>2778</v>
      </c>
      <c r="F705">
        <v>24845653</v>
      </c>
      <c r="G705" t="s">
        <v>10</v>
      </c>
      <c r="H705" s="17">
        <v>33286065000102</v>
      </c>
      <c r="I705" s="17">
        <v>9576274000106</v>
      </c>
      <c r="J705" t="s">
        <v>2</v>
      </c>
      <c r="K705" s="9" t="s">
        <v>2779</v>
      </c>
      <c r="L705" t="s">
        <v>44</v>
      </c>
      <c r="M705">
        <v>10400</v>
      </c>
      <c r="N705" s="2" t="s">
        <v>695</v>
      </c>
      <c r="O705" s="9" t="s">
        <v>2779</v>
      </c>
      <c r="P705" t="s">
        <v>2780</v>
      </c>
      <c r="T705" s="2"/>
      <c r="U705" s="2" t="s">
        <v>718</v>
      </c>
    </row>
    <row r="706" spans="1:21" x14ac:dyDescent="0.3">
      <c r="A706">
        <v>269308</v>
      </c>
      <c r="B706" t="s">
        <v>46</v>
      </c>
      <c r="C706" t="s">
        <v>151</v>
      </c>
      <c r="D706" t="s">
        <v>100</v>
      </c>
      <c r="E706" s="1" t="s">
        <v>2781</v>
      </c>
      <c r="F706">
        <v>24845556</v>
      </c>
      <c r="G706" t="s">
        <v>634</v>
      </c>
      <c r="H706" s="17">
        <v>22611652000286</v>
      </c>
      <c r="I706" s="17">
        <v>90739624001866</v>
      </c>
      <c r="J706" t="s">
        <v>2</v>
      </c>
      <c r="K706" s="9" t="s">
        <v>2782</v>
      </c>
      <c r="L706" t="s">
        <v>44</v>
      </c>
      <c r="M706">
        <v>323336</v>
      </c>
      <c r="N706" s="2" t="s">
        <v>695</v>
      </c>
      <c r="O706" s="9" t="s">
        <v>2782</v>
      </c>
      <c r="P706" t="s">
        <v>2783</v>
      </c>
      <c r="T706" s="2"/>
      <c r="U706" s="2" t="s">
        <v>718</v>
      </c>
    </row>
    <row r="707" spans="1:21" x14ac:dyDescent="0.3">
      <c r="A707">
        <v>269308</v>
      </c>
      <c r="B707" t="s">
        <v>46</v>
      </c>
      <c r="C707" t="s">
        <v>598</v>
      </c>
      <c r="D707" t="s">
        <v>100</v>
      </c>
      <c r="E707" s="1" t="s">
        <v>2784</v>
      </c>
      <c r="F707">
        <v>24845545</v>
      </c>
      <c r="G707" t="s">
        <v>303</v>
      </c>
      <c r="H707" s="17">
        <v>9380191000139</v>
      </c>
      <c r="I707" s="17">
        <v>90739624001866</v>
      </c>
      <c r="J707" t="s">
        <v>2</v>
      </c>
      <c r="K707" s="9" t="s">
        <v>2785</v>
      </c>
      <c r="L707" t="s">
        <v>44</v>
      </c>
      <c r="M707">
        <v>44389</v>
      </c>
      <c r="N707" s="2" t="s">
        <v>695</v>
      </c>
      <c r="O707" s="9" t="s">
        <v>2785</v>
      </c>
      <c r="P707" t="s">
        <v>2786</v>
      </c>
      <c r="T707" s="2"/>
      <c r="U707" s="2" t="s">
        <v>718</v>
      </c>
    </row>
    <row r="708" spans="1:21" x14ac:dyDescent="0.3">
      <c r="A708">
        <v>269308</v>
      </c>
      <c r="B708" t="s">
        <v>46</v>
      </c>
      <c r="C708" t="s">
        <v>193</v>
      </c>
      <c r="D708" t="s">
        <v>63</v>
      </c>
      <c r="E708" s="1" t="s">
        <v>2787</v>
      </c>
      <c r="F708">
        <v>24845534</v>
      </c>
      <c r="G708" t="s">
        <v>64</v>
      </c>
      <c r="H708" s="17">
        <v>23448964001921</v>
      </c>
      <c r="I708" s="17">
        <v>90739624001432</v>
      </c>
      <c r="J708" t="s">
        <v>2</v>
      </c>
      <c r="K708" s="9" t="s">
        <v>2788</v>
      </c>
      <c r="L708" t="s">
        <v>44</v>
      </c>
      <c r="M708">
        <v>178956</v>
      </c>
      <c r="N708" s="2" t="s">
        <v>695</v>
      </c>
      <c r="O708" s="9" t="s">
        <v>2788</v>
      </c>
      <c r="P708" t="s">
        <v>2789</v>
      </c>
      <c r="T708" s="2"/>
      <c r="U708" s="2" t="s">
        <v>718</v>
      </c>
    </row>
    <row r="709" spans="1:21" x14ac:dyDescent="0.3">
      <c r="A709">
        <v>269308</v>
      </c>
      <c r="B709" t="s">
        <v>46</v>
      </c>
      <c r="C709" t="s">
        <v>153</v>
      </c>
      <c r="D709" t="s">
        <v>58</v>
      </c>
      <c r="E709" s="1" t="s">
        <v>2790</v>
      </c>
      <c r="F709">
        <v>24845512</v>
      </c>
      <c r="G709" t="s">
        <v>106</v>
      </c>
      <c r="H709" s="17">
        <v>7473735015103</v>
      </c>
      <c r="I709" s="17">
        <v>90739624002323</v>
      </c>
      <c r="J709" t="s">
        <v>2</v>
      </c>
      <c r="K709" s="9" t="s">
        <v>2791</v>
      </c>
      <c r="L709" t="s">
        <v>44</v>
      </c>
      <c r="M709">
        <v>110832</v>
      </c>
      <c r="N709" s="2" t="s">
        <v>695</v>
      </c>
      <c r="O709" s="9" t="s">
        <v>2791</v>
      </c>
      <c r="P709" t="s">
        <v>2792</v>
      </c>
      <c r="T709" s="2"/>
      <c r="U709" s="2" t="s">
        <v>718</v>
      </c>
    </row>
    <row r="710" spans="1:21" x14ac:dyDescent="0.3">
      <c r="A710">
        <v>269308</v>
      </c>
      <c r="B710" t="s">
        <v>46</v>
      </c>
      <c r="C710" t="s">
        <v>158</v>
      </c>
      <c r="D710" t="s">
        <v>61</v>
      </c>
      <c r="E710" s="1" t="s">
        <v>2793</v>
      </c>
      <c r="F710">
        <v>24845474</v>
      </c>
      <c r="G710" t="s">
        <v>62</v>
      </c>
      <c r="H710" s="17">
        <v>79964177000591</v>
      </c>
      <c r="I710" s="17">
        <v>9576274000106</v>
      </c>
      <c r="J710" t="s">
        <v>2</v>
      </c>
      <c r="K710" s="9" t="s">
        <v>2794</v>
      </c>
      <c r="L710" t="s">
        <v>44</v>
      </c>
      <c r="M710">
        <v>820129</v>
      </c>
      <c r="N710" s="2" t="s">
        <v>695</v>
      </c>
      <c r="O710" s="9" t="s">
        <v>2795</v>
      </c>
      <c r="P710" t="s">
        <v>2796</v>
      </c>
      <c r="T710" s="2"/>
      <c r="U710" s="2" t="s">
        <v>718</v>
      </c>
    </row>
    <row r="711" spans="1:21" x14ac:dyDescent="0.3">
      <c r="A711">
        <v>269308</v>
      </c>
      <c r="B711" t="s">
        <v>46</v>
      </c>
      <c r="C711" t="s">
        <v>533</v>
      </c>
      <c r="D711" t="s">
        <v>126</v>
      </c>
      <c r="E711" s="1" t="s">
        <v>2797</v>
      </c>
      <c r="F711">
        <v>24845302</v>
      </c>
      <c r="G711" t="s">
        <v>62</v>
      </c>
      <c r="H711" s="17">
        <v>79964177000591</v>
      </c>
      <c r="I711" s="17">
        <v>9576274000106</v>
      </c>
      <c r="J711" t="s">
        <v>2</v>
      </c>
      <c r="K711" s="9" t="s">
        <v>2798</v>
      </c>
      <c r="L711" t="s">
        <v>44</v>
      </c>
      <c r="M711">
        <v>820127</v>
      </c>
      <c r="N711" s="2" t="s">
        <v>695</v>
      </c>
      <c r="O711" s="9" t="s">
        <v>2799</v>
      </c>
      <c r="P711" t="s">
        <v>2800</v>
      </c>
      <c r="T711" s="2"/>
      <c r="U711" s="2" t="s">
        <v>718</v>
      </c>
    </row>
    <row r="712" spans="1:21" x14ac:dyDescent="0.3">
      <c r="A712">
        <v>269308</v>
      </c>
      <c r="B712" t="s">
        <v>46</v>
      </c>
      <c r="C712" t="s">
        <v>273</v>
      </c>
      <c r="D712" t="s">
        <v>31</v>
      </c>
      <c r="E712" s="1" t="s">
        <v>2801</v>
      </c>
      <c r="F712">
        <v>24845074</v>
      </c>
      <c r="G712" t="s">
        <v>2612</v>
      </c>
      <c r="H712" s="17">
        <v>32962458000118</v>
      </c>
      <c r="I712" s="17">
        <v>90739624001866</v>
      </c>
      <c r="J712" t="s">
        <v>2</v>
      </c>
      <c r="K712" s="9" t="s">
        <v>2802</v>
      </c>
      <c r="L712" t="s">
        <v>44</v>
      </c>
      <c r="M712">
        <v>190335</v>
      </c>
      <c r="N712" s="2" t="s">
        <v>695</v>
      </c>
      <c r="O712" s="9" t="s">
        <v>2802</v>
      </c>
      <c r="P712" t="s">
        <v>2803</v>
      </c>
      <c r="T712" s="2"/>
      <c r="U712" s="2" t="s">
        <v>718</v>
      </c>
    </row>
    <row r="713" spans="1:21" x14ac:dyDescent="0.3">
      <c r="A713">
        <v>269308</v>
      </c>
      <c r="B713" t="s">
        <v>46</v>
      </c>
      <c r="C713" t="s">
        <v>1309</v>
      </c>
      <c r="D713" t="s">
        <v>63</v>
      </c>
      <c r="E713" s="1" t="s">
        <v>2804</v>
      </c>
      <c r="F713">
        <v>24845066</v>
      </c>
      <c r="G713" t="s">
        <v>64</v>
      </c>
      <c r="H713" s="17">
        <v>23448964001921</v>
      </c>
      <c r="I713" s="17">
        <v>90739624001432</v>
      </c>
      <c r="J713" t="s">
        <v>17</v>
      </c>
      <c r="K713" s="9" t="s">
        <v>2805</v>
      </c>
      <c r="L713" t="s">
        <v>44</v>
      </c>
      <c r="M713">
        <v>178949</v>
      </c>
      <c r="N713" s="2" t="s">
        <v>695</v>
      </c>
      <c r="O713" s="9" t="s">
        <v>2805</v>
      </c>
      <c r="P713" t="s">
        <v>2806</v>
      </c>
      <c r="T713" s="2"/>
      <c r="U713" s="2" t="s">
        <v>718</v>
      </c>
    </row>
    <row r="714" spans="1:21" x14ac:dyDescent="0.3">
      <c r="A714">
        <v>269308</v>
      </c>
      <c r="B714" t="s">
        <v>46</v>
      </c>
      <c r="C714" t="s">
        <v>1309</v>
      </c>
      <c r="D714" t="s">
        <v>63</v>
      </c>
      <c r="E714" s="1" t="s">
        <v>2807</v>
      </c>
      <c r="F714">
        <v>24845051</v>
      </c>
      <c r="G714" t="s">
        <v>64</v>
      </c>
      <c r="H714" s="17">
        <v>23448964001921</v>
      </c>
      <c r="I714" s="17">
        <v>90739624001432</v>
      </c>
      <c r="J714" t="s">
        <v>2</v>
      </c>
      <c r="K714" s="9" t="s">
        <v>2808</v>
      </c>
      <c r="L714" t="s">
        <v>44</v>
      </c>
      <c r="M714">
        <v>178948</v>
      </c>
      <c r="N714" s="2" t="s">
        <v>695</v>
      </c>
      <c r="O714" s="9" t="s">
        <v>2808</v>
      </c>
      <c r="P714" t="s">
        <v>2809</v>
      </c>
      <c r="T714" s="2"/>
      <c r="U714" s="2" t="s">
        <v>718</v>
      </c>
    </row>
    <row r="715" spans="1:21" x14ac:dyDescent="0.3">
      <c r="A715">
        <v>269308</v>
      </c>
      <c r="B715" t="s">
        <v>46</v>
      </c>
      <c r="C715" t="s">
        <v>343</v>
      </c>
      <c r="D715" t="s">
        <v>61</v>
      </c>
      <c r="E715" s="1" t="s">
        <v>2810</v>
      </c>
      <c r="F715">
        <v>24844914</v>
      </c>
      <c r="G715" t="s">
        <v>2226</v>
      </c>
      <c r="H715" s="17">
        <v>45587003000101</v>
      </c>
      <c r="I715" s="17">
        <v>90739624000380</v>
      </c>
      <c r="J715" t="s">
        <v>2</v>
      </c>
      <c r="K715" s="9" t="s">
        <v>2811</v>
      </c>
      <c r="L715" t="s">
        <v>44</v>
      </c>
      <c r="M715">
        <v>315909</v>
      </c>
      <c r="N715" s="2" t="s">
        <v>695</v>
      </c>
      <c r="O715" s="9" t="s">
        <v>2811</v>
      </c>
      <c r="P715" t="s">
        <v>2812</v>
      </c>
      <c r="T715" s="2"/>
      <c r="U715" s="2" t="s">
        <v>718</v>
      </c>
    </row>
    <row r="716" spans="1:21" x14ac:dyDescent="0.3">
      <c r="A716">
        <v>269308</v>
      </c>
      <c r="B716" t="s">
        <v>46</v>
      </c>
      <c r="C716" t="s">
        <v>196</v>
      </c>
      <c r="D716" t="s">
        <v>36</v>
      </c>
      <c r="E716" s="1" t="s">
        <v>2813</v>
      </c>
      <c r="F716">
        <v>24844909</v>
      </c>
      <c r="G716" t="s">
        <v>186</v>
      </c>
      <c r="H716" s="17">
        <v>7822636000168</v>
      </c>
      <c r="I716" s="17">
        <v>90739624004458</v>
      </c>
      <c r="J716" t="s">
        <v>2</v>
      </c>
      <c r="K716" s="9" t="s">
        <v>2814</v>
      </c>
      <c r="L716" t="s">
        <v>44</v>
      </c>
      <c r="M716">
        <v>4141</v>
      </c>
      <c r="N716" s="2" t="s">
        <v>695</v>
      </c>
      <c r="O716" s="9" t="s">
        <v>2815</v>
      </c>
      <c r="P716" t="s">
        <v>2816</v>
      </c>
      <c r="T716" s="2"/>
      <c r="U716" s="2" t="s">
        <v>718</v>
      </c>
    </row>
    <row r="717" spans="1:21" x14ac:dyDescent="0.3">
      <c r="A717">
        <v>269308</v>
      </c>
      <c r="B717" t="s">
        <v>88</v>
      </c>
      <c r="C717" t="s">
        <v>472</v>
      </c>
      <c r="D717" t="s">
        <v>33</v>
      </c>
      <c r="E717" s="1" t="s">
        <v>2817</v>
      </c>
      <c r="F717">
        <v>24844890</v>
      </c>
      <c r="G717" t="s">
        <v>35</v>
      </c>
      <c r="H717" s="17">
        <v>27933025000102</v>
      </c>
      <c r="I717" s="17"/>
      <c r="J717" t="s">
        <v>2</v>
      </c>
      <c r="K717" s="9" t="s">
        <v>2818</v>
      </c>
      <c r="L717" t="s">
        <v>87</v>
      </c>
      <c r="N717" s="2"/>
      <c r="O717" s="9"/>
      <c r="T717" s="2"/>
      <c r="U717" s="2" t="s">
        <v>718</v>
      </c>
    </row>
    <row r="718" spans="1:21" x14ac:dyDescent="0.3">
      <c r="A718">
        <v>269308</v>
      </c>
      <c r="B718" t="s">
        <v>46</v>
      </c>
      <c r="C718" t="s">
        <v>207</v>
      </c>
      <c r="D718" t="s">
        <v>13</v>
      </c>
      <c r="E718" s="1" t="s">
        <v>2819</v>
      </c>
      <c r="F718">
        <v>24844881</v>
      </c>
      <c r="G718" t="s">
        <v>315</v>
      </c>
      <c r="H718" s="17">
        <v>2322969000104</v>
      </c>
      <c r="I718" s="17">
        <v>90739624001190</v>
      </c>
      <c r="J718" t="s">
        <v>2</v>
      </c>
      <c r="K718" s="9" t="s">
        <v>2820</v>
      </c>
      <c r="L718" t="s">
        <v>44</v>
      </c>
      <c r="M718">
        <v>15912</v>
      </c>
      <c r="N718" s="2" t="s">
        <v>695</v>
      </c>
      <c r="O718" s="9" t="s">
        <v>2820</v>
      </c>
      <c r="P718" t="s">
        <v>2821</v>
      </c>
      <c r="T718" s="2"/>
      <c r="U718" s="2" t="s">
        <v>718</v>
      </c>
    </row>
    <row r="719" spans="1:21" x14ac:dyDescent="0.3">
      <c r="A719">
        <v>269308</v>
      </c>
      <c r="B719" t="s">
        <v>46</v>
      </c>
      <c r="C719" t="s">
        <v>162</v>
      </c>
      <c r="D719" t="s">
        <v>58</v>
      </c>
      <c r="E719" s="1" t="s">
        <v>2822</v>
      </c>
      <c r="F719">
        <v>24844872</v>
      </c>
      <c r="G719" t="s">
        <v>192</v>
      </c>
      <c r="H719" s="17">
        <v>7473735022312</v>
      </c>
      <c r="I719" s="17">
        <v>90739624002323</v>
      </c>
      <c r="J719" t="s">
        <v>2</v>
      </c>
      <c r="K719" s="9" t="s">
        <v>2823</v>
      </c>
      <c r="L719" t="s">
        <v>44</v>
      </c>
      <c r="M719">
        <v>13680</v>
      </c>
      <c r="N719" s="2" t="s">
        <v>695</v>
      </c>
      <c r="O719" s="9" t="s">
        <v>2823</v>
      </c>
      <c r="P719" t="s">
        <v>2824</v>
      </c>
      <c r="T719" s="2"/>
      <c r="U719" s="2" t="s">
        <v>718</v>
      </c>
    </row>
    <row r="720" spans="1:21" x14ac:dyDescent="0.3">
      <c r="A720">
        <v>269308</v>
      </c>
      <c r="B720" t="s">
        <v>46</v>
      </c>
      <c r="C720" t="s">
        <v>281</v>
      </c>
      <c r="D720" t="s">
        <v>170</v>
      </c>
      <c r="E720" s="1" t="s">
        <v>2825</v>
      </c>
      <c r="F720">
        <v>24844662</v>
      </c>
      <c r="G720" t="s">
        <v>171</v>
      </c>
      <c r="H720" s="17">
        <v>14631967000186</v>
      </c>
      <c r="I720" s="17">
        <v>90739624001432</v>
      </c>
      <c r="J720" t="s">
        <v>2</v>
      </c>
      <c r="K720" s="9" t="s">
        <v>2826</v>
      </c>
      <c r="L720" t="s">
        <v>44</v>
      </c>
      <c r="M720">
        <v>47503</v>
      </c>
      <c r="N720" s="2" t="s">
        <v>695</v>
      </c>
      <c r="O720" s="9" t="s">
        <v>2826</v>
      </c>
      <c r="P720" t="s">
        <v>2827</v>
      </c>
      <c r="T720" s="2"/>
      <c r="U720" s="2" t="s">
        <v>718</v>
      </c>
    </row>
    <row r="721" spans="1:21" x14ac:dyDescent="0.3">
      <c r="A721">
        <v>269308</v>
      </c>
      <c r="B721" t="s">
        <v>46</v>
      </c>
      <c r="C721" t="s">
        <v>466</v>
      </c>
      <c r="D721" t="s">
        <v>63</v>
      </c>
      <c r="E721" s="1" t="s">
        <v>2828</v>
      </c>
      <c r="F721">
        <v>24844536</v>
      </c>
      <c r="G721" t="s">
        <v>64</v>
      </c>
      <c r="H721" s="17">
        <v>23448964001921</v>
      </c>
      <c r="I721" s="17">
        <v>90739624001432</v>
      </c>
      <c r="J721" t="s">
        <v>2</v>
      </c>
      <c r="K721" s="9" t="s">
        <v>2829</v>
      </c>
      <c r="L721" t="s">
        <v>44</v>
      </c>
      <c r="M721">
        <v>178940</v>
      </c>
      <c r="N721" s="2" t="s">
        <v>695</v>
      </c>
      <c r="O721" s="9" t="s">
        <v>2829</v>
      </c>
      <c r="P721" t="s">
        <v>2830</v>
      </c>
      <c r="T721" s="2"/>
      <c r="U721" s="2" t="s">
        <v>718</v>
      </c>
    </row>
    <row r="722" spans="1:21" x14ac:dyDescent="0.3">
      <c r="A722">
        <v>269308</v>
      </c>
      <c r="B722" t="s">
        <v>46</v>
      </c>
      <c r="C722" t="s">
        <v>641</v>
      </c>
      <c r="D722" t="s">
        <v>99</v>
      </c>
      <c r="E722" s="1" t="s">
        <v>2831</v>
      </c>
      <c r="F722">
        <v>24844534</v>
      </c>
      <c r="G722" t="s">
        <v>507</v>
      </c>
      <c r="H722" s="17">
        <v>3626094001330</v>
      </c>
      <c r="I722" s="17">
        <v>9576274000106</v>
      </c>
      <c r="J722" t="s">
        <v>2</v>
      </c>
      <c r="K722" s="9" t="s">
        <v>2832</v>
      </c>
      <c r="L722" t="s">
        <v>44</v>
      </c>
      <c r="M722">
        <v>50508</v>
      </c>
      <c r="N722" s="2" t="s">
        <v>695</v>
      </c>
      <c r="O722" s="9" t="s">
        <v>2832</v>
      </c>
      <c r="P722" t="s">
        <v>2833</v>
      </c>
      <c r="T722" s="2"/>
      <c r="U722" s="2" t="s">
        <v>718</v>
      </c>
    </row>
    <row r="723" spans="1:21" x14ac:dyDescent="0.3">
      <c r="A723">
        <v>269308</v>
      </c>
      <c r="B723" t="s">
        <v>46</v>
      </c>
      <c r="C723" t="s">
        <v>561</v>
      </c>
      <c r="D723" t="s">
        <v>63</v>
      </c>
      <c r="E723" s="1" t="s">
        <v>2834</v>
      </c>
      <c r="F723">
        <v>24844522</v>
      </c>
      <c r="G723" t="s">
        <v>64</v>
      </c>
      <c r="H723" s="17">
        <v>23448964001921</v>
      </c>
      <c r="I723" s="17">
        <v>90739624001432</v>
      </c>
      <c r="J723" t="s">
        <v>2</v>
      </c>
      <c r="K723" s="9" t="s">
        <v>2835</v>
      </c>
      <c r="L723" t="s">
        <v>44</v>
      </c>
      <c r="M723">
        <v>178938</v>
      </c>
      <c r="N723" s="2" t="s">
        <v>695</v>
      </c>
      <c r="O723" s="9" t="s">
        <v>2835</v>
      </c>
      <c r="P723" t="s">
        <v>2836</v>
      </c>
      <c r="T723" s="2"/>
      <c r="U723" s="2" t="s">
        <v>718</v>
      </c>
    </row>
    <row r="724" spans="1:21" x14ac:dyDescent="0.3">
      <c r="A724">
        <v>269308</v>
      </c>
      <c r="B724" t="s">
        <v>46</v>
      </c>
      <c r="C724" t="s">
        <v>391</v>
      </c>
      <c r="D724" t="s">
        <v>58</v>
      </c>
      <c r="E724" s="1" t="s">
        <v>2837</v>
      </c>
      <c r="F724">
        <v>24844383</v>
      </c>
      <c r="G724" t="s">
        <v>106</v>
      </c>
      <c r="H724" s="17">
        <v>7473735015103</v>
      </c>
      <c r="I724" s="17">
        <v>90739624002323</v>
      </c>
      <c r="J724" t="s">
        <v>2</v>
      </c>
      <c r="K724" s="9" t="s">
        <v>2838</v>
      </c>
      <c r="L724" t="s">
        <v>44</v>
      </c>
      <c r="M724">
        <v>110825</v>
      </c>
      <c r="N724" s="2" t="s">
        <v>695</v>
      </c>
      <c r="O724" s="9" t="s">
        <v>2838</v>
      </c>
      <c r="P724" t="s">
        <v>2839</v>
      </c>
      <c r="T724" s="2"/>
      <c r="U724" s="2" t="s">
        <v>718</v>
      </c>
    </row>
    <row r="725" spans="1:21" x14ac:dyDescent="0.3">
      <c r="A725">
        <v>269308</v>
      </c>
      <c r="B725" t="s">
        <v>46</v>
      </c>
      <c r="C725" t="s">
        <v>373</v>
      </c>
      <c r="D725" t="s">
        <v>63</v>
      </c>
      <c r="E725" s="1" t="s">
        <v>2840</v>
      </c>
      <c r="F725">
        <v>24844377</v>
      </c>
      <c r="G725" t="s">
        <v>64</v>
      </c>
      <c r="H725" s="17">
        <v>23448964001921</v>
      </c>
      <c r="I725" s="17">
        <v>90739624001432</v>
      </c>
      <c r="J725" t="s">
        <v>17</v>
      </c>
      <c r="K725" s="9" t="s">
        <v>2841</v>
      </c>
      <c r="L725" t="s">
        <v>44</v>
      </c>
      <c r="M725">
        <v>178933</v>
      </c>
      <c r="N725" s="2" t="s">
        <v>695</v>
      </c>
      <c r="O725" s="9" t="s">
        <v>2841</v>
      </c>
      <c r="P725" t="s">
        <v>2842</v>
      </c>
      <c r="T725" s="2"/>
      <c r="U725" s="2" t="s">
        <v>718</v>
      </c>
    </row>
    <row r="726" spans="1:21" x14ac:dyDescent="0.3">
      <c r="A726">
        <v>269308</v>
      </c>
      <c r="B726" t="s">
        <v>46</v>
      </c>
      <c r="C726" t="s">
        <v>293</v>
      </c>
      <c r="D726" t="s">
        <v>61</v>
      </c>
      <c r="E726" s="1" t="s">
        <v>2843</v>
      </c>
      <c r="F726">
        <v>24844369</v>
      </c>
      <c r="G726" t="s">
        <v>62</v>
      </c>
      <c r="H726" s="17">
        <v>79964177000591</v>
      </c>
      <c r="I726" s="17">
        <v>9576274000106</v>
      </c>
      <c r="J726" t="s">
        <v>2</v>
      </c>
      <c r="K726" s="9" t="s">
        <v>2844</v>
      </c>
      <c r="L726" t="s">
        <v>44</v>
      </c>
      <c r="M726">
        <v>820121</v>
      </c>
      <c r="N726" s="2" t="s">
        <v>695</v>
      </c>
      <c r="O726" s="9" t="s">
        <v>2844</v>
      </c>
      <c r="P726" t="s">
        <v>2845</v>
      </c>
      <c r="T726" s="2"/>
      <c r="U726" s="2" t="s">
        <v>718</v>
      </c>
    </row>
    <row r="727" spans="1:21" x14ac:dyDescent="0.3">
      <c r="A727">
        <v>269308</v>
      </c>
      <c r="B727" t="s">
        <v>46</v>
      </c>
      <c r="C727" t="s">
        <v>373</v>
      </c>
      <c r="D727" t="s">
        <v>63</v>
      </c>
      <c r="E727" s="1" t="s">
        <v>2846</v>
      </c>
      <c r="F727">
        <v>24844367</v>
      </c>
      <c r="G727" t="s">
        <v>64</v>
      </c>
      <c r="H727" s="17">
        <v>23448964001921</v>
      </c>
      <c r="I727" s="17">
        <v>90739624001432</v>
      </c>
      <c r="J727" t="s">
        <v>2</v>
      </c>
      <c r="K727" s="9" t="s">
        <v>2847</v>
      </c>
      <c r="L727" t="s">
        <v>44</v>
      </c>
      <c r="M727">
        <v>178932</v>
      </c>
      <c r="N727" s="2" t="s">
        <v>695</v>
      </c>
      <c r="O727" s="9" t="s">
        <v>2847</v>
      </c>
      <c r="P727" t="s">
        <v>2848</v>
      </c>
      <c r="T727" s="2"/>
      <c r="U727" s="2" t="s">
        <v>718</v>
      </c>
    </row>
    <row r="728" spans="1:21" x14ac:dyDescent="0.3">
      <c r="A728">
        <v>269308</v>
      </c>
      <c r="B728" t="s">
        <v>46</v>
      </c>
      <c r="C728" t="s">
        <v>135</v>
      </c>
      <c r="D728" t="s">
        <v>100</v>
      </c>
      <c r="E728" s="1" t="s">
        <v>2849</v>
      </c>
      <c r="F728">
        <v>24844366</v>
      </c>
      <c r="G728" t="s">
        <v>241</v>
      </c>
      <c r="H728" s="17">
        <v>14948822000103</v>
      </c>
      <c r="I728" s="17">
        <v>90739624001866</v>
      </c>
      <c r="J728" t="s">
        <v>2</v>
      </c>
      <c r="K728" s="9" t="s">
        <v>2850</v>
      </c>
      <c r="L728" t="s">
        <v>44</v>
      </c>
      <c r="M728">
        <v>154770</v>
      </c>
      <c r="N728" s="2" t="s">
        <v>695</v>
      </c>
      <c r="O728" s="9" t="s">
        <v>2850</v>
      </c>
      <c r="P728" t="s">
        <v>2851</v>
      </c>
      <c r="T728" s="2"/>
      <c r="U728" s="2" t="s">
        <v>718</v>
      </c>
    </row>
    <row r="729" spans="1:21" x14ac:dyDescent="0.3">
      <c r="A729">
        <v>269308</v>
      </c>
      <c r="B729" t="s">
        <v>46</v>
      </c>
      <c r="C729" t="s">
        <v>388</v>
      </c>
      <c r="D729" t="s">
        <v>58</v>
      </c>
      <c r="E729" s="1" t="s">
        <v>2852</v>
      </c>
      <c r="F729">
        <v>24844207</v>
      </c>
      <c r="G729" t="s">
        <v>106</v>
      </c>
      <c r="H729" s="17">
        <v>7473735015103</v>
      </c>
      <c r="I729" s="17">
        <v>90739624002323</v>
      </c>
      <c r="J729" t="s">
        <v>2</v>
      </c>
      <c r="K729" s="9" t="s">
        <v>682</v>
      </c>
      <c r="L729" t="s">
        <v>44</v>
      </c>
      <c r="M729">
        <v>110822</v>
      </c>
      <c r="N729" s="2" t="s">
        <v>695</v>
      </c>
      <c r="O729" s="9" t="s">
        <v>682</v>
      </c>
      <c r="P729" t="s">
        <v>2853</v>
      </c>
      <c r="T729" s="2"/>
      <c r="U729" s="2" t="s">
        <v>718</v>
      </c>
    </row>
    <row r="730" spans="1:21" x14ac:dyDescent="0.3">
      <c r="A730">
        <v>269308</v>
      </c>
      <c r="B730" t="s">
        <v>46</v>
      </c>
      <c r="C730" t="s">
        <v>386</v>
      </c>
      <c r="D730" t="s">
        <v>58</v>
      </c>
      <c r="E730" s="1" t="s">
        <v>2854</v>
      </c>
      <c r="F730">
        <v>24843813</v>
      </c>
      <c r="G730" t="s">
        <v>532</v>
      </c>
      <c r="H730" s="17">
        <v>7473735018552</v>
      </c>
      <c r="I730" s="17">
        <v>90739624002323</v>
      </c>
      <c r="J730" t="s">
        <v>2</v>
      </c>
      <c r="K730" s="9" t="s">
        <v>2855</v>
      </c>
      <c r="L730" t="s">
        <v>44</v>
      </c>
      <c r="M730">
        <v>56200</v>
      </c>
      <c r="N730" s="2" t="s">
        <v>695</v>
      </c>
      <c r="O730" s="9" t="s">
        <v>2855</v>
      </c>
      <c r="P730" t="s">
        <v>2856</v>
      </c>
      <c r="T730" s="2"/>
      <c r="U730" s="2" t="s">
        <v>718</v>
      </c>
    </row>
    <row r="731" spans="1:21" x14ac:dyDescent="0.3">
      <c r="A731">
        <v>269308</v>
      </c>
      <c r="B731" t="s">
        <v>46</v>
      </c>
      <c r="C731" t="s">
        <v>501</v>
      </c>
      <c r="D731" t="s">
        <v>0</v>
      </c>
      <c r="E731" s="1" t="s">
        <v>2857</v>
      </c>
      <c r="F731">
        <v>24843799</v>
      </c>
      <c r="G731" t="s">
        <v>134</v>
      </c>
      <c r="H731" s="17">
        <v>81326258000770</v>
      </c>
      <c r="I731" s="17">
        <v>90739624001432</v>
      </c>
      <c r="J731" t="s">
        <v>2</v>
      </c>
      <c r="K731" s="9" t="s">
        <v>2858</v>
      </c>
      <c r="L731" t="s">
        <v>44</v>
      </c>
      <c r="M731">
        <v>101158</v>
      </c>
      <c r="N731" s="2" t="s">
        <v>695</v>
      </c>
      <c r="O731" s="9" t="s">
        <v>2858</v>
      </c>
      <c r="P731" t="s">
        <v>2859</v>
      </c>
      <c r="T731" s="2"/>
      <c r="U731" s="2" t="s">
        <v>718</v>
      </c>
    </row>
    <row r="732" spans="1:21" x14ac:dyDescent="0.3">
      <c r="A732">
        <v>269308</v>
      </c>
      <c r="B732" t="s">
        <v>46</v>
      </c>
      <c r="C732" t="s">
        <v>243</v>
      </c>
      <c r="D732" t="s">
        <v>61</v>
      </c>
      <c r="E732" s="1" t="s">
        <v>2860</v>
      </c>
      <c r="F732">
        <v>24843657</v>
      </c>
      <c r="G732" t="s">
        <v>85</v>
      </c>
      <c r="H732" s="17">
        <v>1975878000105</v>
      </c>
      <c r="I732" s="17">
        <v>9576274000106</v>
      </c>
      <c r="J732" t="s">
        <v>2</v>
      </c>
      <c r="K732" s="9" t="s">
        <v>2861</v>
      </c>
      <c r="L732" t="s">
        <v>44</v>
      </c>
      <c r="M732">
        <v>2505</v>
      </c>
      <c r="N732" s="2" t="s">
        <v>695</v>
      </c>
      <c r="O732" s="9" t="s">
        <v>2862</v>
      </c>
      <c r="P732" t="s">
        <v>2863</v>
      </c>
      <c r="T732" s="2"/>
      <c r="U732" s="2" t="s">
        <v>718</v>
      </c>
    </row>
    <row r="733" spans="1:21" x14ac:dyDescent="0.3">
      <c r="A733">
        <v>269308</v>
      </c>
      <c r="B733" t="s">
        <v>46</v>
      </c>
      <c r="C733" t="s">
        <v>2864</v>
      </c>
      <c r="D733" t="s">
        <v>36</v>
      </c>
      <c r="E733" s="1" t="s">
        <v>2865</v>
      </c>
      <c r="F733">
        <v>24843367</v>
      </c>
      <c r="G733" t="s">
        <v>186</v>
      </c>
      <c r="H733" s="17">
        <v>7822636000168</v>
      </c>
      <c r="I733" s="17">
        <v>90739624004458</v>
      </c>
      <c r="J733" t="s">
        <v>2</v>
      </c>
      <c r="K733" s="9" t="s">
        <v>2866</v>
      </c>
      <c r="L733" t="s">
        <v>44</v>
      </c>
      <c r="M733">
        <v>4140</v>
      </c>
      <c r="N733" s="2" t="s">
        <v>695</v>
      </c>
      <c r="O733" s="9" t="s">
        <v>2867</v>
      </c>
      <c r="P733" t="s">
        <v>2868</v>
      </c>
      <c r="T733" s="2"/>
      <c r="U733" s="2" t="s">
        <v>718</v>
      </c>
    </row>
    <row r="734" spans="1:21" x14ac:dyDescent="0.3">
      <c r="A734">
        <v>269308</v>
      </c>
      <c r="B734" t="s">
        <v>46</v>
      </c>
      <c r="C734" t="s">
        <v>294</v>
      </c>
      <c r="D734" t="s">
        <v>61</v>
      </c>
      <c r="E734" s="1" t="s">
        <v>2869</v>
      </c>
      <c r="F734">
        <v>24843357</v>
      </c>
      <c r="G734" t="s">
        <v>62</v>
      </c>
      <c r="H734" s="17">
        <v>79964177000591</v>
      </c>
      <c r="I734" s="17">
        <v>9576274000106</v>
      </c>
      <c r="J734" t="s">
        <v>2</v>
      </c>
      <c r="K734" s="9" t="s">
        <v>2870</v>
      </c>
      <c r="L734" t="s">
        <v>44</v>
      </c>
      <c r="M734">
        <v>820114</v>
      </c>
      <c r="N734" s="2" t="s">
        <v>695</v>
      </c>
      <c r="O734" s="9" t="s">
        <v>2870</v>
      </c>
      <c r="P734" t="s">
        <v>2871</v>
      </c>
      <c r="T734" s="2"/>
      <c r="U734" s="2" t="s">
        <v>718</v>
      </c>
    </row>
    <row r="735" spans="1:21" x14ac:dyDescent="0.3">
      <c r="A735">
        <v>269308</v>
      </c>
      <c r="B735" t="s">
        <v>46</v>
      </c>
      <c r="C735" t="s">
        <v>53</v>
      </c>
      <c r="D735" t="s">
        <v>52</v>
      </c>
      <c r="E735" s="1" t="s">
        <v>2872</v>
      </c>
      <c r="F735">
        <v>24843346</v>
      </c>
      <c r="G735" t="s">
        <v>54</v>
      </c>
      <c r="H735" s="17">
        <v>79130647000198</v>
      </c>
      <c r="I735" s="17">
        <v>9576274000106</v>
      </c>
      <c r="J735" t="s">
        <v>2</v>
      </c>
      <c r="K735" s="9" t="s">
        <v>2873</v>
      </c>
      <c r="L735" t="s">
        <v>44</v>
      </c>
      <c r="M735">
        <v>16795</v>
      </c>
      <c r="N735" s="2" t="s">
        <v>695</v>
      </c>
      <c r="O735" s="9" t="s">
        <v>2873</v>
      </c>
      <c r="P735" t="s">
        <v>2874</v>
      </c>
      <c r="T735" s="2"/>
      <c r="U735" s="2" t="s">
        <v>718</v>
      </c>
    </row>
    <row r="736" spans="1:21" x14ac:dyDescent="0.3">
      <c r="A736">
        <v>269308</v>
      </c>
      <c r="B736" t="s">
        <v>46</v>
      </c>
      <c r="C736" t="s">
        <v>133</v>
      </c>
      <c r="D736" t="s">
        <v>0</v>
      </c>
      <c r="E736" s="1" t="s">
        <v>2875</v>
      </c>
      <c r="F736">
        <v>24843236</v>
      </c>
      <c r="G736" t="s">
        <v>200</v>
      </c>
      <c r="H736" s="17">
        <v>4308884000520</v>
      </c>
      <c r="I736" s="17">
        <v>90739624001432</v>
      </c>
      <c r="J736" t="s">
        <v>2</v>
      </c>
      <c r="K736" s="9" t="s">
        <v>2876</v>
      </c>
      <c r="L736" t="s">
        <v>44</v>
      </c>
      <c r="M736">
        <v>2047</v>
      </c>
      <c r="N736" s="2" t="s">
        <v>792</v>
      </c>
      <c r="O736" s="9" t="s">
        <v>2877</v>
      </c>
      <c r="P736" t="s">
        <v>2878</v>
      </c>
      <c r="T736" s="2"/>
      <c r="U736" s="2" t="s">
        <v>718</v>
      </c>
    </row>
    <row r="737" spans="1:21" x14ac:dyDescent="0.3">
      <c r="A737">
        <v>269308</v>
      </c>
      <c r="B737" t="s">
        <v>46</v>
      </c>
      <c r="C737" t="s">
        <v>253</v>
      </c>
      <c r="D737" t="s">
        <v>99</v>
      </c>
      <c r="E737" s="1" t="s">
        <v>2879</v>
      </c>
      <c r="F737">
        <v>24843235</v>
      </c>
      <c r="G737" t="s">
        <v>507</v>
      </c>
      <c r="H737" s="17">
        <v>3626094001330</v>
      </c>
      <c r="I737" s="17">
        <v>9576274000106</v>
      </c>
      <c r="J737" t="s">
        <v>2</v>
      </c>
      <c r="K737" s="9" t="s">
        <v>2880</v>
      </c>
      <c r="L737" t="s">
        <v>44</v>
      </c>
      <c r="M737">
        <v>50507</v>
      </c>
      <c r="N737" s="2" t="s">
        <v>695</v>
      </c>
      <c r="O737" s="9" t="s">
        <v>2880</v>
      </c>
      <c r="P737" t="s">
        <v>2881</v>
      </c>
      <c r="T737" s="2"/>
      <c r="U737" s="2" t="s">
        <v>718</v>
      </c>
    </row>
    <row r="738" spans="1:21" x14ac:dyDescent="0.3">
      <c r="A738">
        <v>269308</v>
      </c>
      <c r="B738" t="s">
        <v>46</v>
      </c>
      <c r="C738" t="s">
        <v>308</v>
      </c>
      <c r="D738" t="s">
        <v>58</v>
      </c>
      <c r="E738" s="1" t="s">
        <v>2882</v>
      </c>
      <c r="F738">
        <v>24842919</v>
      </c>
      <c r="G738" t="s">
        <v>309</v>
      </c>
      <c r="H738" s="17">
        <v>7473735017661</v>
      </c>
      <c r="I738" s="17">
        <v>90739624002323</v>
      </c>
      <c r="J738" t="s">
        <v>17</v>
      </c>
      <c r="K738" s="9" t="s">
        <v>2883</v>
      </c>
      <c r="L738" t="s">
        <v>44</v>
      </c>
      <c r="M738">
        <v>88506</v>
      </c>
      <c r="N738" s="2" t="s">
        <v>695</v>
      </c>
      <c r="O738" s="9" t="s">
        <v>2883</v>
      </c>
      <c r="P738" t="s">
        <v>2884</v>
      </c>
      <c r="T738" s="2"/>
      <c r="U738" s="2" t="s">
        <v>718</v>
      </c>
    </row>
    <row r="739" spans="1:21" x14ac:dyDescent="0.3">
      <c r="A739">
        <v>269308</v>
      </c>
      <c r="B739" t="s">
        <v>46</v>
      </c>
      <c r="C739" t="s">
        <v>308</v>
      </c>
      <c r="D739" t="s">
        <v>58</v>
      </c>
      <c r="E739" s="1" t="s">
        <v>2885</v>
      </c>
      <c r="F739">
        <v>24842908</v>
      </c>
      <c r="G739" t="s">
        <v>309</v>
      </c>
      <c r="H739" s="17">
        <v>7473735017661</v>
      </c>
      <c r="I739" s="17">
        <v>90739624002323</v>
      </c>
      <c r="J739" t="s">
        <v>2</v>
      </c>
      <c r="K739" s="9" t="s">
        <v>2886</v>
      </c>
      <c r="L739" t="s">
        <v>44</v>
      </c>
      <c r="M739">
        <v>88505</v>
      </c>
      <c r="N739" s="2" t="s">
        <v>695</v>
      </c>
      <c r="O739" s="9" t="s">
        <v>2886</v>
      </c>
      <c r="P739" t="s">
        <v>2887</v>
      </c>
      <c r="T739" s="2"/>
      <c r="U739" s="2" t="s">
        <v>718</v>
      </c>
    </row>
    <row r="740" spans="1:21" x14ac:dyDescent="0.3">
      <c r="A740">
        <v>269308</v>
      </c>
      <c r="B740" t="s">
        <v>46</v>
      </c>
      <c r="C740" t="s">
        <v>521</v>
      </c>
      <c r="D740" t="s">
        <v>61</v>
      </c>
      <c r="E740" s="1" t="s">
        <v>2888</v>
      </c>
      <c r="F740">
        <v>24842762</v>
      </c>
      <c r="G740" t="s">
        <v>2889</v>
      </c>
      <c r="H740" s="17">
        <v>80786031000159</v>
      </c>
      <c r="I740" s="17">
        <v>9576274000106</v>
      </c>
      <c r="J740" t="s">
        <v>2</v>
      </c>
      <c r="K740" s="9" t="s">
        <v>2890</v>
      </c>
      <c r="L740" t="s">
        <v>44</v>
      </c>
      <c r="M740">
        <v>1102</v>
      </c>
      <c r="N740" s="2" t="s">
        <v>583</v>
      </c>
      <c r="O740" s="9" t="s">
        <v>2890</v>
      </c>
      <c r="P740" t="s">
        <v>2891</v>
      </c>
      <c r="T740" s="2"/>
      <c r="U740" s="2" t="s">
        <v>718</v>
      </c>
    </row>
    <row r="741" spans="1:21" x14ac:dyDescent="0.3">
      <c r="A741">
        <v>269308</v>
      </c>
      <c r="B741" t="s">
        <v>46</v>
      </c>
      <c r="C741" t="s">
        <v>19</v>
      </c>
      <c r="D741" t="s">
        <v>18</v>
      </c>
      <c r="E741" s="1" t="s">
        <v>2892</v>
      </c>
      <c r="F741">
        <v>24842757</v>
      </c>
      <c r="G741" t="s">
        <v>202</v>
      </c>
      <c r="H741" s="17">
        <v>5065447000162</v>
      </c>
      <c r="I741" s="17">
        <v>90739624000380</v>
      </c>
      <c r="J741" t="s">
        <v>2</v>
      </c>
      <c r="K741" s="9" t="s">
        <v>2893</v>
      </c>
      <c r="L741" t="s">
        <v>44</v>
      </c>
      <c r="M741">
        <v>373256</v>
      </c>
      <c r="N741" s="2" t="s">
        <v>695</v>
      </c>
      <c r="O741" s="9" t="s">
        <v>2893</v>
      </c>
      <c r="P741" t="s">
        <v>2894</v>
      </c>
      <c r="T741" s="2"/>
      <c r="U741" s="2" t="s">
        <v>718</v>
      </c>
    </row>
    <row r="742" spans="1:21" x14ac:dyDescent="0.3">
      <c r="A742">
        <v>269308</v>
      </c>
      <c r="B742" t="s">
        <v>46</v>
      </c>
      <c r="C742" t="s">
        <v>390</v>
      </c>
      <c r="D742" t="s">
        <v>58</v>
      </c>
      <c r="E742" s="1" t="s">
        <v>2895</v>
      </c>
      <c r="F742">
        <v>24842197</v>
      </c>
      <c r="G742" t="s">
        <v>106</v>
      </c>
      <c r="H742" s="17">
        <v>7473735015103</v>
      </c>
      <c r="I742" s="17">
        <v>90739624002323</v>
      </c>
      <c r="J742" t="s">
        <v>2</v>
      </c>
      <c r="K742" s="9" t="s">
        <v>669</v>
      </c>
      <c r="L742" t="s">
        <v>44</v>
      </c>
      <c r="M742">
        <v>110815</v>
      </c>
      <c r="N742" s="2" t="s">
        <v>695</v>
      </c>
      <c r="O742" s="9" t="s">
        <v>669</v>
      </c>
      <c r="P742" t="s">
        <v>2896</v>
      </c>
      <c r="T742" s="2"/>
      <c r="U742" s="2" t="s">
        <v>718</v>
      </c>
    </row>
    <row r="743" spans="1:21" x14ac:dyDescent="0.3">
      <c r="A743">
        <v>269308</v>
      </c>
      <c r="B743" t="s">
        <v>46</v>
      </c>
      <c r="C743" t="s">
        <v>453</v>
      </c>
      <c r="D743" t="s">
        <v>11</v>
      </c>
      <c r="E743" s="1" t="s">
        <v>2897</v>
      </c>
      <c r="F743">
        <v>24837650</v>
      </c>
      <c r="G743" t="s">
        <v>204</v>
      </c>
      <c r="H743" s="17">
        <v>24187119000183</v>
      </c>
      <c r="I743" s="17">
        <v>90739624000118</v>
      </c>
      <c r="J743" t="s">
        <v>2</v>
      </c>
      <c r="K743" s="9" t="s">
        <v>2898</v>
      </c>
      <c r="L743" t="s">
        <v>44</v>
      </c>
      <c r="M743">
        <v>311250</v>
      </c>
      <c r="N743" s="2" t="s">
        <v>695</v>
      </c>
      <c r="O743" s="9" t="s">
        <v>2898</v>
      </c>
      <c r="P743" t="s">
        <v>2899</v>
      </c>
      <c r="T743" s="2"/>
      <c r="U743" s="2" t="s">
        <v>718</v>
      </c>
    </row>
    <row r="744" spans="1:21" x14ac:dyDescent="0.3">
      <c r="A744">
        <v>269308</v>
      </c>
      <c r="B744" t="s">
        <v>46</v>
      </c>
      <c r="C744" t="s">
        <v>14</v>
      </c>
      <c r="D744" t="s">
        <v>13</v>
      </c>
      <c r="E744" s="1" t="s">
        <v>2900</v>
      </c>
      <c r="F744">
        <v>24837166</v>
      </c>
      <c r="G744" t="s">
        <v>348</v>
      </c>
      <c r="H744" s="17">
        <v>26416003000102</v>
      </c>
      <c r="I744" s="17">
        <v>90739624001190</v>
      </c>
      <c r="J744" t="s">
        <v>2</v>
      </c>
      <c r="K744" s="9" t="s">
        <v>2901</v>
      </c>
      <c r="L744" t="s">
        <v>44</v>
      </c>
      <c r="M744">
        <v>48815</v>
      </c>
      <c r="N744" s="2" t="s">
        <v>792</v>
      </c>
      <c r="O744" s="9" t="s">
        <v>2901</v>
      </c>
      <c r="P744" t="s">
        <v>2902</v>
      </c>
      <c r="T744" s="2"/>
      <c r="U744" s="2" t="s">
        <v>718</v>
      </c>
    </row>
    <row r="745" spans="1:21" x14ac:dyDescent="0.3">
      <c r="A745">
        <v>269308</v>
      </c>
      <c r="B745" t="s">
        <v>46</v>
      </c>
      <c r="C745" t="s">
        <v>468</v>
      </c>
      <c r="D745" t="s">
        <v>25</v>
      </c>
      <c r="E745" s="1" t="s">
        <v>2903</v>
      </c>
      <c r="F745">
        <v>24837062</v>
      </c>
      <c r="G745" t="s">
        <v>206</v>
      </c>
      <c r="H745" s="17">
        <v>50128357000128</v>
      </c>
      <c r="I745" s="17">
        <v>90739624003486</v>
      </c>
      <c r="J745" t="s">
        <v>2</v>
      </c>
      <c r="K745" s="9" t="s">
        <v>2904</v>
      </c>
      <c r="L745" t="s">
        <v>44</v>
      </c>
      <c r="M745">
        <v>144496</v>
      </c>
      <c r="N745" s="2" t="s">
        <v>695</v>
      </c>
      <c r="O745" s="9" t="s">
        <v>2904</v>
      </c>
      <c r="P745" t="s">
        <v>2905</v>
      </c>
      <c r="T745" s="2"/>
      <c r="U745" s="2" t="s">
        <v>718</v>
      </c>
    </row>
    <row r="746" spans="1:21" x14ac:dyDescent="0.3">
      <c r="A746">
        <v>269308</v>
      </c>
      <c r="B746" t="s">
        <v>46</v>
      </c>
      <c r="C746" t="s">
        <v>533</v>
      </c>
      <c r="D746" t="s">
        <v>126</v>
      </c>
      <c r="E746" s="1" t="s">
        <v>2906</v>
      </c>
      <c r="F746">
        <v>24836235</v>
      </c>
      <c r="G746" t="s">
        <v>488</v>
      </c>
      <c r="H746" s="17">
        <v>54052204000103</v>
      </c>
      <c r="I746" s="17">
        <v>90739624000380</v>
      </c>
      <c r="J746" t="s">
        <v>2</v>
      </c>
      <c r="K746" s="9" t="s">
        <v>2907</v>
      </c>
      <c r="L746" t="s">
        <v>44</v>
      </c>
      <c r="M746">
        <v>561577</v>
      </c>
      <c r="N746" s="2" t="s">
        <v>695</v>
      </c>
      <c r="O746" s="9" t="s">
        <v>2907</v>
      </c>
      <c r="P746" t="s">
        <v>2908</v>
      </c>
      <c r="T746" s="2"/>
      <c r="U746" s="2" t="s">
        <v>718</v>
      </c>
    </row>
    <row r="747" spans="1:21" x14ac:dyDescent="0.3">
      <c r="A747">
        <v>269308</v>
      </c>
      <c r="B747" t="s">
        <v>46</v>
      </c>
      <c r="C747" t="s">
        <v>39</v>
      </c>
      <c r="D747" t="s">
        <v>18</v>
      </c>
      <c r="E747" s="1" t="s">
        <v>2909</v>
      </c>
      <c r="F747">
        <v>24836167</v>
      </c>
      <c r="G747" t="s">
        <v>20</v>
      </c>
      <c r="H747" s="17">
        <v>27751075017640</v>
      </c>
      <c r="I747" s="17">
        <v>90739624000380</v>
      </c>
      <c r="J747" t="s">
        <v>2</v>
      </c>
      <c r="K747" s="9" t="s">
        <v>1321</v>
      </c>
      <c r="L747" t="s">
        <v>44</v>
      </c>
      <c r="M747">
        <v>970</v>
      </c>
      <c r="N747" s="2" t="s">
        <v>695</v>
      </c>
      <c r="O747" s="9" t="s">
        <v>1321</v>
      </c>
      <c r="P747" t="s">
        <v>2910</v>
      </c>
      <c r="T747" s="2"/>
      <c r="U747" s="2" t="s">
        <v>718</v>
      </c>
    </row>
    <row r="748" spans="1:21" x14ac:dyDescent="0.3">
      <c r="A748">
        <v>269308</v>
      </c>
      <c r="B748" t="s">
        <v>46</v>
      </c>
      <c r="C748" t="s">
        <v>1419</v>
      </c>
      <c r="D748" t="s">
        <v>58</v>
      </c>
      <c r="E748" s="1" t="s">
        <v>2911</v>
      </c>
      <c r="F748">
        <v>24831121</v>
      </c>
      <c r="G748" t="s">
        <v>309</v>
      </c>
      <c r="H748" s="17">
        <v>7473735017661</v>
      </c>
      <c r="I748" s="17">
        <v>90739624002323</v>
      </c>
      <c r="J748" t="s">
        <v>17</v>
      </c>
      <c r="K748" s="9" t="s">
        <v>2912</v>
      </c>
      <c r="L748" t="s">
        <v>44</v>
      </c>
      <c r="M748">
        <v>88488</v>
      </c>
      <c r="N748" s="2" t="s">
        <v>695</v>
      </c>
      <c r="O748" s="9" t="s">
        <v>2912</v>
      </c>
      <c r="P748" t="s">
        <v>2913</v>
      </c>
      <c r="T748" s="2"/>
      <c r="U748" s="2" t="s">
        <v>718</v>
      </c>
    </row>
    <row r="749" spans="1:21" x14ac:dyDescent="0.3">
      <c r="A749">
        <v>269308</v>
      </c>
      <c r="B749" t="s">
        <v>46</v>
      </c>
      <c r="C749" t="s">
        <v>1419</v>
      </c>
      <c r="D749" t="s">
        <v>58</v>
      </c>
      <c r="E749" s="1" t="s">
        <v>2914</v>
      </c>
      <c r="F749">
        <v>24830929</v>
      </c>
      <c r="G749" t="s">
        <v>309</v>
      </c>
      <c r="H749" s="17">
        <v>7473735017661</v>
      </c>
      <c r="I749" s="17">
        <v>90739624002323</v>
      </c>
      <c r="J749" t="s">
        <v>2</v>
      </c>
      <c r="K749" s="9" t="s">
        <v>2915</v>
      </c>
      <c r="L749" t="s">
        <v>44</v>
      </c>
      <c r="M749">
        <v>88487</v>
      </c>
      <c r="N749" s="2" t="s">
        <v>695</v>
      </c>
      <c r="O749" s="9" t="s">
        <v>2915</v>
      </c>
      <c r="P749" t="s">
        <v>2916</v>
      </c>
      <c r="T749" s="2"/>
      <c r="U749" s="2" t="s">
        <v>718</v>
      </c>
    </row>
    <row r="750" spans="1:21" x14ac:dyDescent="0.3">
      <c r="A750">
        <v>269308</v>
      </c>
      <c r="B750" t="s">
        <v>46</v>
      </c>
      <c r="C750" t="s">
        <v>208</v>
      </c>
      <c r="D750" t="s">
        <v>28</v>
      </c>
      <c r="E750" s="1" t="s">
        <v>2917</v>
      </c>
      <c r="F750">
        <v>24830481</v>
      </c>
      <c r="G750" t="s">
        <v>209</v>
      </c>
      <c r="H750" s="17">
        <v>33360405000190</v>
      </c>
      <c r="I750" s="17">
        <v>90739624001947</v>
      </c>
      <c r="J750" t="s">
        <v>2</v>
      </c>
      <c r="K750" s="9" t="s">
        <v>2918</v>
      </c>
      <c r="L750" t="s">
        <v>44</v>
      </c>
      <c r="M750">
        <v>38304</v>
      </c>
      <c r="N750" s="2" t="s">
        <v>585</v>
      </c>
      <c r="O750" s="9" t="s">
        <v>2918</v>
      </c>
      <c r="P750" t="s">
        <v>2919</v>
      </c>
      <c r="T750" s="2"/>
      <c r="U750" s="2" t="s">
        <v>718</v>
      </c>
    </row>
    <row r="751" spans="1:21" x14ac:dyDescent="0.3">
      <c r="A751">
        <v>269308</v>
      </c>
      <c r="B751" t="s">
        <v>46</v>
      </c>
      <c r="C751" t="s">
        <v>459</v>
      </c>
      <c r="D751" t="s">
        <v>61</v>
      </c>
      <c r="E751" s="1" t="s">
        <v>2920</v>
      </c>
      <c r="F751">
        <v>24829757</v>
      </c>
      <c r="G751" t="s">
        <v>62</v>
      </c>
      <c r="H751" s="17">
        <v>79964177000591</v>
      </c>
      <c r="I751" s="17">
        <v>9576274000106</v>
      </c>
      <c r="J751" t="s">
        <v>2</v>
      </c>
      <c r="K751" s="9" t="s">
        <v>2921</v>
      </c>
      <c r="L751" t="s">
        <v>44</v>
      </c>
      <c r="M751">
        <v>820087</v>
      </c>
      <c r="N751" s="2" t="s">
        <v>585</v>
      </c>
      <c r="O751" s="9" t="s">
        <v>2921</v>
      </c>
      <c r="P751" t="s">
        <v>2922</v>
      </c>
      <c r="T751" s="2"/>
      <c r="U751" s="2" t="s">
        <v>718</v>
      </c>
    </row>
    <row r="752" spans="1:21" x14ac:dyDescent="0.3">
      <c r="A752">
        <v>269308</v>
      </c>
      <c r="B752" t="s">
        <v>46</v>
      </c>
      <c r="C752" t="s">
        <v>19</v>
      </c>
      <c r="D752" t="s">
        <v>18</v>
      </c>
      <c r="E752" s="1" t="s">
        <v>2923</v>
      </c>
      <c r="F752">
        <v>24829748</v>
      </c>
      <c r="G752" t="s">
        <v>20</v>
      </c>
      <c r="H752" s="17">
        <v>27751075017640</v>
      </c>
      <c r="I752" s="17">
        <v>90739624000380</v>
      </c>
      <c r="J752" t="s">
        <v>2</v>
      </c>
      <c r="K752" s="9" t="s">
        <v>2924</v>
      </c>
      <c r="L752" t="s">
        <v>44</v>
      </c>
      <c r="M752">
        <v>968</v>
      </c>
      <c r="N752" s="2" t="s">
        <v>585</v>
      </c>
      <c r="O752" s="9" t="s">
        <v>2924</v>
      </c>
      <c r="P752" t="s">
        <v>2925</v>
      </c>
      <c r="T752" s="2"/>
      <c r="U752" s="2" t="s">
        <v>718</v>
      </c>
    </row>
    <row r="753" spans="1:21" x14ac:dyDescent="0.3">
      <c r="A753">
        <v>269308</v>
      </c>
      <c r="B753" t="s">
        <v>46</v>
      </c>
      <c r="C753" t="s">
        <v>543</v>
      </c>
      <c r="D753" t="s">
        <v>174</v>
      </c>
      <c r="E753" s="1" t="s">
        <v>2926</v>
      </c>
      <c r="F753">
        <v>24829614</v>
      </c>
      <c r="G753" t="s">
        <v>209</v>
      </c>
      <c r="H753" s="17">
        <v>33360405000190</v>
      </c>
      <c r="I753" s="17">
        <v>90739624001947</v>
      </c>
      <c r="J753" t="s">
        <v>2</v>
      </c>
      <c r="K753" s="9" t="s">
        <v>1430</v>
      </c>
      <c r="L753" t="s">
        <v>44</v>
      </c>
      <c r="M753">
        <v>38303</v>
      </c>
      <c r="N753" s="2" t="s">
        <v>585</v>
      </c>
      <c r="O753" s="9" t="s">
        <v>1430</v>
      </c>
      <c r="P753" t="s">
        <v>2927</v>
      </c>
      <c r="T753" s="2"/>
      <c r="U753" s="2" t="s">
        <v>718</v>
      </c>
    </row>
    <row r="754" spans="1:21" x14ac:dyDescent="0.3">
      <c r="A754">
        <v>269308</v>
      </c>
      <c r="B754" t="s">
        <v>46</v>
      </c>
      <c r="C754" t="s">
        <v>297</v>
      </c>
      <c r="D754" t="s">
        <v>8</v>
      </c>
      <c r="E754" s="1" t="s">
        <v>2928</v>
      </c>
      <c r="F754">
        <v>24829465</v>
      </c>
      <c r="G754" t="s">
        <v>51</v>
      </c>
      <c r="H754" s="17">
        <v>2763612000161</v>
      </c>
      <c r="I754" s="17">
        <v>90739624003133</v>
      </c>
      <c r="J754" t="s">
        <v>2</v>
      </c>
      <c r="K754" s="9" t="s">
        <v>2929</v>
      </c>
      <c r="L754" t="s">
        <v>44</v>
      </c>
      <c r="M754">
        <v>162888</v>
      </c>
      <c r="N754" s="2" t="s">
        <v>585</v>
      </c>
      <c r="O754" s="9" t="s">
        <v>2929</v>
      </c>
      <c r="P754" t="s">
        <v>2930</v>
      </c>
      <c r="T754" s="2"/>
      <c r="U754" s="2" t="s">
        <v>718</v>
      </c>
    </row>
    <row r="755" spans="1:21" x14ac:dyDescent="0.3">
      <c r="A755">
        <v>269308</v>
      </c>
      <c r="B755" t="s">
        <v>46</v>
      </c>
      <c r="C755" t="s">
        <v>203</v>
      </c>
      <c r="D755" t="s">
        <v>11</v>
      </c>
      <c r="E755" s="1" t="s">
        <v>2931</v>
      </c>
      <c r="F755">
        <v>24829315</v>
      </c>
      <c r="G755" t="s">
        <v>310</v>
      </c>
      <c r="H755" s="17">
        <v>42733072000198</v>
      </c>
      <c r="I755" s="17">
        <v>90739624000380</v>
      </c>
      <c r="J755" t="s">
        <v>2</v>
      </c>
      <c r="K755" s="9" t="s">
        <v>2932</v>
      </c>
      <c r="L755" t="s">
        <v>44</v>
      </c>
      <c r="M755">
        <v>5294</v>
      </c>
      <c r="N755" s="2" t="s">
        <v>695</v>
      </c>
      <c r="O755" s="9" t="s">
        <v>2932</v>
      </c>
      <c r="P755" t="s">
        <v>2933</v>
      </c>
      <c r="T755" s="2"/>
      <c r="U755" s="2" t="s">
        <v>718</v>
      </c>
    </row>
    <row r="756" spans="1:21" x14ac:dyDescent="0.3">
      <c r="A756">
        <v>269308</v>
      </c>
      <c r="B756" t="s">
        <v>46</v>
      </c>
      <c r="C756" t="s">
        <v>453</v>
      </c>
      <c r="D756" t="s">
        <v>11</v>
      </c>
      <c r="E756" s="1" t="s">
        <v>2934</v>
      </c>
      <c r="F756">
        <v>24829131</v>
      </c>
      <c r="G756" t="s">
        <v>210</v>
      </c>
      <c r="H756" s="17">
        <v>55973291000196</v>
      </c>
      <c r="I756" s="17">
        <v>90739624000380</v>
      </c>
      <c r="J756" t="s">
        <v>2</v>
      </c>
      <c r="K756" s="9" t="s">
        <v>2935</v>
      </c>
      <c r="L756" t="s">
        <v>44</v>
      </c>
      <c r="M756">
        <v>1050204</v>
      </c>
      <c r="N756" s="2" t="s">
        <v>585</v>
      </c>
      <c r="O756" s="9" t="s">
        <v>2935</v>
      </c>
      <c r="P756" t="s">
        <v>2936</v>
      </c>
      <c r="T756" s="2"/>
      <c r="U756" s="2" t="s">
        <v>718</v>
      </c>
    </row>
    <row r="757" spans="1:21" x14ac:dyDescent="0.3">
      <c r="A757">
        <v>269308</v>
      </c>
      <c r="B757" t="s">
        <v>46</v>
      </c>
      <c r="C757" t="s">
        <v>104</v>
      </c>
      <c r="D757" t="s">
        <v>63</v>
      </c>
      <c r="E757" s="1" t="s">
        <v>2937</v>
      </c>
      <c r="F757">
        <v>24828768</v>
      </c>
      <c r="G757" t="s">
        <v>482</v>
      </c>
      <c r="H757" s="17">
        <v>93489243007471</v>
      </c>
      <c r="I757" s="17">
        <v>90739624002323</v>
      </c>
      <c r="J757" t="s">
        <v>2</v>
      </c>
      <c r="K757" s="9" t="s">
        <v>2938</v>
      </c>
      <c r="L757" t="s">
        <v>44</v>
      </c>
      <c r="M757">
        <v>4421</v>
      </c>
      <c r="N757" s="2" t="s">
        <v>585</v>
      </c>
      <c r="O757" s="9" t="s">
        <v>2938</v>
      </c>
      <c r="P757" t="s">
        <v>2939</v>
      </c>
      <c r="T757" s="2"/>
      <c r="U757" s="2" t="s">
        <v>718</v>
      </c>
    </row>
    <row r="758" spans="1:21" x14ac:dyDescent="0.3">
      <c r="A758">
        <v>269308</v>
      </c>
      <c r="B758" t="s">
        <v>46</v>
      </c>
      <c r="C758" t="s">
        <v>342</v>
      </c>
      <c r="D758" t="s">
        <v>0</v>
      </c>
      <c r="E758" s="1" t="s">
        <v>2940</v>
      </c>
      <c r="F758">
        <v>24828760</v>
      </c>
      <c r="G758" t="s">
        <v>62</v>
      </c>
      <c r="H758" s="17">
        <v>79964177000591</v>
      </c>
      <c r="I758" s="17">
        <v>9576274000106</v>
      </c>
      <c r="J758" t="s">
        <v>2</v>
      </c>
      <c r="K758" s="9" t="s">
        <v>2941</v>
      </c>
      <c r="L758" t="s">
        <v>44</v>
      </c>
      <c r="M758">
        <v>820073</v>
      </c>
      <c r="N758" s="2" t="s">
        <v>585</v>
      </c>
      <c r="O758" s="9" t="s">
        <v>2941</v>
      </c>
      <c r="P758" t="s">
        <v>2942</v>
      </c>
      <c r="T758" s="2"/>
      <c r="U758" s="2" t="s">
        <v>718</v>
      </c>
    </row>
    <row r="759" spans="1:21" x14ac:dyDescent="0.3">
      <c r="A759">
        <v>269308</v>
      </c>
      <c r="B759" t="s">
        <v>46</v>
      </c>
      <c r="C759" t="s">
        <v>39</v>
      </c>
      <c r="D759" t="s">
        <v>18</v>
      </c>
      <c r="E759" s="1" t="s">
        <v>2943</v>
      </c>
      <c r="F759">
        <v>24828311</v>
      </c>
      <c r="G759" t="s">
        <v>202</v>
      </c>
      <c r="H759" s="17">
        <v>5065447000162</v>
      </c>
      <c r="I759" s="17">
        <v>90739624000380</v>
      </c>
      <c r="J759" t="s">
        <v>2</v>
      </c>
      <c r="K759" s="9" t="s">
        <v>2944</v>
      </c>
      <c r="L759" t="s">
        <v>44</v>
      </c>
      <c r="M759">
        <v>373214</v>
      </c>
      <c r="N759" s="2" t="s">
        <v>585</v>
      </c>
      <c r="O759" s="9" t="s">
        <v>2944</v>
      </c>
      <c r="P759" t="s">
        <v>2945</v>
      </c>
      <c r="T759" s="2"/>
      <c r="U759" s="2" t="s">
        <v>718</v>
      </c>
    </row>
    <row r="760" spans="1:21" x14ac:dyDescent="0.3">
      <c r="A760">
        <v>269308</v>
      </c>
      <c r="B760" t="s">
        <v>46</v>
      </c>
      <c r="C760" t="s">
        <v>211</v>
      </c>
      <c r="D760" t="s">
        <v>61</v>
      </c>
      <c r="E760" s="1" t="s">
        <v>2946</v>
      </c>
      <c r="F760">
        <v>24827822</v>
      </c>
      <c r="G760" t="s">
        <v>62</v>
      </c>
      <c r="H760" s="17">
        <v>79964177000591</v>
      </c>
      <c r="I760" s="17">
        <v>9576274000106</v>
      </c>
      <c r="J760" t="s">
        <v>2</v>
      </c>
      <c r="K760" s="9" t="s">
        <v>2947</v>
      </c>
      <c r="L760" t="s">
        <v>44</v>
      </c>
      <c r="M760">
        <v>820068</v>
      </c>
      <c r="N760" s="2" t="s">
        <v>585</v>
      </c>
      <c r="O760" s="9" t="s">
        <v>2947</v>
      </c>
      <c r="P760" t="s">
        <v>2948</v>
      </c>
      <c r="T760" s="2"/>
      <c r="U760" s="2" t="s">
        <v>718</v>
      </c>
    </row>
    <row r="761" spans="1:21" x14ac:dyDescent="0.3">
      <c r="A761">
        <v>269308</v>
      </c>
      <c r="B761" t="s">
        <v>46</v>
      </c>
      <c r="C761" t="s">
        <v>392</v>
      </c>
      <c r="D761" t="s">
        <v>58</v>
      </c>
      <c r="E761" s="1" t="s">
        <v>2949</v>
      </c>
      <c r="F761">
        <v>24824127</v>
      </c>
      <c r="G761" t="s">
        <v>106</v>
      </c>
      <c r="H761" s="17">
        <v>7473735015103</v>
      </c>
      <c r="I761" s="17">
        <v>90739624002323</v>
      </c>
      <c r="J761" t="s">
        <v>2</v>
      </c>
      <c r="K761" s="9" t="s">
        <v>2950</v>
      </c>
      <c r="L761" t="s">
        <v>44</v>
      </c>
      <c r="M761">
        <v>110793</v>
      </c>
      <c r="N761" s="2" t="s">
        <v>585</v>
      </c>
      <c r="O761" s="9" t="s">
        <v>2950</v>
      </c>
      <c r="P761" t="s">
        <v>2951</v>
      </c>
      <c r="T761" s="2"/>
      <c r="U761" s="2" t="s">
        <v>718</v>
      </c>
    </row>
    <row r="762" spans="1:21" x14ac:dyDescent="0.3">
      <c r="A762">
        <v>269308</v>
      </c>
      <c r="B762" t="s">
        <v>46</v>
      </c>
      <c r="C762" t="s">
        <v>110</v>
      </c>
      <c r="D762" t="s">
        <v>31</v>
      </c>
      <c r="E762" s="1" t="s">
        <v>2952</v>
      </c>
      <c r="F762">
        <v>24823225</v>
      </c>
      <c r="G762" t="s">
        <v>142</v>
      </c>
      <c r="H762" s="17">
        <v>54494203000100</v>
      </c>
      <c r="I762" s="17">
        <v>90739624001866</v>
      </c>
      <c r="J762" t="s">
        <v>2</v>
      </c>
      <c r="K762" s="9" t="s">
        <v>2953</v>
      </c>
      <c r="L762" t="s">
        <v>44</v>
      </c>
      <c r="M762">
        <v>15853</v>
      </c>
      <c r="N762" s="2" t="s">
        <v>590</v>
      </c>
      <c r="O762" s="9" t="s">
        <v>2953</v>
      </c>
      <c r="P762" t="s">
        <v>2954</v>
      </c>
      <c r="T762" s="2"/>
      <c r="U762" s="2" t="s">
        <v>718</v>
      </c>
    </row>
    <row r="763" spans="1:21" x14ac:dyDescent="0.3">
      <c r="A763">
        <v>269308</v>
      </c>
      <c r="B763" t="s">
        <v>46</v>
      </c>
      <c r="C763" t="s">
        <v>175</v>
      </c>
      <c r="D763" t="s">
        <v>174</v>
      </c>
      <c r="E763" s="1" t="s">
        <v>2955</v>
      </c>
      <c r="F763">
        <v>24823202</v>
      </c>
      <c r="G763" t="s">
        <v>176</v>
      </c>
      <c r="H763" s="17">
        <v>4219621000111</v>
      </c>
      <c r="I763" s="17">
        <v>90739624000118</v>
      </c>
      <c r="J763" t="s">
        <v>2</v>
      </c>
      <c r="K763" s="9" t="s">
        <v>2956</v>
      </c>
      <c r="L763" t="s">
        <v>44</v>
      </c>
      <c r="M763">
        <v>99045</v>
      </c>
      <c r="N763" s="2" t="s">
        <v>695</v>
      </c>
      <c r="O763" s="9" t="s">
        <v>2956</v>
      </c>
      <c r="P763" t="s">
        <v>2957</v>
      </c>
      <c r="T763" s="2"/>
      <c r="U763" s="2" t="s">
        <v>718</v>
      </c>
    </row>
    <row r="764" spans="1:21" x14ac:dyDescent="0.3">
      <c r="A764">
        <v>269308</v>
      </c>
      <c r="B764" t="s">
        <v>46</v>
      </c>
      <c r="C764" t="s">
        <v>194</v>
      </c>
      <c r="D764" t="s">
        <v>61</v>
      </c>
      <c r="E764" s="1" t="s">
        <v>2958</v>
      </c>
      <c r="F764">
        <v>24823195</v>
      </c>
      <c r="G764" t="s">
        <v>62</v>
      </c>
      <c r="H764" s="17">
        <v>79964177000591</v>
      </c>
      <c r="I764" s="17">
        <v>9576274000106</v>
      </c>
      <c r="J764" t="s">
        <v>2</v>
      </c>
      <c r="K764" s="9" t="s">
        <v>2959</v>
      </c>
      <c r="L764" t="s">
        <v>44</v>
      </c>
      <c r="M764">
        <v>820060</v>
      </c>
      <c r="N764" s="2" t="s">
        <v>585</v>
      </c>
      <c r="O764" s="9" t="s">
        <v>2959</v>
      </c>
      <c r="P764" t="s">
        <v>2960</v>
      </c>
      <c r="T764" s="2"/>
      <c r="U764" s="2" t="s">
        <v>718</v>
      </c>
    </row>
    <row r="765" spans="1:21" x14ac:dyDescent="0.3">
      <c r="A765">
        <v>269308</v>
      </c>
      <c r="B765" t="s">
        <v>46</v>
      </c>
      <c r="C765" t="s">
        <v>377</v>
      </c>
      <c r="D765" t="s">
        <v>170</v>
      </c>
      <c r="E765" s="1" t="s">
        <v>2961</v>
      </c>
      <c r="F765">
        <v>24822952</v>
      </c>
      <c r="G765" t="s">
        <v>178</v>
      </c>
      <c r="H765" s="17">
        <v>83392050000199</v>
      </c>
      <c r="I765" s="17">
        <v>90739624001432</v>
      </c>
      <c r="J765" t="s">
        <v>2</v>
      </c>
      <c r="K765" s="9" t="s">
        <v>2962</v>
      </c>
      <c r="L765" t="s">
        <v>44</v>
      </c>
      <c r="M765">
        <v>129288</v>
      </c>
      <c r="N765" s="2" t="s">
        <v>585</v>
      </c>
      <c r="O765" s="9" t="s">
        <v>2962</v>
      </c>
      <c r="P765" t="s">
        <v>2963</v>
      </c>
      <c r="T765" s="2"/>
      <c r="U765" s="2" t="s">
        <v>718</v>
      </c>
    </row>
    <row r="766" spans="1:21" x14ac:dyDescent="0.3">
      <c r="A766">
        <v>269308</v>
      </c>
      <c r="B766" t="s">
        <v>46</v>
      </c>
      <c r="C766" t="s">
        <v>198</v>
      </c>
      <c r="D766" t="s">
        <v>61</v>
      </c>
      <c r="E766" s="1" t="s">
        <v>2964</v>
      </c>
      <c r="F766">
        <v>24822813</v>
      </c>
      <c r="G766" t="s">
        <v>127</v>
      </c>
      <c r="H766" s="17">
        <v>76493295000147</v>
      </c>
      <c r="I766" s="17">
        <v>9576274000106</v>
      </c>
      <c r="J766" t="s">
        <v>2</v>
      </c>
      <c r="K766" s="9" t="s">
        <v>2965</v>
      </c>
      <c r="L766" t="s">
        <v>44</v>
      </c>
      <c r="M766">
        <v>28654</v>
      </c>
      <c r="N766" s="2" t="s">
        <v>585</v>
      </c>
      <c r="O766" s="9" t="s">
        <v>2965</v>
      </c>
      <c r="P766" t="s">
        <v>2966</v>
      </c>
      <c r="T766" s="2"/>
      <c r="U766" s="2" t="s">
        <v>718</v>
      </c>
    </row>
    <row r="767" spans="1:21" x14ac:dyDescent="0.3">
      <c r="A767">
        <v>269308</v>
      </c>
      <c r="B767" t="s">
        <v>46</v>
      </c>
      <c r="C767" t="s">
        <v>523</v>
      </c>
      <c r="D767" t="s">
        <v>49</v>
      </c>
      <c r="E767" s="1" t="s">
        <v>2967</v>
      </c>
      <c r="F767">
        <v>24822571</v>
      </c>
      <c r="G767" t="s">
        <v>51</v>
      </c>
      <c r="H767" s="17">
        <v>2763612000161</v>
      </c>
      <c r="I767" s="17">
        <v>90739624003133</v>
      </c>
      <c r="J767" t="s">
        <v>2</v>
      </c>
      <c r="K767" s="9" t="s">
        <v>2968</v>
      </c>
      <c r="L767" t="s">
        <v>44</v>
      </c>
      <c r="M767">
        <v>162884</v>
      </c>
      <c r="N767" s="2" t="s">
        <v>585</v>
      </c>
      <c r="O767" s="9" t="s">
        <v>2968</v>
      </c>
      <c r="P767" t="s">
        <v>2969</v>
      </c>
      <c r="T767" s="2"/>
      <c r="U767" s="2" t="s">
        <v>718</v>
      </c>
    </row>
    <row r="768" spans="1:21" x14ac:dyDescent="0.3">
      <c r="A768">
        <v>269308</v>
      </c>
      <c r="B768" t="s">
        <v>46</v>
      </c>
      <c r="C768" t="s">
        <v>313</v>
      </c>
      <c r="D768" t="s">
        <v>8</v>
      </c>
      <c r="E768" s="1" t="s">
        <v>2970</v>
      </c>
      <c r="F768">
        <v>24822301</v>
      </c>
      <c r="G768" t="s">
        <v>10</v>
      </c>
      <c r="H768" s="17">
        <v>33286065000102</v>
      </c>
      <c r="I768" s="17">
        <v>9576274000106</v>
      </c>
      <c r="J768" t="s">
        <v>2</v>
      </c>
      <c r="K768" s="9" t="s">
        <v>2971</v>
      </c>
      <c r="L768" t="s">
        <v>44</v>
      </c>
      <c r="M768">
        <v>10389</v>
      </c>
      <c r="N768" s="2" t="s">
        <v>585</v>
      </c>
      <c r="O768" s="9" t="s">
        <v>2971</v>
      </c>
      <c r="P768" t="s">
        <v>2972</v>
      </c>
      <c r="T768" s="2"/>
      <c r="U768" s="2" t="s">
        <v>718</v>
      </c>
    </row>
    <row r="769" spans="1:21" x14ac:dyDescent="0.3">
      <c r="A769">
        <v>269308</v>
      </c>
      <c r="B769" t="s">
        <v>46</v>
      </c>
      <c r="C769" t="s">
        <v>460</v>
      </c>
      <c r="D769" t="s">
        <v>25</v>
      </c>
      <c r="E769" s="1" t="s">
        <v>2973</v>
      </c>
      <c r="F769">
        <v>24822265</v>
      </c>
      <c r="G769" t="s">
        <v>80</v>
      </c>
      <c r="H769" s="17">
        <v>8603562001103</v>
      </c>
      <c r="I769" s="17">
        <v>90739624001866</v>
      </c>
      <c r="J769" t="s">
        <v>2</v>
      </c>
      <c r="K769" s="9" t="s">
        <v>2974</v>
      </c>
      <c r="L769" t="s">
        <v>44</v>
      </c>
      <c r="M769">
        <v>1810</v>
      </c>
      <c r="N769" s="2" t="s">
        <v>695</v>
      </c>
      <c r="O769" s="9" t="s">
        <v>2974</v>
      </c>
      <c r="P769" t="s">
        <v>2975</v>
      </c>
      <c r="T769" s="2"/>
      <c r="U769" s="2" t="s">
        <v>718</v>
      </c>
    </row>
    <row r="770" spans="1:21" x14ac:dyDescent="0.3">
      <c r="A770">
        <v>269308</v>
      </c>
      <c r="B770" t="s">
        <v>46</v>
      </c>
      <c r="C770" t="s">
        <v>14</v>
      </c>
      <c r="D770" t="s">
        <v>13</v>
      </c>
      <c r="E770" s="1" t="s">
        <v>2976</v>
      </c>
      <c r="F770">
        <v>24822213</v>
      </c>
      <c r="G770" t="s">
        <v>513</v>
      </c>
      <c r="H770" s="17">
        <v>1550726000160</v>
      </c>
      <c r="I770" s="17">
        <v>90739624001190</v>
      </c>
      <c r="J770" t="s">
        <v>2</v>
      </c>
      <c r="K770" s="9" t="s">
        <v>2977</v>
      </c>
      <c r="L770" t="s">
        <v>44</v>
      </c>
      <c r="M770">
        <v>16693</v>
      </c>
      <c r="N770" s="2" t="s">
        <v>583</v>
      </c>
      <c r="O770" s="9" t="s">
        <v>2977</v>
      </c>
      <c r="P770" t="s">
        <v>2978</v>
      </c>
      <c r="T770" s="2"/>
      <c r="U770" s="2" t="s">
        <v>718</v>
      </c>
    </row>
    <row r="771" spans="1:21" x14ac:dyDescent="0.3">
      <c r="A771">
        <v>269308</v>
      </c>
      <c r="B771" t="s">
        <v>46</v>
      </c>
      <c r="C771" t="s">
        <v>224</v>
      </c>
      <c r="D771" t="s">
        <v>28</v>
      </c>
      <c r="E771" s="1" t="s">
        <v>2979</v>
      </c>
      <c r="F771">
        <v>24822099</v>
      </c>
      <c r="G771" t="s">
        <v>48</v>
      </c>
      <c r="H771" s="17">
        <v>1272434001002</v>
      </c>
      <c r="I771" s="17">
        <v>90739624001947</v>
      </c>
      <c r="J771" t="s">
        <v>2</v>
      </c>
      <c r="K771" s="9" t="s">
        <v>2980</v>
      </c>
      <c r="L771" t="s">
        <v>44</v>
      </c>
      <c r="M771">
        <v>81208</v>
      </c>
      <c r="N771" s="2" t="s">
        <v>585</v>
      </c>
      <c r="O771" s="9" t="s">
        <v>2980</v>
      </c>
      <c r="P771" t="s">
        <v>2981</v>
      </c>
      <c r="T771" s="2"/>
      <c r="U771" s="2" t="s">
        <v>718</v>
      </c>
    </row>
    <row r="772" spans="1:21" x14ac:dyDescent="0.3">
      <c r="A772">
        <v>269308</v>
      </c>
      <c r="B772" t="s">
        <v>46</v>
      </c>
      <c r="C772" t="s">
        <v>673</v>
      </c>
      <c r="D772" t="s">
        <v>13</v>
      </c>
      <c r="E772" s="1" t="s">
        <v>2982</v>
      </c>
      <c r="F772">
        <v>24822068</v>
      </c>
      <c r="G772" t="s">
        <v>15</v>
      </c>
      <c r="H772" s="17">
        <v>30432373000100</v>
      </c>
      <c r="I772" s="17">
        <v>90739624001190</v>
      </c>
      <c r="J772" t="s">
        <v>2</v>
      </c>
      <c r="K772" s="9" t="s">
        <v>2983</v>
      </c>
      <c r="L772" t="s">
        <v>44</v>
      </c>
      <c r="M772">
        <v>24167</v>
      </c>
      <c r="N772" s="2" t="s">
        <v>585</v>
      </c>
      <c r="O772" s="9" t="s">
        <v>2984</v>
      </c>
      <c r="P772" t="s">
        <v>2985</v>
      </c>
      <c r="T772" s="2"/>
      <c r="U772" s="2" t="s">
        <v>718</v>
      </c>
    </row>
    <row r="773" spans="1:21" x14ac:dyDescent="0.3">
      <c r="A773">
        <v>269308</v>
      </c>
      <c r="B773" t="s">
        <v>46</v>
      </c>
      <c r="C773" t="s">
        <v>232</v>
      </c>
      <c r="D773" t="s">
        <v>40</v>
      </c>
      <c r="E773" s="1" t="s">
        <v>2986</v>
      </c>
      <c r="F773">
        <v>24821898</v>
      </c>
      <c r="G773" t="s">
        <v>42</v>
      </c>
      <c r="H773" s="17">
        <v>82156977000248</v>
      </c>
      <c r="I773" s="17">
        <v>90739624001432</v>
      </c>
      <c r="J773" t="s">
        <v>2</v>
      </c>
      <c r="K773" s="9" t="s">
        <v>2987</v>
      </c>
      <c r="L773" t="s">
        <v>44</v>
      </c>
      <c r="M773">
        <v>168284</v>
      </c>
      <c r="N773" s="2" t="s">
        <v>585</v>
      </c>
      <c r="O773" s="9" t="s">
        <v>2987</v>
      </c>
      <c r="P773" t="s">
        <v>2988</v>
      </c>
      <c r="T773" s="2"/>
      <c r="U773" s="2" t="s">
        <v>718</v>
      </c>
    </row>
    <row r="774" spans="1:21" x14ac:dyDescent="0.3">
      <c r="A774">
        <v>269308</v>
      </c>
      <c r="B774" t="s">
        <v>46</v>
      </c>
      <c r="C774" t="s">
        <v>312</v>
      </c>
      <c r="D774" t="s">
        <v>61</v>
      </c>
      <c r="E774" s="1" t="s">
        <v>2989</v>
      </c>
      <c r="F774">
        <v>24821730</v>
      </c>
      <c r="G774" t="s">
        <v>127</v>
      </c>
      <c r="H774" s="17">
        <v>76493295000147</v>
      </c>
      <c r="I774" s="17">
        <v>9576274000106</v>
      </c>
      <c r="J774" t="s">
        <v>2</v>
      </c>
      <c r="K774" s="9" t="s">
        <v>2990</v>
      </c>
      <c r="L774" t="s">
        <v>44</v>
      </c>
      <c r="M774">
        <v>28647</v>
      </c>
      <c r="N774" s="2" t="s">
        <v>585</v>
      </c>
      <c r="O774" s="9" t="s">
        <v>2990</v>
      </c>
      <c r="P774" t="s">
        <v>2991</v>
      </c>
      <c r="T774" s="2"/>
      <c r="U774" s="2" t="s">
        <v>718</v>
      </c>
    </row>
    <row r="775" spans="1:21" x14ac:dyDescent="0.3">
      <c r="A775">
        <v>269308</v>
      </c>
      <c r="B775" t="s">
        <v>46</v>
      </c>
      <c r="C775" t="s">
        <v>502</v>
      </c>
      <c r="D775" t="s">
        <v>18</v>
      </c>
      <c r="E775" s="1" t="s">
        <v>2992</v>
      </c>
      <c r="F775">
        <v>24821386</v>
      </c>
      <c r="G775" t="s">
        <v>520</v>
      </c>
      <c r="H775" s="17">
        <v>44746308000156</v>
      </c>
      <c r="I775" s="17">
        <v>90739624000380</v>
      </c>
      <c r="J775" t="s">
        <v>2</v>
      </c>
      <c r="K775" s="9" t="s">
        <v>2993</v>
      </c>
      <c r="L775" t="s">
        <v>44</v>
      </c>
      <c r="M775">
        <v>20868</v>
      </c>
      <c r="N775" s="2" t="s">
        <v>695</v>
      </c>
      <c r="O775" s="9" t="s">
        <v>2994</v>
      </c>
      <c r="P775" t="s">
        <v>2995</v>
      </c>
      <c r="T775" s="2"/>
      <c r="U775" s="2" t="s">
        <v>718</v>
      </c>
    </row>
    <row r="776" spans="1:21" x14ac:dyDescent="0.3">
      <c r="A776">
        <v>269308</v>
      </c>
      <c r="B776" t="s">
        <v>46</v>
      </c>
      <c r="C776" t="s">
        <v>225</v>
      </c>
      <c r="D776" t="s">
        <v>49</v>
      </c>
      <c r="E776" s="1" t="s">
        <v>2996</v>
      </c>
      <c r="F776">
        <v>24821355</v>
      </c>
      <c r="G776" t="s">
        <v>51</v>
      </c>
      <c r="H776" s="17">
        <v>2763612000161</v>
      </c>
      <c r="I776" s="17">
        <v>90739624003133</v>
      </c>
      <c r="J776" t="s">
        <v>2</v>
      </c>
      <c r="K776" s="9" t="s">
        <v>2997</v>
      </c>
      <c r="L776" t="s">
        <v>44</v>
      </c>
      <c r="M776">
        <v>162879</v>
      </c>
      <c r="N776" s="2" t="s">
        <v>585</v>
      </c>
      <c r="O776" s="9" t="s">
        <v>2997</v>
      </c>
      <c r="P776" t="s">
        <v>2998</v>
      </c>
      <c r="T776" s="2"/>
      <c r="U776" s="2" t="s">
        <v>718</v>
      </c>
    </row>
    <row r="777" spans="1:21" x14ac:dyDescent="0.3">
      <c r="A777">
        <v>269308</v>
      </c>
      <c r="B777" t="s">
        <v>46</v>
      </c>
      <c r="C777" t="s">
        <v>41</v>
      </c>
      <c r="D777" t="s">
        <v>40</v>
      </c>
      <c r="E777" s="1" t="s">
        <v>2999</v>
      </c>
      <c r="F777">
        <v>24821324</v>
      </c>
      <c r="G777" t="s">
        <v>42</v>
      </c>
      <c r="H777" s="17">
        <v>82156977000248</v>
      </c>
      <c r="I777" s="17">
        <v>90739624001432</v>
      </c>
      <c r="J777" t="s">
        <v>17</v>
      </c>
      <c r="K777" s="9" t="s">
        <v>3000</v>
      </c>
      <c r="L777" t="s">
        <v>44</v>
      </c>
      <c r="M777">
        <v>168279</v>
      </c>
      <c r="N777" s="2" t="s">
        <v>585</v>
      </c>
      <c r="O777" s="9" t="s">
        <v>3000</v>
      </c>
      <c r="P777" t="s">
        <v>3001</v>
      </c>
      <c r="T777" s="2"/>
      <c r="U777" s="2" t="s">
        <v>718</v>
      </c>
    </row>
    <row r="778" spans="1:21" x14ac:dyDescent="0.3">
      <c r="A778">
        <v>269308</v>
      </c>
      <c r="B778" t="s">
        <v>46</v>
      </c>
      <c r="C778" t="s">
        <v>41</v>
      </c>
      <c r="D778" t="s">
        <v>40</v>
      </c>
      <c r="E778" s="1" t="s">
        <v>3002</v>
      </c>
      <c r="F778">
        <v>24821310</v>
      </c>
      <c r="G778" t="s">
        <v>42</v>
      </c>
      <c r="H778" s="17">
        <v>82156977000248</v>
      </c>
      <c r="I778" s="17">
        <v>90739624001432</v>
      </c>
      <c r="J778" t="s">
        <v>2</v>
      </c>
      <c r="K778" s="9" t="s">
        <v>623</v>
      </c>
      <c r="L778" t="s">
        <v>44</v>
      </c>
      <c r="M778">
        <v>168278</v>
      </c>
      <c r="N778" s="2" t="s">
        <v>585</v>
      </c>
      <c r="O778" s="9" t="s">
        <v>623</v>
      </c>
      <c r="P778" t="s">
        <v>3003</v>
      </c>
      <c r="T778" s="2"/>
      <c r="U778" s="2" t="s">
        <v>718</v>
      </c>
    </row>
    <row r="779" spans="1:21" x14ac:dyDescent="0.3">
      <c r="A779">
        <v>269308</v>
      </c>
      <c r="B779" t="s">
        <v>46</v>
      </c>
      <c r="C779" t="s">
        <v>226</v>
      </c>
      <c r="D779" t="s">
        <v>65</v>
      </c>
      <c r="E779" s="1" t="s">
        <v>3004</v>
      </c>
      <c r="F779">
        <v>24821297</v>
      </c>
      <c r="G779" t="s">
        <v>67</v>
      </c>
      <c r="H779" s="17">
        <v>7473735006031</v>
      </c>
      <c r="I779" s="17">
        <v>90739624002323</v>
      </c>
      <c r="J779" t="s">
        <v>2</v>
      </c>
      <c r="K779" s="9" t="s">
        <v>3005</v>
      </c>
      <c r="L779" t="s">
        <v>44</v>
      </c>
      <c r="M779">
        <v>75177</v>
      </c>
      <c r="N779" s="2" t="s">
        <v>585</v>
      </c>
      <c r="O779" s="9" t="s">
        <v>3005</v>
      </c>
      <c r="P779" t="s">
        <v>3006</v>
      </c>
      <c r="T779" s="2"/>
      <c r="U779" s="2" t="s">
        <v>718</v>
      </c>
    </row>
    <row r="780" spans="1:21" x14ac:dyDescent="0.3">
      <c r="A780">
        <v>269308</v>
      </c>
      <c r="B780" t="s">
        <v>46</v>
      </c>
      <c r="C780" t="s">
        <v>219</v>
      </c>
      <c r="D780" t="s">
        <v>28</v>
      </c>
      <c r="E780" s="1" t="s">
        <v>3007</v>
      </c>
      <c r="F780">
        <v>24820882</v>
      </c>
      <c r="G780" t="s">
        <v>209</v>
      </c>
      <c r="H780" s="17">
        <v>33360405000190</v>
      </c>
      <c r="I780" s="17">
        <v>90739624001947</v>
      </c>
      <c r="J780" t="s">
        <v>2</v>
      </c>
      <c r="K780" s="9" t="s">
        <v>3008</v>
      </c>
      <c r="L780" t="s">
        <v>44</v>
      </c>
      <c r="M780">
        <v>38302</v>
      </c>
      <c r="N780" s="2" t="s">
        <v>585</v>
      </c>
      <c r="O780" s="9" t="s">
        <v>3008</v>
      </c>
      <c r="P780" t="s">
        <v>3009</v>
      </c>
      <c r="T780" s="2"/>
      <c r="U780" s="2" t="s">
        <v>718</v>
      </c>
    </row>
    <row r="781" spans="1:21" x14ac:dyDescent="0.3">
      <c r="A781">
        <v>269308</v>
      </c>
      <c r="B781" t="s">
        <v>46</v>
      </c>
      <c r="C781" t="s">
        <v>481</v>
      </c>
      <c r="D781" t="s">
        <v>58</v>
      </c>
      <c r="E781" s="1" t="s">
        <v>3010</v>
      </c>
      <c r="F781">
        <v>24820723</v>
      </c>
      <c r="G781" t="s">
        <v>480</v>
      </c>
      <c r="H781" s="17">
        <v>7473735019877</v>
      </c>
      <c r="I781" s="17">
        <v>90739624002323</v>
      </c>
      <c r="J781" t="s">
        <v>2</v>
      </c>
      <c r="K781" s="9" t="s">
        <v>3011</v>
      </c>
      <c r="L781" t="s">
        <v>44</v>
      </c>
      <c r="M781">
        <v>57627</v>
      </c>
      <c r="N781" s="2" t="s">
        <v>585</v>
      </c>
      <c r="O781" s="9" t="s">
        <v>3011</v>
      </c>
      <c r="P781" t="s">
        <v>3012</v>
      </c>
      <c r="T781" s="2"/>
      <c r="U781" s="2" t="s">
        <v>718</v>
      </c>
    </row>
    <row r="782" spans="1:21" x14ac:dyDescent="0.3">
      <c r="A782">
        <v>269308</v>
      </c>
      <c r="B782" t="s">
        <v>46</v>
      </c>
      <c r="C782" t="s">
        <v>246</v>
      </c>
      <c r="D782" t="s">
        <v>40</v>
      </c>
      <c r="E782" s="1" t="s">
        <v>3013</v>
      </c>
      <c r="F782">
        <v>24820720</v>
      </c>
      <c r="G782" t="s">
        <v>42</v>
      </c>
      <c r="H782" s="17">
        <v>82156977000248</v>
      </c>
      <c r="I782" s="17">
        <v>90739624001432</v>
      </c>
      <c r="J782" t="s">
        <v>2</v>
      </c>
      <c r="K782" s="9" t="s">
        <v>3014</v>
      </c>
      <c r="L782" t="s">
        <v>44</v>
      </c>
      <c r="M782">
        <v>168274</v>
      </c>
      <c r="N782" s="2" t="s">
        <v>585</v>
      </c>
      <c r="O782" s="9" t="s">
        <v>3014</v>
      </c>
      <c r="P782" t="s">
        <v>3015</v>
      </c>
      <c r="T782" s="2"/>
      <c r="U782" s="2" t="s">
        <v>718</v>
      </c>
    </row>
    <row r="783" spans="1:21" x14ac:dyDescent="0.3">
      <c r="A783">
        <v>269308</v>
      </c>
      <c r="B783" t="s">
        <v>46</v>
      </c>
      <c r="C783" t="s">
        <v>214</v>
      </c>
      <c r="D783" t="s">
        <v>28</v>
      </c>
      <c r="E783" s="1" t="s">
        <v>3016</v>
      </c>
      <c r="F783">
        <v>24820670</v>
      </c>
      <c r="G783" t="s">
        <v>48</v>
      </c>
      <c r="H783" s="17">
        <v>1272434001002</v>
      </c>
      <c r="I783" s="17">
        <v>90739624001947</v>
      </c>
      <c r="J783" t="s">
        <v>2</v>
      </c>
      <c r="K783" s="9" t="s">
        <v>3017</v>
      </c>
      <c r="L783" t="s">
        <v>44</v>
      </c>
      <c r="M783">
        <v>81206</v>
      </c>
      <c r="N783" s="2" t="s">
        <v>585</v>
      </c>
      <c r="O783" s="9" t="s">
        <v>3017</v>
      </c>
      <c r="P783" t="s">
        <v>3018</v>
      </c>
      <c r="T783" s="2"/>
      <c r="U783" s="2" t="s">
        <v>718</v>
      </c>
    </row>
    <row r="784" spans="1:21" x14ac:dyDescent="0.3">
      <c r="A784">
        <v>269308</v>
      </c>
      <c r="B784" t="s">
        <v>46</v>
      </c>
      <c r="C784" t="s">
        <v>614</v>
      </c>
      <c r="D784" t="s">
        <v>61</v>
      </c>
      <c r="E784" s="1" t="s">
        <v>3019</v>
      </c>
      <c r="F784">
        <v>24820563</v>
      </c>
      <c r="G784" t="s">
        <v>85</v>
      </c>
      <c r="H784" s="17">
        <v>1975878000105</v>
      </c>
      <c r="I784" s="17">
        <v>9576274000106</v>
      </c>
      <c r="J784" t="s">
        <v>2</v>
      </c>
      <c r="K784" s="9" t="s">
        <v>3020</v>
      </c>
      <c r="L784" t="s">
        <v>44</v>
      </c>
      <c r="M784">
        <v>2504</v>
      </c>
      <c r="N784" s="2" t="s">
        <v>585</v>
      </c>
      <c r="O784" s="9" t="s">
        <v>3020</v>
      </c>
      <c r="P784" t="s">
        <v>3021</v>
      </c>
      <c r="T784" s="2"/>
      <c r="U784" s="2" t="s">
        <v>718</v>
      </c>
    </row>
    <row r="785" spans="1:21" x14ac:dyDescent="0.3">
      <c r="A785">
        <v>269308</v>
      </c>
      <c r="B785" t="s">
        <v>46</v>
      </c>
      <c r="C785" t="s">
        <v>511</v>
      </c>
      <c r="D785" t="s">
        <v>28</v>
      </c>
      <c r="E785" s="1" t="s">
        <v>3022</v>
      </c>
      <c r="F785">
        <v>24820534</v>
      </c>
      <c r="G785" t="s">
        <v>48</v>
      </c>
      <c r="H785" s="17">
        <v>1272434001002</v>
      </c>
      <c r="I785" s="17">
        <v>90739624001947</v>
      </c>
      <c r="J785" t="s">
        <v>2</v>
      </c>
      <c r="K785" s="9" t="s">
        <v>3023</v>
      </c>
      <c r="L785" t="s">
        <v>44</v>
      </c>
      <c r="M785">
        <v>81205</v>
      </c>
      <c r="N785" s="2" t="s">
        <v>585</v>
      </c>
      <c r="O785" s="9" t="s">
        <v>3023</v>
      </c>
      <c r="P785" t="s">
        <v>3024</v>
      </c>
      <c r="T785" s="2"/>
      <c r="U785" s="2" t="s">
        <v>718</v>
      </c>
    </row>
    <row r="786" spans="1:21" x14ac:dyDescent="0.3">
      <c r="A786">
        <v>269308</v>
      </c>
      <c r="B786" t="s">
        <v>46</v>
      </c>
      <c r="C786" t="s">
        <v>387</v>
      </c>
      <c r="D786" t="s">
        <v>58</v>
      </c>
      <c r="E786" s="1" t="s">
        <v>3025</v>
      </c>
      <c r="F786">
        <v>24820492</v>
      </c>
      <c r="G786" t="s">
        <v>480</v>
      </c>
      <c r="H786" s="17">
        <v>7473735019877</v>
      </c>
      <c r="I786" s="17">
        <v>90739624002323</v>
      </c>
      <c r="J786" t="s">
        <v>17</v>
      </c>
      <c r="K786" s="9" t="s">
        <v>3026</v>
      </c>
      <c r="L786" t="s">
        <v>44</v>
      </c>
      <c r="M786">
        <v>57626</v>
      </c>
      <c r="N786" s="2" t="s">
        <v>585</v>
      </c>
      <c r="O786" s="9" t="s">
        <v>3026</v>
      </c>
      <c r="P786" t="s">
        <v>3027</v>
      </c>
      <c r="T786" s="2"/>
      <c r="U786" s="2" t="s">
        <v>718</v>
      </c>
    </row>
    <row r="787" spans="1:21" x14ac:dyDescent="0.3">
      <c r="A787">
        <v>269308</v>
      </c>
      <c r="B787" t="s">
        <v>46</v>
      </c>
      <c r="C787" t="s">
        <v>491</v>
      </c>
      <c r="D787" t="s">
        <v>40</v>
      </c>
      <c r="E787" s="1" t="s">
        <v>3028</v>
      </c>
      <c r="F787">
        <v>24820373</v>
      </c>
      <c r="G787" t="s">
        <v>42</v>
      </c>
      <c r="H787" s="17">
        <v>82156977000248</v>
      </c>
      <c r="I787" s="17">
        <v>90739624001432</v>
      </c>
      <c r="J787" t="s">
        <v>2</v>
      </c>
      <c r="K787" s="9" t="s">
        <v>3029</v>
      </c>
      <c r="L787" t="s">
        <v>44</v>
      </c>
      <c r="M787">
        <v>168272</v>
      </c>
      <c r="N787" s="2" t="s">
        <v>585</v>
      </c>
      <c r="O787" s="9" t="s">
        <v>3029</v>
      </c>
      <c r="P787" t="s">
        <v>3030</v>
      </c>
      <c r="T787" s="2"/>
      <c r="U787" s="2" t="s">
        <v>718</v>
      </c>
    </row>
    <row r="788" spans="1:21" x14ac:dyDescent="0.3">
      <c r="A788">
        <v>269308</v>
      </c>
      <c r="B788" t="s">
        <v>46</v>
      </c>
      <c r="C788" t="s">
        <v>217</v>
      </c>
      <c r="D788" t="s">
        <v>40</v>
      </c>
      <c r="E788" s="1" t="s">
        <v>3031</v>
      </c>
      <c r="F788">
        <v>24820335</v>
      </c>
      <c r="G788" t="s">
        <v>42</v>
      </c>
      <c r="H788" s="17">
        <v>82156977000248</v>
      </c>
      <c r="I788" s="17">
        <v>90739624001432</v>
      </c>
      <c r="J788" t="s">
        <v>2</v>
      </c>
      <c r="K788" s="9" t="s">
        <v>3032</v>
      </c>
      <c r="L788" t="s">
        <v>44</v>
      </c>
      <c r="M788">
        <v>168271</v>
      </c>
      <c r="N788" s="2" t="s">
        <v>585</v>
      </c>
      <c r="O788" s="9" t="s">
        <v>3032</v>
      </c>
      <c r="P788" t="s">
        <v>3033</v>
      </c>
      <c r="T788" s="2"/>
      <c r="U788" s="2" t="s">
        <v>718</v>
      </c>
    </row>
    <row r="789" spans="1:21" x14ac:dyDescent="0.3">
      <c r="A789">
        <v>269308</v>
      </c>
      <c r="B789" t="s">
        <v>46</v>
      </c>
      <c r="C789" t="s">
        <v>9</v>
      </c>
      <c r="D789" t="s">
        <v>8</v>
      </c>
      <c r="E789" s="1" t="s">
        <v>3034</v>
      </c>
      <c r="F789">
        <v>24820307</v>
      </c>
      <c r="G789" t="s">
        <v>10</v>
      </c>
      <c r="H789" s="17">
        <v>33286065000102</v>
      </c>
      <c r="I789" s="17">
        <v>9576274000106</v>
      </c>
      <c r="J789" t="s">
        <v>2</v>
      </c>
      <c r="K789" s="9" t="s">
        <v>3035</v>
      </c>
      <c r="L789" t="s">
        <v>44</v>
      </c>
      <c r="M789">
        <v>10386</v>
      </c>
      <c r="N789" s="2" t="s">
        <v>585</v>
      </c>
      <c r="O789" s="9" t="s">
        <v>3035</v>
      </c>
      <c r="P789" t="s">
        <v>3036</v>
      </c>
      <c r="T789" s="2"/>
      <c r="U789" s="2" t="s">
        <v>718</v>
      </c>
    </row>
    <row r="790" spans="1:21" x14ac:dyDescent="0.3">
      <c r="A790">
        <v>269308</v>
      </c>
      <c r="B790" t="s">
        <v>46</v>
      </c>
      <c r="C790" t="s">
        <v>9</v>
      </c>
      <c r="D790" t="s">
        <v>8</v>
      </c>
      <c r="E790" s="1" t="s">
        <v>3037</v>
      </c>
      <c r="F790">
        <v>24820285</v>
      </c>
      <c r="G790" t="s">
        <v>10</v>
      </c>
      <c r="H790" s="17">
        <v>33286065000102</v>
      </c>
      <c r="I790" s="17">
        <v>9576274000106</v>
      </c>
      <c r="J790" t="s">
        <v>17</v>
      </c>
      <c r="K790" s="9" t="s">
        <v>3038</v>
      </c>
      <c r="L790" t="s">
        <v>44</v>
      </c>
      <c r="M790">
        <v>10387</v>
      </c>
      <c r="N790" s="2" t="s">
        <v>585</v>
      </c>
      <c r="O790" s="9" t="s">
        <v>3038</v>
      </c>
      <c r="P790" t="s">
        <v>3039</v>
      </c>
      <c r="T790" s="2"/>
      <c r="U790" s="2" t="s">
        <v>718</v>
      </c>
    </row>
    <row r="791" spans="1:21" x14ac:dyDescent="0.3">
      <c r="A791">
        <v>269308</v>
      </c>
      <c r="B791" t="s">
        <v>46</v>
      </c>
      <c r="C791" t="s">
        <v>387</v>
      </c>
      <c r="D791" t="s">
        <v>58</v>
      </c>
      <c r="E791" s="1" t="s">
        <v>3040</v>
      </c>
      <c r="F791">
        <v>24820269</v>
      </c>
      <c r="G791" t="s">
        <v>480</v>
      </c>
      <c r="H791" s="17">
        <v>7473735019877</v>
      </c>
      <c r="I791" s="17">
        <v>90739624002323</v>
      </c>
      <c r="J791" t="s">
        <v>2</v>
      </c>
      <c r="K791" s="9" t="s">
        <v>3041</v>
      </c>
      <c r="L791" t="s">
        <v>44</v>
      </c>
      <c r="M791">
        <v>57625</v>
      </c>
      <c r="N791" s="2" t="s">
        <v>585</v>
      </c>
      <c r="O791" s="9" t="s">
        <v>3041</v>
      </c>
      <c r="P791" t="s">
        <v>3042</v>
      </c>
      <c r="T791" s="2"/>
      <c r="U791" s="2" t="s">
        <v>718</v>
      </c>
    </row>
    <row r="792" spans="1:21" x14ac:dyDescent="0.3">
      <c r="A792">
        <v>269308</v>
      </c>
      <c r="B792" t="s">
        <v>46</v>
      </c>
      <c r="C792" t="s">
        <v>483</v>
      </c>
      <c r="D792" t="s">
        <v>28</v>
      </c>
      <c r="E792" s="1" t="s">
        <v>3043</v>
      </c>
      <c r="F792">
        <v>24820264</v>
      </c>
      <c r="G792" t="s">
        <v>48</v>
      </c>
      <c r="H792" s="17">
        <v>1272434001002</v>
      </c>
      <c r="I792" s="17">
        <v>90739624001947</v>
      </c>
      <c r="J792" t="s">
        <v>2</v>
      </c>
      <c r="K792" s="9" t="s">
        <v>3044</v>
      </c>
      <c r="L792" t="s">
        <v>44</v>
      </c>
      <c r="M792">
        <v>81203</v>
      </c>
      <c r="N792" s="2" t="s">
        <v>585</v>
      </c>
      <c r="O792" s="9" t="s">
        <v>3044</v>
      </c>
      <c r="P792" t="s">
        <v>3045</v>
      </c>
      <c r="T792" s="2"/>
      <c r="U792" s="2" t="s">
        <v>718</v>
      </c>
    </row>
    <row r="793" spans="1:21" x14ac:dyDescent="0.3">
      <c r="A793">
        <v>269308</v>
      </c>
      <c r="B793" t="s">
        <v>46</v>
      </c>
      <c r="C793" t="s">
        <v>89</v>
      </c>
      <c r="D793" t="s">
        <v>11</v>
      </c>
      <c r="E793" s="1" t="s">
        <v>3046</v>
      </c>
      <c r="F793">
        <v>24820232</v>
      </c>
      <c r="G793" t="s">
        <v>95</v>
      </c>
      <c r="H793" s="17">
        <v>37489429000102</v>
      </c>
      <c r="I793" s="17">
        <v>90739624001947</v>
      </c>
      <c r="J793" t="s">
        <v>2</v>
      </c>
      <c r="K793" s="9" t="s">
        <v>3047</v>
      </c>
      <c r="L793" t="s">
        <v>44</v>
      </c>
      <c r="M793">
        <v>4412</v>
      </c>
      <c r="N793" s="2" t="s">
        <v>585</v>
      </c>
      <c r="O793" s="9" t="s">
        <v>3047</v>
      </c>
      <c r="P793" t="s">
        <v>3048</v>
      </c>
      <c r="T793" s="2"/>
      <c r="U793" s="2" t="s">
        <v>718</v>
      </c>
    </row>
    <row r="794" spans="1:21" x14ac:dyDescent="0.3">
      <c r="A794">
        <v>269308</v>
      </c>
      <c r="B794" t="s">
        <v>46</v>
      </c>
      <c r="C794" t="s">
        <v>47</v>
      </c>
      <c r="D794" t="s">
        <v>28</v>
      </c>
      <c r="E794" s="1" t="s">
        <v>3049</v>
      </c>
      <c r="F794">
        <v>24819883</v>
      </c>
      <c r="G794" t="s">
        <v>48</v>
      </c>
      <c r="H794" s="17">
        <v>1272434001002</v>
      </c>
      <c r="I794" s="17">
        <v>90739624001947</v>
      </c>
      <c r="J794" t="s">
        <v>2</v>
      </c>
      <c r="K794" s="9" t="s">
        <v>556</v>
      </c>
      <c r="L794" t="s">
        <v>44</v>
      </c>
      <c r="M794">
        <v>81201</v>
      </c>
      <c r="N794" s="2" t="s">
        <v>585</v>
      </c>
      <c r="O794" s="9" t="s">
        <v>556</v>
      </c>
      <c r="P794" t="s">
        <v>3050</v>
      </c>
      <c r="T794" s="2"/>
      <c r="U794" s="2" t="s">
        <v>718</v>
      </c>
    </row>
    <row r="795" spans="1:21" x14ac:dyDescent="0.3">
      <c r="A795">
        <v>269308</v>
      </c>
      <c r="B795" t="s">
        <v>46</v>
      </c>
      <c r="C795" t="s">
        <v>317</v>
      </c>
      <c r="D795" t="s">
        <v>49</v>
      </c>
      <c r="E795" s="1" t="s">
        <v>3051</v>
      </c>
      <c r="F795">
        <v>24819855</v>
      </c>
      <c r="G795" t="s">
        <v>51</v>
      </c>
      <c r="H795" s="17">
        <v>2763612000161</v>
      </c>
      <c r="I795" s="17">
        <v>90739624003133</v>
      </c>
      <c r="J795" t="s">
        <v>2</v>
      </c>
      <c r="K795" s="9" t="s">
        <v>3052</v>
      </c>
      <c r="L795" t="s">
        <v>44</v>
      </c>
      <c r="M795">
        <v>162869</v>
      </c>
      <c r="N795" s="2" t="s">
        <v>585</v>
      </c>
      <c r="O795" s="9" t="s">
        <v>3052</v>
      </c>
      <c r="P795" t="s">
        <v>3053</v>
      </c>
      <c r="T795" s="2"/>
      <c r="U795" s="2" t="s">
        <v>718</v>
      </c>
    </row>
    <row r="796" spans="1:21" x14ac:dyDescent="0.3">
      <c r="A796">
        <v>269308</v>
      </c>
      <c r="B796" t="s">
        <v>46</v>
      </c>
      <c r="C796" t="s">
        <v>3054</v>
      </c>
      <c r="D796" t="s">
        <v>8</v>
      </c>
      <c r="E796" s="1" t="s">
        <v>3055</v>
      </c>
      <c r="F796">
        <v>24819669</v>
      </c>
      <c r="G796" t="s">
        <v>144</v>
      </c>
      <c r="H796" s="17">
        <v>37607755000169</v>
      </c>
      <c r="I796" s="17">
        <v>9576274000106</v>
      </c>
      <c r="J796" t="s">
        <v>2</v>
      </c>
      <c r="K796" s="9" t="s">
        <v>3056</v>
      </c>
      <c r="L796" t="s">
        <v>44</v>
      </c>
      <c r="M796">
        <v>8576</v>
      </c>
      <c r="N796" s="2" t="s">
        <v>585</v>
      </c>
      <c r="O796" s="9" t="s">
        <v>3056</v>
      </c>
      <c r="P796" t="s">
        <v>3057</v>
      </c>
      <c r="T796" s="2"/>
      <c r="U796" s="2" t="s">
        <v>718</v>
      </c>
    </row>
    <row r="797" spans="1:21" x14ac:dyDescent="0.3">
      <c r="A797">
        <v>269308</v>
      </c>
      <c r="B797" t="s">
        <v>46</v>
      </c>
      <c r="C797" t="s">
        <v>26</v>
      </c>
      <c r="D797" t="s">
        <v>11</v>
      </c>
      <c r="E797" s="1" t="s">
        <v>3058</v>
      </c>
      <c r="F797">
        <v>24819647</v>
      </c>
      <c r="G797" t="s">
        <v>27</v>
      </c>
      <c r="H797" s="17">
        <v>2031363000110</v>
      </c>
      <c r="I797" s="17">
        <v>90739624001947</v>
      </c>
      <c r="J797" t="s">
        <v>2</v>
      </c>
      <c r="K797" s="9" t="s">
        <v>3059</v>
      </c>
      <c r="L797" t="s">
        <v>44</v>
      </c>
      <c r="M797">
        <v>137669</v>
      </c>
      <c r="N797" s="2" t="s">
        <v>585</v>
      </c>
      <c r="O797" s="9" t="s">
        <v>3059</v>
      </c>
      <c r="P797" t="s">
        <v>3060</v>
      </c>
      <c r="T797" s="2"/>
      <c r="U797" s="2" t="s">
        <v>718</v>
      </c>
    </row>
    <row r="798" spans="1:21" x14ac:dyDescent="0.3">
      <c r="A798">
        <v>269308</v>
      </c>
      <c r="B798" t="s">
        <v>46</v>
      </c>
      <c r="C798" t="s">
        <v>177</v>
      </c>
      <c r="D798" t="s">
        <v>170</v>
      </c>
      <c r="E798" s="1" t="s">
        <v>3061</v>
      </c>
      <c r="F798">
        <v>24819644</v>
      </c>
      <c r="G798" t="s">
        <v>171</v>
      </c>
      <c r="H798" s="17">
        <v>14631967000186</v>
      </c>
      <c r="I798" s="17">
        <v>90739624001432</v>
      </c>
      <c r="J798" t="s">
        <v>2</v>
      </c>
      <c r="K798" s="9" t="s">
        <v>3062</v>
      </c>
      <c r="L798" t="s">
        <v>44</v>
      </c>
      <c r="M798">
        <v>47461</v>
      </c>
      <c r="N798" s="2" t="s">
        <v>585</v>
      </c>
      <c r="O798" s="9" t="s">
        <v>3062</v>
      </c>
      <c r="P798" t="s">
        <v>3063</v>
      </c>
      <c r="T798" s="2"/>
      <c r="U798" s="2" t="s">
        <v>718</v>
      </c>
    </row>
    <row r="799" spans="1:21" x14ac:dyDescent="0.3">
      <c r="A799">
        <v>269308</v>
      </c>
      <c r="B799" t="s">
        <v>46</v>
      </c>
      <c r="C799" t="s">
        <v>597</v>
      </c>
      <c r="D799" t="s">
        <v>49</v>
      </c>
      <c r="E799" s="1" t="s">
        <v>3064</v>
      </c>
      <c r="F799">
        <v>24819514</v>
      </c>
      <c r="G799" t="s">
        <v>51</v>
      </c>
      <c r="H799" s="17">
        <v>2763612000161</v>
      </c>
      <c r="I799" s="17">
        <v>90739624003133</v>
      </c>
      <c r="J799" t="s">
        <v>2</v>
      </c>
      <c r="K799" s="9" t="s">
        <v>3065</v>
      </c>
      <c r="L799" t="s">
        <v>44</v>
      </c>
      <c r="M799">
        <v>162868</v>
      </c>
      <c r="N799" s="2" t="s">
        <v>585</v>
      </c>
      <c r="O799" s="9" t="s">
        <v>3065</v>
      </c>
      <c r="P799" t="s">
        <v>3066</v>
      </c>
      <c r="T799" s="2"/>
      <c r="U799" s="2" t="s">
        <v>718</v>
      </c>
    </row>
    <row r="800" spans="1:21" x14ac:dyDescent="0.3">
      <c r="A800">
        <v>269308</v>
      </c>
      <c r="B800" t="s">
        <v>46</v>
      </c>
      <c r="C800" t="s">
        <v>543</v>
      </c>
      <c r="D800" t="s">
        <v>174</v>
      </c>
      <c r="E800" s="1" t="s">
        <v>3067</v>
      </c>
      <c r="F800">
        <v>24819406</v>
      </c>
      <c r="G800" t="s">
        <v>176</v>
      </c>
      <c r="H800" s="17">
        <v>4219621000111</v>
      </c>
      <c r="I800" s="17">
        <v>90739624000118</v>
      </c>
      <c r="J800" t="s">
        <v>2</v>
      </c>
      <c r="K800" s="9" t="s">
        <v>3068</v>
      </c>
      <c r="L800" t="s">
        <v>44</v>
      </c>
      <c r="M800">
        <v>99044</v>
      </c>
      <c r="N800" s="2" t="s">
        <v>695</v>
      </c>
      <c r="O800" s="9" t="s">
        <v>3068</v>
      </c>
      <c r="P800" t="s">
        <v>3069</v>
      </c>
      <c r="T800" s="2"/>
      <c r="U800" s="2" t="s">
        <v>718</v>
      </c>
    </row>
    <row r="801" spans="1:21" x14ac:dyDescent="0.3">
      <c r="A801">
        <v>269308</v>
      </c>
      <c r="B801" t="s">
        <v>46</v>
      </c>
      <c r="C801" t="s">
        <v>247</v>
      </c>
      <c r="D801" t="s">
        <v>11</v>
      </c>
      <c r="E801" s="1" t="s">
        <v>3070</v>
      </c>
      <c r="F801">
        <v>24819395</v>
      </c>
      <c r="G801" t="s">
        <v>27</v>
      </c>
      <c r="H801" s="17">
        <v>2031363000110</v>
      </c>
      <c r="I801" s="17">
        <v>90739624001947</v>
      </c>
      <c r="J801" t="s">
        <v>2</v>
      </c>
      <c r="K801" s="9" t="s">
        <v>3071</v>
      </c>
      <c r="L801" t="s">
        <v>44</v>
      </c>
      <c r="M801">
        <v>137668</v>
      </c>
      <c r="N801" s="2" t="s">
        <v>585</v>
      </c>
      <c r="O801" s="9" t="s">
        <v>3071</v>
      </c>
      <c r="P801" t="s">
        <v>3072</v>
      </c>
      <c r="T801" s="2"/>
      <c r="U801" s="2" t="s">
        <v>718</v>
      </c>
    </row>
    <row r="802" spans="1:21" x14ac:dyDescent="0.3">
      <c r="A802">
        <v>269308</v>
      </c>
      <c r="B802" t="s">
        <v>46</v>
      </c>
      <c r="C802" t="s">
        <v>3073</v>
      </c>
      <c r="D802" t="s">
        <v>160</v>
      </c>
      <c r="E802" s="1" t="s">
        <v>3074</v>
      </c>
      <c r="F802">
        <v>24819229</v>
      </c>
      <c r="G802" t="s">
        <v>127</v>
      </c>
      <c r="H802" s="17">
        <v>76493295000147</v>
      </c>
      <c r="I802" s="17">
        <v>9576274000106</v>
      </c>
      <c r="J802" t="s">
        <v>2</v>
      </c>
      <c r="K802" s="9" t="s">
        <v>3075</v>
      </c>
      <c r="L802" t="s">
        <v>44</v>
      </c>
      <c r="M802">
        <v>28639</v>
      </c>
      <c r="N802" s="2" t="s">
        <v>585</v>
      </c>
      <c r="O802" s="9" t="s">
        <v>3075</v>
      </c>
      <c r="P802" t="s">
        <v>3076</v>
      </c>
      <c r="T802" s="2"/>
      <c r="U802" s="2" t="s">
        <v>718</v>
      </c>
    </row>
    <row r="803" spans="1:21" x14ac:dyDescent="0.3">
      <c r="A803">
        <v>269308</v>
      </c>
      <c r="B803" t="s">
        <v>46</v>
      </c>
      <c r="C803" t="s">
        <v>223</v>
      </c>
      <c r="D803" t="s">
        <v>49</v>
      </c>
      <c r="E803" s="1" t="s">
        <v>3077</v>
      </c>
      <c r="F803">
        <v>24819223</v>
      </c>
      <c r="G803" t="s">
        <v>51</v>
      </c>
      <c r="H803" s="17">
        <v>2763612000161</v>
      </c>
      <c r="I803" s="17">
        <v>90739624003133</v>
      </c>
      <c r="J803" t="s">
        <v>2</v>
      </c>
      <c r="K803" s="9" t="s">
        <v>3078</v>
      </c>
      <c r="L803" t="s">
        <v>44</v>
      </c>
      <c r="M803">
        <v>162866</v>
      </c>
      <c r="N803" s="2" t="s">
        <v>585</v>
      </c>
      <c r="O803" s="9" t="s">
        <v>3078</v>
      </c>
      <c r="P803" t="s">
        <v>3079</v>
      </c>
      <c r="T803" s="2"/>
      <c r="U803" s="2" t="s">
        <v>718</v>
      </c>
    </row>
    <row r="804" spans="1:21" x14ac:dyDescent="0.3">
      <c r="A804">
        <v>269308</v>
      </c>
      <c r="B804" t="s">
        <v>88</v>
      </c>
      <c r="C804" t="s">
        <v>172</v>
      </c>
      <c r="D804" t="s">
        <v>31</v>
      </c>
      <c r="E804" s="1" t="s">
        <v>3080</v>
      </c>
      <c r="F804">
        <v>24817596</v>
      </c>
      <c r="G804" t="s">
        <v>32</v>
      </c>
      <c r="H804" s="17">
        <v>9001879002619</v>
      </c>
      <c r="I804" s="17"/>
      <c r="J804" t="s">
        <v>2</v>
      </c>
      <c r="K804" s="9" t="s">
        <v>3081</v>
      </c>
      <c r="L804" t="s">
        <v>87</v>
      </c>
      <c r="N804" s="2"/>
      <c r="O804" s="9"/>
      <c r="T804" s="2"/>
      <c r="U804" s="2" t="s">
        <v>718</v>
      </c>
    </row>
    <row r="805" spans="1:21" x14ac:dyDescent="0.3">
      <c r="A805">
        <v>269308</v>
      </c>
      <c r="B805" t="s">
        <v>46</v>
      </c>
      <c r="C805" t="s">
        <v>50</v>
      </c>
      <c r="D805" t="s">
        <v>49</v>
      </c>
      <c r="E805" s="1" t="s">
        <v>3082</v>
      </c>
      <c r="F805">
        <v>24817153</v>
      </c>
      <c r="G805" t="s">
        <v>51</v>
      </c>
      <c r="H805" s="17">
        <v>2763612000161</v>
      </c>
      <c r="I805" s="17">
        <v>90739624003133</v>
      </c>
      <c r="J805" t="s">
        <v>17</v>
      </c>
      <c r="K805" s="9" t="s">
        <v>3083</v>
      </c>
      <c r="L805" t="s">
        <v>44</v>
      </c>
      <c r="M805">
        <v>162864</v>
      </c>
      <c r="N805" s="2" t="s">
        <v>585</v>
      </c>
      <c r="O805" s="9" t="s">
        <v>3083</v>
      </c>
      <c r="P805" t="s">
        <v>3084</v>
      </c>
      <c r="T805" s="2"/>
      <c r="U805" s="2" t="s">
        <v>718</v>
      </c>
    </row>
    <row r="806" spans="1:21" x14ac:dyDescent="0.3">
      <c r="A806">
        <v>269308</v>
      </c>
      <c r="B806" t="s">
        <v>46</v>
      </c>
      <c r="C806" t="s">
        <v>50</v>
      </c>
      <c r="D806" t="s">
        <v>49</v>
      </c>
      <c r="E806" s="1" t="s">
        <v>3085</v>
      </c>
      <c r="F806">
        <v>24817082</v>
      </c>
      <c r="G806" t="s">
        <v>51</v>
      </c>
      <c r="H806" s="17">
        <v>2763612000161</v>
      </c>
      <c r="I806" s="17">
        <v>90739624003133</v>
      </c>
      <c r="J806" t="s">
        <v>2</v>
      </c>
      <c r="K806" s="9" t="s">
        <v>3086</v>
      </c>
      <c r="L806" t="s">
        <v>44</v>
      </c>
      <c r="M806">
        <v>162863</v>
      </c>
      <c r="N806" s="2" t="s">
        <v>585</v>
      </c>
      <c r="O806" s="9" t="s">
        <v>3086</v>
      </c>
      <c r="P806" t="s">
        <v>3087</v>
      </c>
      <c r="T806" s="2"/>
      <c r="U806" s="2" t="s">
        <v>718</v>
      </c>
    </row>
    <row r="807" spans="1:21" x14ac:dyDescent="0.3">
      <c r="A807">
        <v>269308</v>
      </c>
      <c r="B807" t="s">
        <v>46</v>
      </c>
      <c r="C807" t="s">
        <v>101</v>
      </c>
      <c r="D807" t="s">
        <v>100</v>
      </c>
      <c r="E807" s="1" t="s">
        <v>3088</v>
      </c>
      <c r="F807">
        <v>24816997</v>
      </c>
      <c r="G807" t="s">
        <v>143</v>
      </c>
      <c r="H807" s="17">
        <v>4505289000151</v>
      </c>
      <c r="I807" s="17">
        <v>90739624001866</v>
      </c>
      <c r="J807" t="s">
        <v>2</v>
      </c>
      <c r="K807" s="9" t="s">
        <v>3089</v>
      </c>
      <c r="L807" t="s">
        <v>44</v>
      </c>
      <c r="M807">
        <v>11583</v>
      </c>
      <c r="N807" s="2" t="s">
        <v>585</v>
      </c>
      <c r="O807" s="9" t="s">
        <v>3089</v>
      </c>
      <c r="P807" t="s">
        <v>3090</v>
      </c>
      <c r="T807" s="2"/>
      <c r="U807" s="2" t="s">
        <v>718</v>
      </c>
    </row>
    <row r="808" spans="1:21" x14ac:dyDescent="0.3">
      <c r="A808">
        <v>269308</v>
      </c>
      <c r="B808" t="s">
        <v>46</v>
      </c>
      <c r="C808" t="s">
        <v>245</v>
      </c>
      <c r="D808" t="s">
        <v>52</v>
      </c>
      <c r="E808" s="1" t="s">
        <v>3091</v>
      </c>
      <c r="F808">
        <v>24816212</v>
      </c>
      <c r="G808" t="s">
        <v>545</v>
      </c>
      <c r="H808" s="17">
        <v>30429333000282</v>
      </c>
      <c r="I808" s="17">
        <v>9576274000106</v>
      </c>
      <c r="J808" t="s">
        <v>2</v>
      </c>
      <c r="K808" s="9" t="s">
        <v>3092</v>
      </c>
      <c r="L808" t="s">
        <v>44</v>
      </c>
      <c r="M808">
        <v>40677</v>
      </c>
      <c r="N808" s="2" t="s">
        <v>585</v>
      </c>
      <c r="O808" s="9" t="s">
        <v>3092</v>
      </c>
      <c r="P808" t="s">
        <v>3093</v>
      </c>
      <c r="T808" s="2"/>
      <c r="U808" s="2" t="s">
        <v>718</v>
      </c>
    </row>
    <row r="809" spans="1:21" x14ac:dyDescent="0.3">
      <c r="A809">
        <v>269308</v>
      </c>
      <c r="B809" t="s">
        <v>46</v>
      </c>
      <c r="C809" t="s">
        <v>55</v>
      </c>
      <c r="D809" t="s">
        <v>31</v>
      </c>
      <c r="E809" s="1" t="s">
        <v>3094</v>
      </c>
      <c r="F809">
        <v>24816188</v>
      </c>
      <c r="G809" t="s">
        <v>56</v>
      </c>
      <c r="H809" s="17">
        <v>8603562000212</v>
      </c>
      <c r="I809" s="17">
        <v>90739624001866</v>
      </c>
      <c r="J809" t="s">
        <v>2</v>
      </c>
      <c r="K809" s="9" t="s">
        <v>3095</v>
      </c>
      <c r="L809" t="s">
        <v>44</v>
      </c>
      <c r="M809">
        <v>54652</v>
      </c>
      <c r="N809" s="2" t="s">
        <v>585</v>
      </c>
      <c r="O809" s="9" t="s">
        <v>3095</v>
      </c>
      <c r="P809" t="s">
        <v>3096</v>
      </c>
      <c r="T809" s="2"/>
      <c r="U809" s="2" t="s">
        <v>718</v>
      </c>
    </row>
    <row r="810" spans="1:21" x14ac:dyDescent="0.3">
      <c r="A810">
        <v>269308</v>
      </c>
      <c r="B810" t="s">
        <v>46</v>
      </c>
      <c r="C810" t="s">
        <v>563</v>
      </c>
      <c r="D810" t="s">
        <v>25</v>
      </c>
      <c r="E810" s="1" t="s">
        <v>3097</v>
      </c>
      <c r="F810">
        <v>24815590</v>
      </c>
      <c r="G810" t="s">
        <v>236</v>
      </c>
      <c r="H810" s="17">
        <v>17084739000121</v>
      </c>
      <c r="I810" s="17">
        <v>90739624001866</v>
      </c>
      <c r="J810" t="s">
        <v>2</v>
      </c>
      <c r="K810" s="9" t="s">
        <v>3098</v>
      </c>
      <c r="L810" t="s">
        <v>44</v>
      </c>
      <c r="M810">
        <v>342147</v>
      </c>
      <c r="N810" s="2" t="s">
        <v>585</v>
      </c>
      <c r="O810" s="9" t="s">
        <v>3098</v>
      </c>
      <c r="P810" t="s">
        <v>3099</v>
      </c>
      <c r="T810" s="2"/>
      <c r="U810" s="2" t="s">
        <v>718</v>
      </c>
    </row>
    <row r="811" spans="1:21" x14ac:dyDescent="0.3">
      <c r="A811">
        <v>269308</v>
      </c>
      <c r="B811" t="s">
        <v>46</v>
      </c>
      <c r="C811" t="s">
        <v>138</v>
      </c>
      <c r="D811" t="s">
        <v>11</v>
      </c>
      <c r="E811" s="1" t="s">
        <v>3100</v>
      </c>
      <c r="F811">
        <v>24815373</v>
      </c>
      <c r="G811" t="s">
        <v>95</v>
      </c>
      <c r="H811" s="17">
        <v>37489429000102</v>
      </c>
      <c r="I811" s="17">
        <v>90739624001947</v>
      </c>
      <c r="J811" t="s">
        <v>2</v>
      </c>
      <c r="K811" s="9" t="s">
        <v>3101</v>
      </c>
      <c r="L811" t="s">
        <v>44</v>
      </c>
      <c r="M811">
        <v>4411</v>
      </c>
      <c r="N811" s="2" t="s">
        <v>585</v>
      </c>
      <c r="O811" s="9" t="s">
        <v>3101</v>
      </c>
      <c r="P811" t="s">
        <v>3102</v>
      </c>
      <c r="T811" s="2"/>
      <c r="U811" s="2" t="s">
        <v>718</v>
      </c>
    </row>
    <row r="812" spans="1:21" x14ac:dyDescent="0.3">
      <c r="A812">
        <v>269308</v>
      </c>
      <c r="B812" t="s">
        <v>46</v>
      </c>
      <c r="C812" t="s">
        <v>270</v>
      </c>
      <c r="D812" t="s">
        <v>63</v>
      </c>
      <c r="E812" s="1" t="s">
        <v>3103</v>
      </c>
      <c r="F812">
        <v>24814077</v>
      </c>
      <c r="G812" t="s">
        <v>64</v>
      </c>
      <c r="H812" s="17">
        <v>23448964001921</v>
      </c>
      <c r="I812" s="17">
        <v>90739624001432</v>
      </c>
      <c r="J812" t="s">
        <v>2</v>
      </c>
      <c r="K812" s="9" t="s">
        <v>3104</v>
      </c>
      <c r="L812" t="s">
        <v>44</v>
      </c>
      <c r="M812">
        <v>178861</v>
      </c>
      <c r="N812" s="2" t="s">
        <v>585</v>
      </c>
      <c r="O812" s="9" t="s">
        <v>3104</v>
      </c>
      <c r="P812" t="s">
        <v>3105</v>
      </c>
      <c r="T812" s="2"/>
      <c r="U812" s="2" t="s">
        <v>718</v>
      </c>
    </row>
    <row r="813" spans="1:21" x14ac:dyDescent="0.3">
      <c r="A813">
        <v>269308</v>
      </c>
      <c r="B813" t="s">
        <v>46</v>
      </c>
      <c r="C813" t="s">
        <v>638</v>
      </c>
      <c r="D813" t="s">
        <v>61</v>
      </c>
      <c r="E813" s="1" t="s">
        <v>3106</v>
      </c>
      <c r="F813">
        <v>24814000</v>
      </c>
      <c r="G813" t="s">
        <v>85</v>
      </c>
      <c r="H813" s="17">
        <v>1975878000105</v>
      </c>
      <c r="I813" s="17">
        <v>9576274000106</v>
      </c>
      <c r="J813" t="s">
        <v>2</v>
      </c>
      <c r="K813" s="9" t="s">
        <v>3107</v>
      </c>
      <c r="L813" t="s">
        <v>44</v>
      </c>
      <c r="M813">
        <v>2503</v>
      </c>
      <c r="N813" s="2" t="s">
        <v>585</v>
      </c>
      <c r="O813" s="9" t="s">
        <v>3107</v>
      </c>
      <c r="P813" t="s">
        <v>3108</v>
      </c>
      <c r="T813" s="2"/>
      <c r="U813" s="2" t="s">
        <v>718</v>
      </c>
    </row>
    <row r="814" spans="1:21" x14ac:dyDescent="0.3">
      <c r="A814">
        <v>269308</v>
      </c>
      <c r="B814" t="s">
        <v>46</v>
      </c>
      <c r="C814" t="s">
        <v>238</v>
      </c>
      <c r="D814" t="s">
        <v>8</v>
      </c>
      <c r="E814" s="1" t="s">
        <v>3109</v>
      </c>
      <c r="F814">
        <v>24813965</v>
      </c>
      <c r="G814" t="s">
        <v>1394</v>
      </c>
      <c r="H814" s="17">
        <v>30858891000182</v>
      </c>
      <c r="I814" s="17">
        <v>9576274000106</v>
      </c>
      <c r="J814" t="s">
        <v>2</v>
      </c>
      <c r="K814" s="9" t="s">
        <v>3110</v>
      </c>
      <c r="L814" t="s">
        <v>44</v>
      </c>
      <c r="M814">
        <v>2958</v>
      </c>
      <c r="N814" s="2" t="s">
        <v>695</v>
      </c>
      <c r="O814" s="9" t="s">
        <v>3110</v>
      </c>
      <c r="P814" t="s">
        <v>3111</v>
      </c>
      <c r="T814" s="2"/>
      <c r="U814" s="2" t="s">
        <v>718</v>
      </c>
    </row>
    <row r="815" spans="1:21" x14ac:dyDescent="0.3">
      <c r="A815">
        <v>269308</v>
      </c>
      <c r="B815" t="s">
        <v>46</v>
      </c>
      <c r="C815" t="s">
        <v>357</v>
      </c>
      <c r="D815" t="s">
        <v>61</v>
      </c>
      <c r="E815" s="1" t="s">
        <v>3112</v>
      </c>
      <c r="F815">
        <v>24813943</v>
      </c>
      <c r="G815" t="s">
        <v>85</v>
      </c>
      <c r="H815" s="17">
        <v>1975878000105</v>
      </c>
      <c r="I815" s="17">
        <v>9576274000106</v>
      </c>
      <c r="J815" t="s">
        <v>2</v>
      </c>
      <c r="K815" s="9" t="s">
        <v>3113</v>
      </c>
      <c r="L815" t="s">
        <v>44</v>
      </c>
      <c r="M815">
        <v>2502</v>
      </c>
      <c r="N815" s="2" t="s">
        <v>585</v>
      </c>
      <c r="O815" s="9" t="s">
        <v>3113</v>
      </c>
      <c r="P815" t="s">
        <v>3114</v>
      </c>
      <c r="T815" s="2"/>
      <c r="U815" s="2" t="s">
        <v>718</v>
      </c>
    </row>
    <row r="816" spans="1:21" x14ac:dyDescent="0.3">
      <c r="A816">
        <v>269308</v>
      </c>
      <c r="B816" t="s">
        <v>46</v>
      </c>
      <c r="C816" t="s">
        <v>307</v>
      </c>
      <c r="D816" t="s">
        <v>61</v>
      </c>
      <c r="E816" s="1" t="s">
        <v>3115</v>
      </c>
      <c r="F816">
        <v>24813837</v>
      </c>
      <c r="G816" t="s">
        <v>85</v>
      </c>
      <c r="H816" s="17">
        <v>1975878000105</v>
      </c>
      <c r="I816" s="17">
        <v>9576274000106</v>
      </c>
      <c r="J816" t="s">
        <v>2</v>
      </c>
      <c r="K816" s="9" t="s">
        <v>3116</v>
      </c>
      <c r="L816" t="s">
        <v>44</v>
      </c>
      <c r="M816">
        <v>2501</v>
      </c>
      <c r="N816" s="2" t="s">
        <v>585</v>
      </c>
      <c r="O816" s="9" t="s">
        <v>3116</v>
      </c>
      <c r="P816" t="s">
        <v>3117</v>
      </c>
      <c r="T816" s="2"/>
      <c r="U816" s="2" t="s">
        <v>718</v>
      </c>
    </row>
    <row r="817" spans="1:21" x14ac:dyDescent="0.3">
      <c r="A817">
        <v>269308</v>
      </c>
      <c r="B817" t="s">
        <v>46</v>
      </c>
      <c r="C817" t="s">
        <v>530</v>
      </c>
      <c r="D817" t="s">
        <v>61</v>
      </c>
      <c r="E817" s="1" t="s">
        <v>3118</v>
      </c>
      <c r="F817">
        <v>24813626</v>
      </c>
      <c r="G817" t="s">
        <v>85</v>
      </c>
      <c r="H817" s="17">
        <v>1975878000105</v>
      </c>
      <c r="I817" s="17">
        <v>9576274000106</v>
      </c>
      <c r="J817" t="s">
        <v>2</v>
      </c>
      <c r="K817" s="9" t="s">
        <v>3119</v>
      </c>
      <c r="L817" t="s">
        <v>44</v>
      </c>
      <c r="M817">
        <v>2500</v>
      </c>
      <c r="N817" s="2" t="s">
        <v>585</v>
      </c>
      <c r="O817" s="9" t="s">
        <v>3119</v>
      </c>
      <c r="P817" t="s">
        <v>3120</v>
      </c>
      <c r="T817" s="2"/>
      <c r="U817" s="2" t="s">
        <v>718</v>
      </c>
    </row>
    <row r="818" spans="1:21" x14ac:dyDescent="0.3">
      <c r="A818">
        <v>269308</v>
      </c>
      <c r="B818" t="s">
        <v>46</v>
      </c>
      <c r="C818" t="s">
        <v>320</v>
      </c>
      <c r="D818" t="s">
        <v>33</v>
      </c>
      <c r="E818" s="1" t="s">
        <v>3121</v>
      </c>
      <c r="F818">
        <v>24813584</v>
      </c>
      <c r="G818" t="s">
        <v>35</v>
      </c>
      <c r="H818" s="17">
        <v>27933025000102</v>
      </c>
      <c r="I818" s="17">
        <v>9576274000106</v>
      </c>
      <c r="J818" t="s">
        <v>2</v>
      </c>
      <c r="K818" s="9" t="s">
        <v>3122</v>
      </c>
      <c r="L818" t="s">
        <v>44</v>
      </c>
      <c r="M818">
        <v>1128</v>
      </c>
      <c r="N818" s="2" t="s">
        <v>583</v>
      </c>
      <c r="O818" s="9" t="s">
        <v>3122</v>
      </c>
      <c r="P818" t="s">
        <v>3123</v>
      </c>
      <c r="T818" s="2"/>
      <c r="U818" s="2" t="s">
        <v>718</v>
      </c>
    </row>
    <row r="819" spans="1:21" x14ac:dyDescent="0.3">
      <c r="A819">
        <v>269308</v>
      </c>
      <c r="B819" t="s">
        <v>46</v>
      </c>
      <c r="C819" t="s">
        <v>519</v>
      </c>
      <c r="D819" t="s">
        <v>170</v>
      </c>
      <c r="E819" s="1" t="s">
        <v>3124</v>
      </c>
      <c r="F819">
        <v>24813415</v>
      </c>
      <c r="G819" t="s">
        <v>178</v>
      </c>
      <c r="H819" s="17">
        <v>83392050000199</v>
      </c>
      <c r="I819" s="17">
        <v>90739624001432</v>
      </c>
      <c r="J819" t="s">
        <v>2</v>
      </c>
      <c r="K819" s="9" t="s">
        <v>3125</v>
      </c>
      <c r="L819" t="s">
        <v>44</v>
      </c>
      <c r="M819">
        <v>129237</v>
      </c>
      <c r="N819" s="2" t="s">
        <v>585</v>
      </c>
      <c r="O819" s="9" t="s">
        <v>3125</v>
      </c>
      <c r="P819" t="s">
        <v>3126</v>
      </c>
      <c r="T819" s="2"/>
      <c r="U819" s="2" t="s">
        <v>718</v>
      </c>
    </row>
    <row r="820" spans="1:21" x14ac:dyDescent="0.3">
      <c r="A820">
        <v>269308</v>
      </c>
      <c r="B820" t="s">
        <v>46</v>
      </c>
      <c r="C820" t="s">
        <v>546</v>
      </c>
      <c r="D820" t="s">
        <v>73</v>
      </c>
      <c r="E820" s="1" t="s">
        <v>3127</v>
      </c>
      <c r="F820">
        <v>24813230</v>
      </c>
      <c r="G820" t="s">
        <v>237</v>
      </c>
      <c r="H820" s="17">
        <v>7473735006112</v>
      </c>
      <c r="I820" s="17">
        <v>90739624002323</v>
      </c>
      <c r="J820" t="s">
        <v>2</v>
      </c>
      <c r="K820" s="9" t="s">
        <v>3128</v>
      </c>
      <c r="L820" t="s">
        <v>44</v>
      </c>
      <c r="M820">
        <v>21586</v>
      </c>
      <c r="N820" s="2" t="s">
        <v>585</v>
      </c>
      <c r="O820" s="9" t="s">
        <v>3128</v>
      </c>
      <c r="P820" t="s">
        <v>3129</v>
      </c>
      <c r="T820" s="2"/>
      <c r="U820" s="2" t="s">
        <v>718</v>
      </c>
    </row>
    <row r="821" spans="1:21" x14ac:dyDescent="0.3">
      <c r="A821">
        <v>269308</v>
      </c>
      <c r="B821" t="s">
        <v>46</v>
      </c>
      <c r="C821" t="s">
        <v>263</v>
      </c>
      <c r="D821" t="s">
        <v>28</v>
      </c>
      <c r="E821" s="1" t="s">
        <v>3130</v>
      </c>
      <c r="F821">
        <v>24813226</v>
      </c>
      <c r="G821" t="s">
        <v>209</v>
      </c>
      <c r="H821" s="17">
        <v>33360405000190</v>
      </c>
      <c r="I821" s="17">
        <v>90739624001947</v>
      </c>
      <c r="J821" t="s">
        <v>2</v>
      </c>
      <c r="K821" s="9" t="s">
        <v>679</v>
      </c>
      <c r="L821" t="s">
        <v>44</v>
      </c>
      <c r="M821">
        <v>38301</v>
      </c>
      <c r="N821" s="2" t="s">
        <v>585</v>
      </c>
      <c r="O821" s="9" t="s">
        <v>679</v>
      </c>
      <c r="P821" t="s">
        <v>3131</v>
      </c>
      <c r="T821" s="2"/>
      <c r="U821" s="2" t="s">
        <v>718</v>
      </c>
    </row>
    <row r="822" spans="1:21" x14ac:dyDescent="0.3">
      <c r="A822">
        <v>269308</v>
      </c>
      <c r="B822" t="s">
        <v>46</v>
      </c>
      <c r="C822" t="s">
        <v>280</v>
      </c>
      <c r="D822" t="s">
        <v>31</v>
      </c>
      <c r="E822" s="1" t="s">
        <v>3132</v>
      </c>
      <c r="F822">
        <v>24813198</v>
      </c>
      <c r="G822" t="s">
        <v>56</v>
      </c>
      <c r="H822" s="17">
        <v>8603562000212</v>
      </c>
      <c r="I822" s="17">
        <v>90739624001866</v>
      </c>
      <c r="J822" t="s">
        <v>2</v>
      </c>
      <c r="K822" s="9" t="s">
        <v>3133</v>
      </c>
      <c r="L822" t="s">
        <v>44</v>
      </c>
      <c r="M822">
        <v>54656</v>
      </c>
      <c r="N822" s="2" t="s">
        <v>585</v>
      </c>
      <c r="O822" s="9" t="s">
        <v>3133</v>
      </c>
      <c r="P822" t="s">
        <v>3134</v>
      </c>
      <c r="T822" s="2"/>
      <c r="U822" s="2" t="s">
        <v>718</v>
      </c>
    </row>
    <row r="823" spans="1:21" x14ac:dyDescent="0.3">
      <c r="A823">
        <v>269308</v>
      </c>
      <c r="B823" t="s">
        <v>88</v>
      </c>
      <c r="C823" t="s">
        <v>397</v>
      </c>
      <c r="D823" t="s">
        <v>13</v>
      </c>
      <c r="E823" s="1" t="s">
        <v>3135</v>
      </c>
      <c r="F823">
        <v>24813141</v>
      </c>
      <c r="G823" t="s">
        <v>15</v>
      </c>
      <c r="H823" s="17">
        <v>30432373000100</v>
      </c>
      <c r="I823" s="17"/>
      <c r="J823" t="s">
        <v>2</v>
      </c>
      <c r="K823" s="9" t="s">
        <v>3136</v>
      </c>
      <c r="L823" t="s">
        <v>87</v>
      </c>
      <c r="N823" s="2"/>
      <c r="O823" s="9"/>
      <c r="T823" s="2"/>
      <c r="U823" s="2" t="s">
        <v>718</v>
      </c>
    </row>
    <row r="824" spans="1:21" x14ac:dyDescent="0.3">
      <c r="A824">
        <v>269308</v>
      </c>
      <c r="B824" t="s">
        <v>46</v>
      </c>
      <c r="C824" t="s">
        <v>686</v>
      </c>
      <c r="D824" t="s">
        <v>61</v>
      </c>
      <c r="E824" s="1" t="s">
        <v>3137</v>
      </c>
      <c r="F824">
        <v>24813123</v>
      </c>
      <c r="G824" t="s">
        <v>62</v>
      </c>
      <c r="H824" s="17">
        <v>79964177000591</v>
      </c>
      <c r="I824" s="17">
        <v>9576274000106</v>
      </c>
      <c r="J824" t="s">
        <v>2</v>
      </c>
      <c r="K824" s="9" t="s">
        <v>3138</v>
      </c>
      <c r="L824" t="s">
        <v>44</v>
      </c>
      <c r="M824">
        <v>820020</v>
      </c>
      <c r="N824" s="2" t="s">
        <v>585</v>
      </c>
      <c r="O824" s="9" t="s">
        <v>3138</v>
      </c>
      <c r="P824" t="s">
        <v>3139</v>
      </c>
      <c r="T824" s="2"/>
      <c r="U824" s="2" t="s">
        <v>718</v>
      </c>
    </row>
    <row r="825" spans="1:21" x14ac:dyDescent="0.3">
      <c r="A825">
        <v>269308</v>
      </c>
      <c r="B825" t="s">
        <v>46</v>
      </c>
      <c r="C825" t="s">
        <v>637</v>
      </c>
      <c r="D825" t="s">
        <v>61</v>
      </c>
      <c r="E825" s="1" t="s">
        <v>3140</v>
      </c>
      <c r="F825">
        <v>24813091</v>
      </c>
      <c r="G825" t="s">
        <v>85</v>
      </c>
      <c r="H825" s="17">
        <v>1975878000105</v>
      </c>
      <c r="I825" s="17">
        <v>9576274000106</v>
      </c>
      <c r="J825" t="s">
        <v>2</v>
      </c>
      <c r="K825" s="9" t="s">
        <v>3141</v>
      </c>
      <c r="L825" t="s">
        <v>44</v>
      </c>
      <c r="M825">
        <v>2499</v>
      </c>
      <c r="N825" s="2" t="s">
        <v>585</v>
      </c>
      <c r="O825" s="9" t="s">
        <v>3141</v>
      </c>
      <c r="P825" t="s">
        <v>3142</v>
      </c>
      <c r="T825" s="2"/>
      <c r="U825" s="2" t="s">
        <v>718</v>
      </c>
    </row>
    <row r="826" spans="1:21" x14ac:dyDescent="0.3">
      <c r="A826">
        <v>269308</v>
      </c>
      <c r="B826" t="s">
        <v>46</v>
      </c>
      <c r="C826" t="s">
        <v>77</v>
      </c>
      <c r="D826" t="s">
        <v>0</v>
      </c>
      <c r="E826" s="1" t="s">
        <v>3143</v>
      </c>
      <c r="F826">
        <v>24812964</v>
      </c>
      <c r="G826" t="s">
        <v>64</v>
      </c>
      <c r="H826" s="17">
        <v>23448964001921</v>
      </c>
      <c r="I826" s="17">
        <v>90739624001432</v>
      </c>
      <c r="J826" t="s">
        <v>17</v>
      </c>
      <c r="K826" s="9" t="s">
        <v>553</v>
      </c>
      <c r="L826" t="s">
        <v>44</v>
      </c>
      <c r="M826">
        <v>178851</v>
      </c>
      <c r="N826" s="2" t="s">
        <v>585</v>
      </c>
      <c r="O826" s="9" t="s">
        <v>553</v>
      </c>
      <c r="P826" t="s">
        <v>3144</v>
      </c>
      <c r="T826" s="2"/>
      <c r="U826" s="2" t="s">
        <v>718</v>
      </c>
    </row>
    <row r="827" spans="1:21" x14ac:dyDescent="0.3">
      <c r="A827">
        <v>269308</v>
      </c>
      <c r="B827" t="s">
        <v>46</v>
      </c>
      <c r="C827" t="s">
        <v>327</v>
      </c>
      <c r="D827" t="s">
        <v>174</v>
      </c>
      <c r="E827" s="1" t="s">
        <v>3145</v>
      </c>
      <c r="F827">
        <v>24812947</v>
      </c>
      <c r="G827" t="s">
        <v>328</v>
      </c>
      <c r="H827" s="17">
        <v>33210337000182</v>
      </c>
      <c r="I827" s="17">
        <v>90739624000118</v>
      </c>
      <c r="J827" t="s">
        <v>2</v>
      </c>
      <c r="K827" s="9" t="s">
        <v>3146</v>
      </c>
      <c r="L827" t="s">
        <v>44</v>
      </c>
      <c r="M827">
        <v>83124</v>
      </c>
      <c r="N827" s="2" t="s">
        <v>583</v>
      </c>
      <c r="O827" s="9" t="s">
        <v>3146</v>
      </c>
      <c r="P827" t="s">
        <v>3147</v>
      </c>
      <c r="T827" s="2"/>
      <c r="U827" s="2" t="s">
        <v>718</v>
      </c>
    </row>
    <row r="828" spans="1:21" x14ac:dyDescent="0.3">
      <c r="A828">
        <v>269308</v>
      </c>
      <c r="B828" t="s">
        <v>46</v>
      </c>
      <c r="C828" t="s">
        <v>260</v>
      </c>
      <c r="D828" t="s">
        <v>70</v>
      </c>
      <c r="E828" s="1" t="s">
        <v>3148</v>
      </c>
      <c r="F828">
        <v>24812946</v>
      </c>
      <c r="G828" t="s">
        <v>72</v>
      </c>
      <c r="H828" s="17">
        <v>79964177000168</v>
      </c>
      <c r="I828" s="17">
        <v>9576274000106</v>
      </c>
      <c r="J828" t="s">
        <v>2</v>
      </c>
      <c r="K828" s="9" t="s">
        <v>3149</v>
      </c>
      <c r="L828" t="s">
        <v>44</v>
      </c>
      <c r="M828">
        <v>257053</v>
      </c>
      <c r="N828" s="2" t="s">
        <v>585</v>
      </c>
      <c r="O828" s="9" t="s">
        <v>3149</v>
      </c>
      <c r="P828" t="s">
        <v>3150</v>
      </c>
      <c r="T828" s="2"/>
      <c r="U828" s="2" t="s">
        <v>718</v>
      </c>
    </row>
    <row r="829" spans="1:21" x14ac:dyDescent="0.3">
      <c r="A829">
        <v>269308</v>
      </c>
      <c r="B829" t="s">
        <v>46</v>
      </c>
      <c r="C829" t="s">
        <v>77</v>
      </c>
      <c r="D829" t="s">
        <v>0</v>
      </c>
      <c r="E829" s="1" t="s">
        <v>3151</v>
      </c>
      <c r="F829">
        <v>24812943</v>
      </c>
      <c r="G829" t="s">
        <v>64</v>
      </c>
      <c r="H829" s="17">
        <v>23448964001921</v>
      </c>
      <c r="I829" s="17">
        <v>90739624001432</v>
      </c>
      <c r="J829" t="s">
        <v>2</v>
      </c>
      <c r="K829" s="9" t="s">
        <v>3152</v>
      </c>
      <c r="L829" t="s">
        <v>44</v>
      </c>
      <c r="M829">
        <v>178850</v>
      </c>
      <c r="N829" s="2" t="s">
        <v>585</v>
      </c>
      <c r="O829" s="9" t="s">
        <v>3152</v>
      </c>
      <c r="P829" t="s">
        <v>3153</v>
      </c>
      <c r="T829" s="2"/>
      <c r="U829" s="2" t="s">
        <v>718</v>
      </c>
    </row>
    <row r="830" spans="1:21" x14ac:dyDescent="0.3">
      <c r="A830">
        <v>269308</v>
      </c>
      <c r="B830" t="s">
        <v>46</v>
      </c>
      <c r="C830" t="s">
        <v>153</v>
      </c>
      <c r="D830" t="s">
        <v>58</v>
      </c>
      <c r="E830" s="1" t="s">
        <v>3154</v>
      </c>
      <c r="F830">
        <v>24812934</v>
      </c>
      <c r="G830" t="s">
        <v>3155</v>
      </c>
      <c r="H830" s="17">
        <v>7473735017580</v>
      </c>
      <c r="I830" s="17">
        <v>90739624002323</v>
      </c>
      <c r="J830" t="s">
        <v>2</v>
      </c>
      <c r="K830" s="9" t="s">
        <v>3156</v>
      </c>
      <c r="L830" t="s">
        <v>44</v>
      </c>
      <c r="M830">
        <v>18874</v>
      </c>
      <c r="N830" s="2" t="s">
        <v>585</v>
      </c>
      <c r="O830" s="9" t="s">
        <v>3156</v>
      </c>
      <c r="P830" t="s">
        <v>3157</v>
      </c>
      <c r="T830" s="2"/>
      <c r="U830" s="2" t="s">
        <v>718</v>
      </c>
    </row>
    <row r="831" spans="1:21" x14ac:dyDescent="0.3">
      <c r="A831">
        <v>269308</v>
      </c>
      <c r="B831" t="s">
        <v>46</v>
      </c>
      <c r="C831" t="s">
        <v>548</v>
      </c>
      <c r="D831" t="s">
        <v>25</v>
      </c>
      <c r="E831" s="1" t="s">
        <v>3158</v>
      </c>
      <c r="F831">
        <v>24812889</v>
      </c>
      <c r="G831" t="s">
        <v>94</v>
      </c>
      <c r="H831" s="17">
        <v>1300979000186</v>
      </c>
      <c r="I831" s="17">
        <v>90739624001866</v>
      </c>
      <c r="J831" t="s">
        <v>2</v>
      </c>
      <c r="K831" s="9" t="s">
        <v>3159</v>
      </c>
      <c r="L831" t="s">
        <v>44</v>
      </c>
      <c r="M831">
        <v>37542</v>
      </c>
      <c r="N831" s="2" t="s">
        <v>585</v>
      </c>
      <c r="O831" s="9" t="s">
        <v>3159</v>
      </c>
      <c r="P831" t="s">
        <v>3160</v>
      </c>
      <c r="T831" s="2"/>
      <c r="U831" s="2" t="s">
        <v>718</v>
      </c>
    </row>
    <row r="832" spans="1:21" x14ac:dyDescent="0.3">
      <c r="A832">
        <v>269308</v>
      </c>
      <c r="B832" t="s">
        <v>46</v>
      </c>
      <c r="C832" t="s">
        <v>173</v>
      </c>
      <c r="D832" t="s">
        <v>61</v>
      </c>
      <c r="E832" s="1" t="s">
        <v>3161</v>
      </c>
      <c r="F832">
        <v>24812779</v>
      </c>
      <c r="G832" t="s">
        <v>85</v>
      </c>
      <c r="H832" s="17">
        <v>1975878000105</v>
      </c>
      <c r="I832" s="17">
        <v>9576274000106</v>
      </c>
      <c r="J832" t="s">
        <v>2</v>
      </c>
      <c r="K832" s="9" t="s">
        <v>3162</v>
      </c>
      <c r="L832" t="s">
        <v>44</v>
      </c>
      <c r="M832">
        <v>2498</v>
      </c>
      <c r="N832" s="2" t="s">
        <v>585</v>
      </c>
      <c r="O832" s="9" t="s">
        <v>3162</v>
      </c>
      <c r="P832" t="s">
        <v>3163</v>
      </c>
      <c r="T832" s="2"/>
      <c r="U832" s="2" t="s">
        <v>718</v>
      </c>
    </row>
    <row r="833" spans="1:21" x14ac:dyDescent="0.3">
      <c r="A833">
        <v>269308</v>
      </c>
      <c r="B833" t="s">
        <v>46</v>
      </c>
      <c r="C833" t="s">
        <v>251</v>
      </c>
      <c r="D833" t="s">
        <v>8</v>
      </c>
      <c r="E833" s="1" t="s">
        <v>3164</v>
      </c>
      <c r="F833">
        <v>24812403</v>
      </c>
      <c r="G833" t="s">
        <v>333</v>
      </c>
      <c r="H833" s="17">
        <v>2764141000106</v>
      </c>
      <c r="I833" s="17">
        <v>9576274000106</v>
      </c>
      <c r="J833" t="s">
        <v>2</v>
      </c>
      <c r="K833" s="9" t="s">
        <v>621</v>
      </c>
      <c r="L833" t="s">
        <v>44</v>
      </c>
      <c r="M833">
        <v>838286</v>
      </c>
      <c r="N833" s="2" t="s">
        <v>695</v>
      </c>
      <c r="O833" s="9" t="s">
        <v>621</v>
      </c>
      <c r="P833" t="s">
        <v>3165</v>
      </c>
      <c r="T833" s="2"/>
      <c r="U833" s="2" t="s">
        <v>718</v>
      </c>
    </row>
    <row r="834" spans="1:21" x14ac:dyDescent="0.3">
      <c r="A834">
        <v>269308</v>
      </c>
      <c r="B834" t="s">
        <v>46</v>
      </c>
      <c r="C834" t="s">
        <v>338</v>
      </c>
      <c r="D834" t="s">
        <v>58</v>
      </c>
      <c r="E834" s="1" t="s">
        <v>3166</v>
      </c>
      <c r="F834">
        <v>24812382</v>
      </c>
      <c r="G834" t="s">
        <v>69</v>
      </c>
      <c r="H834" s="17">
        <v>7473735015375</v>
      </c>
      <c r="I834" s="17">
        <v>90739624002323</v>
      </c>
      <c r="J834" t="s">
        <v>2</v>
      </c>
      <c r="K834" s="9" t="s">
        <v>3167</v>
      </c>
      <c r="L834" t="s">
        <v>44</v>
      </c>
      <c r="M834">
        <v>26791</v>
      </c>
      <c r="N834" s="2" t="s">
        <v>585</v>
      </c>
      <c r="O834" s="9" t="s">
        <v>3167</v>
      </c>
      <c r="P834" t="s">
        <v>3168</v>
      </c>
      <c r="T834" s="2"/>
      <c r="U834" s="2" t="s">
        <v>718</v>
      </c>
    </row>
    <row r="835" spans="1:21" x14ac:dyDescent="0.3">
      <c r="A835">
        <v>269308</v>
      </c>
      <c r="B835" t="s">
        <v>46</v>
      </c>
      <c r="C835" t="s">
        <v>38</v>
      </c>
      <c r="D835" t="s">
        <v>33</v>
      </c>
      <c r="E835" s="1" t="s">
        <v>3169</v>
      </c>
      <c r="F835">
        <v>24812359</v>
      </c>
      <c r="G835" t="s">
        <v>35</v>
      </c>
      <c r="H835" s="17">
        <v>27933025000102</v>
      </c>
      <c r="I835" s="17">
        <v>9576274000106</v>
      </c>
      <c r="J835" t="s">
        <v>2</v>
      </c>
      <c r="K835" s="9" t="s">
        <v>3170</v>
      </c>
      <c r="L835" t="s">
        <v>44</v>
      </c>
      <c r="M835">
        <v>1127</v>
      </c>
      <c r="N835" s="2" t="s">
        <v>583</v>
      </c>
      <c r="O835" s="9" t="s">
        <v>3170</v>
      </c>
      <c r="P835" t="s">
        <v>3171</v>
      </c>
      <c r="T835" s="2"/>
      <c r="U835" s="2" t="s">
        <v>718</v>
      </c>
    </row>
    <row r="836" spans="1:21" x14ac:dyDescent="0.3">
      <c r="A836">
        <v>269308</v>
      </c>
      <c r="B836" t="s">
        <v>46</v>
      </c>
      <c r="C836" t="s">
        <v>460</v>
      </c>
      <c r="D836" t="s">
        <v>25</v>
      </c>
      <c r="E836" s="1" t="s">
        <v>3172</v>
      </c>
      <c r="F836">
        <v>24812180</v>
      </c>
      <c r="G836" t="s">
        <v>123</v>
      </c>
      <c r="H836" s="17">
        <v>30476433000189</v>
      </c>
      <c r="I836" s="17">
        <v>90739624001866</v>
      </c>
      <c r="J836" t="s">
        <v>2</v>
      </c>
      <c r="K836" s="9" t="s">
        <v>3173</v>
      </c>
      <c r="L836" t="s">
        <v>44</v>
      </c>
      <c r="M836">
        <v>72844</v>
      </c>
      <c r="N836" s="2" t="s">
        <v>585</v>
      </c>
      <c r="O836" s="9" t="s">
        <v>3173</v>
      </c>
      <c r="P836" t="s">
        <v>3174</v>
      </c>
      <c r="T836" s="2"/>
      <c r="U836" s="2" t="s">
        <v>718</v>
      </c>
    </row>
    <row r="837" spans="1:21" x14ac:dyDescent="0.3">
      <c r="A837">
        <v>269308</v>
      </c>
      <c r="B837" t="s">
        <v>46</v>
      </c>
      <c r="C837" t="s">
        <v>592</v>
      </c>
      <c r="D837" t="s">
        <v>61</v>
      </c>
      <c r="E837" s="1" t="s">
        <v>3175</v>
      </c>
      <c r="F837">
        <v>24812160</v>
      </c>
      <c r="G837" t="s">
        <v>3176</v>
      </c>
      <c r="H837" s="17">
        <v>81642308000132</v>
      </c>
      <c r="I837" s="17">
        <v>9576274000106</v>
      </c>
      <c r="J837" t="s">
        <v>2</v>
      </c>
      <c r="K837" s="9" t="s">
        <v>689</v>
      </c>
      <c r="L837" t="s">
        <v>44</v>
      </c>
      <c r="M837">
        <v>466427</v>
      </c>
      <c r="N837" s="2" t="s">
        <v>585</v>
      </c>
      <c r="O837" s="9" t="s">
        <v>689</v>
      </c>
      <c r="P837" t="s">
        <v>3177</v>
      </c>
      <c r="T837" s="2"/>
      <c r="U837" s="2" t="s">
        <v>718</v>
      </c>
    </row>
    <row r="838" spans="1:21" x14ac:dyDescent="0.3">
      <c r="A838">
        <v>269308</v>
      </c>
      <c r="B838" t="s">
        <v>88</v>
      </c>
      <c r="C838" t="s">
        <v>382</v>
      </c>
      <c r="D838" t="s">
        <v>58</v>
      </c>
      <c r="E838" s="1" t="s">
        <v>3178</v>
      </c>
      <c r="F838">
        <v>24812141</v>
      </c>
      <c r="G838" t="s">
        <v>379</v>
      </c>
      <c r="H838" s="17">
        <v>7473735024609</v>
      </c>
      <c r="I838" s="17"/>
      <c r="J838" t="s">
        <v>2</v>
      </c>
      <c r="K838" s="9" t="s">
        <v>3179</v>
      </c>
      <c r="L838" t="s">
        <v>87</v>
      </c>
      <c r="N838" s="2"/>
      <c r="O838" s="9"/>
      <c r="T838" s="2"/>
      <c r="U838" s="2" t="s">
        <v>718</v>
      </c>
    </row>
    <row r="839" spans="1:21" x14ac:dyDescent="0.3">
      <c r="A839">
        <v>269308</v>
      </c>
      <c r="B839" t="s">
        <v>46</v>
      </c>
      <c r="C839" t="s">
        <v>276</v>
      </c>
      <c r="D839" t="s">
        <v>63</v>
      </c>
      <c r="E839" s="1" t="s">
        <v>3180</v>
      </c>
      <c r="F839">
        <v>24812080</v>
      </c>
      <c r="G839" t="s">
        <v>64</v>
      </c>
      <c r="H839" s="17">
        <v>23448964001921</v>
      </c>
      <c r="I839" s="17">
        <v>90739624001432</v>
      </c>
      <c r="J839" t="s">
        <v>2</v>
      </c>
      <c r="K839" s="9" t="s">
        <v>3181</v>
      </c>
      <c r="L839" t="s">
        <v>44</v>
      </c>
      <c r="M839">
        <v>178841</v>
      </c>
      <c r="N839" s="2" t="s">
        <v>585</v>
      </c>
      <c r="O839" s="9" t="s">
        <v>3181</v>
      </c>
      <c r="P839" t="s">
        <v>3182</v>
      </c>
      <c r="T839" s="2"/>
      <c r="U839" s="2" t="s">
        <v>718</v>
      </c>
    </row>
    <row r="840" spans="1:21" x14ac:dyDescent="0.3">
      <c r="A840">
        <v>269308</v>
      </c>
      <c r="B840" t="s">
        <v>46</v>
      </c>
      <c r="C840" t="s">
        <v>304</v>
      </c>
      <c r="D840" t="s">
        <v>61</v>
      </c>
      <c r="E840" s="1" t="s">
        <v>3183</v>
      </c>
      <c r="F840">
        <v>24812074</v>
      </c>
      <c r="G840" t="s">
        <v>79</v>
      </c>
      <c r="H840" s="17">
        <v>7473735000777</v>
      </c>
      <c r="I840" s="17">
        <v>90739624002323</v>
      </c>
      <c r="J840" t="s">
        <v>2</v>
      </c>
      <c r="K840" s="9" t="s">
        <v>3184</v>
      </c>
      <c r="L840" t="s">
        <v>44</v>
      </c>
      <c r="M840">
        <v>32068</v>
      </c>
      <c r="N840" s="2" t="s">
        <v>585</v>
      </c>
      <c r="O840" s="9" t="s">
        <v>3184</v>
      </c>
      <c r="P840" t="s">
        <v>3185</v>
      </c>
      <c r="T840" s="2"/>
      <c r="U840" s="2" t="s">
        <v>718</v>
      </c>
    </row>
    <row r="841" spans="1:21" x14ac:dyDescent="0.3">
      <c r="A841">
        <v>269308</v>
      </c>
      <c r="B841" t="s">
        <v>46</v>
      </c>
      <c r="C841" t="s">
        <v>256</v>
      </c>
      <c r="D841" t="s">
        <v>174</v>
      </c>
      <c r="E841" s="1" t="s">
        <v>3186</v>
      </c>
      <c r="F841">
        <v>24811933</v>
      </c>
      <c r="G841" t="s">
        <v>346</v>
      </c>
      <c r="H841" s="17">
        <v>8318079000105</v>
      </c>
      <c r="I841" s="17">
        <v>90739624000118</v>
      </c>
      <c r="J841" t="s">
        <v>2</v>
      </c>
      <c r="K841" s="9" t="s">
        <v>3187</v>
      </c>
      <c r="L841" t="s">
        <v>44</v>
      </c>
      <c r="M841">
        <v>62249</v>
      </c>
      <c r="N841" s="2" t="s">
        <v>585</v>
      </c>
      <c r="O841" s="9" t="s">
        <v>3187</v>
      </c>
      <c r="P841" t="s">
        <v>3188</v>
      </c>
      <c r="T841" s="2"/>
      <c r="U841" s="2" t="s">
        <v>718</v>
      </c>
    </row>
    <row r="842" spans="1:21" x14ac:dyDescent="0.3">
      <c r="A842">
        <v>269308</v>
      </c>
      <c r="B842" t="s">
        <v>46</v>
      </c>
      <c r="C842" t="s">
        <v>537</v>
      </c>
      <c r="D842" t="s">
        <v>36</v>
      </c>
      <c r="E842" s="1" t="s">
        <v>3189</v>
      </c>
      <c r="F842">
        <v>24811932</v>
      </c>
      <c r="G842" t="s">
        <v>186</v>
      </c>
      <c r="H842" s="17">
        <v>7822636000168</v>
      </c>
      <c r="I842" s="17">
        <v>90739624004458</v>
      </c>
      <c r="J842" t="s">
        <v>2</v>
      </c>
      <c r="K842" s="9" t="s">
        <v>566</v>
      </c>
      <c r="L842" t="s">
        <v>44</v>
      </c>
      <c r="M842">
        <v>16470</v>
      </c>
      <c r="N842" s="2" t="s">
        <v>695</v>
      </c>
      <c r="O842" s="9" t="s">
        <v>566</v>
      </c>
      <c r="P842" t="s">
        <v>3190</v>
      </c>
      <c r="T842" s="2"/>
      <c r="U842" s="2" t="s">
        <v>718</v>
      </c>
    </row>
    <row r="843" spans="1:21" x14ac:dyDescent="0.3">
      <c r="A843">
        <v>269308</v>
      </c>
      <c r="B843" t="s">
        <v>46</v>
      </c>
      <c r="C843" t="s">
        <v>102</v>
      </c>
      <c r="D843" t="s">
        <v>58</v>
      </c>
      <c r="E843" s="1" t="s">
        <v>3191</v>
      </c>
      <c r="F843">
        <v>24811919</v>
      </c>
      <c r="G843" t="s">
        <v>103</v>
      </c>
      <c r="H843" s="17">
        <v>7473735021421</v>
      </c>
      <c r="I843" s="17">
        <v>90739624002323</v>
      </c>
      <c r="J843" t="s">
        <v>2</v>
      </c>
      <c r="K843" s="9" t="s">
        <v>3192</v>
      </c>
      <c r="L843" t="s">
        <v>44</v>
      </c>
      <c r="M843">
        <v>9028</v>
      </c>
      <c r="N843" s="2" t="s">
        <v>585</v>
      </c>
      <c r="O843" s="9" t="s">
        <v>3192</v>
      </c>
      <c r="P843" t="s">
        <v>3193</v>
      </c>
      <c r="T843" s="2"/>
      <c r="U843" s="2" t="s">
        <v>718</v>
      </c>
    </row>
    <row r="844" spans="1:21" x14ac:dyDescent="0.3">
      <c r="A844">
        <v>269308</v>
      </c>
      <c r="B844" t="s">
        <v>46</v>
      </c>
      <c r="C844" t="s">
        <v>96</v>
      </c>
      <c r="D844" t="s">
        <v>70</v>
      </c>
      <c r="E844" s="1" t="s">
        <v>3194</v>
      </c>
      <c r="F844">
        <v>24811912</v>
      </c>
      <c r="G844" t="s">
        <v>72</v>
      </c>
      <c r="H844" s="17">
        <v>79964177000168</v>
      </c>
      <c r="I844" s="17">
        <v>9576274000106</v>
      </c>
      <c r="J844" t="s">
        <v>2</v>
      </c>
      <c r="K844" s="9" t="s">
        <v>3195</v>
      </c>
      <c r="L844" t="s">
        <v>44</v>
      </c>
      <c r="M844">
        <v>257048</v>
      </c>
      <c r="N844" s="2" t="s">
        <v>585</v>
      </c>
      <c r="O844" s="9" t="s">
        <v>3195</v>
      </c>
      <c r="P844" t="s">
        <v>3196</v>
      </c>
      <c r="T844" s="2"/>
      <c r="U844" s="2" t="s">
        <v>718</v>
      </c>
    </row>
    <row r="845" spans="1:21" x14ac:dyDescent="0.3">
      <c r="A845">
        <v>269308</v>
      </c>
      <c r="B845" t="s">
        <v>46</v>
      </c>
      <c r="C845" t="s">
        <v>456</v>
      </c>
      <c r="D845" t="s">
        <v>70</v>
      </c>
      <c r="E845" s="1" t="s">
        <v>3197</v>
      </c>
      <c r="F845">
        <v>24811781</v>
      </c>
      <c r="G845" t="s">
        <v>72</v>
      </c>
      <c r="H845" s="17">
        <v>79964177000168</v>
      </c>
      <c r="I845" s="17">
        <v>9576274000106</v>
      </c>
      <c r="J845" t="s">
        <v>2</v>
      </c>
      <c r="K845" s="9" t="s">
        <v>3198</v>
      </c>
      <c r="L845" t="s">
        <v>44</v>
      </c>
      <c r="M845">
        <v>257047</v>
      </c>
      <c r="N845" s="2" t="s">
        <v>585</v>
      </c>
      <c r="O845" s="9" t="s">
        <v>3198</v>
      </c>
      <c r="P845" t="s">
        <v>3199</v>
      </c>
      <c r="T845" s="2"/>
      <c r="U845" s="2" t="s">
        <v>718</v>
      </c>
    </row>
    <row r="846" spans="1:21" x14ac:dyDescent="0.3">
      <c r="A846">
        <v>269308</v>
      </c>
      <c r="B846" t="s">
        <v>46</v>
      </c>
      <c r="C846" t="s">
        <v>249</v>
      </c>
      <c r="D846" t="s">
        <v>52</v>
      </c>
      <c r="E846" s="1" t="s">
        <v>3200</v>
      </c>
      <c r="F846">
        <v>24811735</v>
      </c>
      <c r="G846" t="s">
        <v>545</v>
      </c>
      <c r="H846" s="17">
        <v>30429333000282</v>
      </c>
      <c r="I846" s="17">
        <v>9576274000106</v>
      </c>
      <c r="J846" t="s">
        <v>2</v>
      </c>
      <c r="K846" s="9" t="s">
        <v>3201</v>
      </c>
      <c r="L846" t="s">
        <v>44</v>
      </c>
      <c r="M846">
        <v>40659</v>
      </c>
      <c r="N846" s="2" t="s">
        <v>585</v>
      </c>
      <c r="O846" s="9" t="s">
        <v>3201</v>
      </c>
      <c r="P846" t="s">
        <v>3202</v>
      </c>
      <c r="T846" s="2"/>
      <c r="U846" s="2" t="s">
        <v>718</v>
      </c>
    </row>
    <row r="847" spans="1:21" x14ac:dyDescent="0.3">
      <c r="A847">
        <v>269308</v>
      </c>
      <c r="B847" t="s">
        <v>46</v>
      </c>
      <c r="C847" t="s">
        <v>510</v>
      </c>
      <c r="D847" t="s">
        <v>36</v>
      </c>
      <c r="E847" s="1" t="s">
        <v>3203</v>
      </c>
      <c r="F847">
        <v>24811705</v>
      </c>
      <c r="G847" t="s">
        <v>186</v>
      </c>
      <c r="H847" s="17">
        <v>7822636000168</v>
      </c>
      <c r="I847" s="17">
        <v>90739624004458</v>
      </c>
      <c r="J847" t="s">
        <v>2</v>
      </c>
      <c r="K847" s="9" t="s">
        <v>3204</v>
      </c>
      <c r="L847" t="s">
        <v>44</v>
      </c>
      <c r="M847">
        <v>4131</v>
      </c>
      <c r="N847" s="2" t="s">
        <v>585</v>
      </c>
      <c r="O847" s="9" t="s">
        <v>3204</v>
      </c>
      <c r="P847" t="s">
        <v>3205</v>
      </c>
      <c r="T847" s="2"/>
      <c r="U847" s="2" t="s">
        <v>718</v>
      </c>
    </row>
    <row r="848" spans="1:21" x14ac:dyDescent="0.3">
      <c r="A848">
        <v>269308</v>
      </c>
      <c r="B848" t="s">
        <v>46</v>
      </c>
      <c r="C848" t="s">
        <v>560</v>
      </c>
      <c r="D848" t="s">
        <v>28</v>
      </c>
      <c r="E848" s="1" t="s">
        <v>3206</v>
      </c>
      <c r="F848">
        <v>24811315</v>
      </c>
      <c r="G848" t="s">
        <v>98</v>
      </c>
      <c r="H848" s="17">
        <v>26914325000173</v>
      </c>
      <c r="I848" s="17">
        <v>90739624001947</v>
      </c>
      <c r="J848" t="s">
        <v>2</v>
      </c>
      <c r="K848" s="9" t="s">
        <v>3207</v>
      </c>
      <c r="L848" t="s">
        <v>44</v>
      </c>
      <c r="M848">
        <v>25753</v>
      </c>
      <c r="N848" s="2" t="s">
        <v>695</v>
      </c>
      <c r="O848" s="9" t="s">
        <v>3207</v>
      </c>
      <c r="P848" t="s">
        <v>3208</v>
      </c>
      <c r="T848" s="2"/>
      <c r="U848" s="2" t="s">
        <v>718</v>
      </c>
    </row>
    <row r="849" spans="1:21" x14ac:dyDescent="0.3">
      <c r="A849">
        <v>269308</v>
      </c>
      <c r="B849" t="s">
        <v>46</v>
      </c>
      <c r="C849" t="s">
        <v>558</v>
      </c>
      <c r="D849" t="s">
        <v>49</v>
      </c>
      <c r="E849" s="1" t="s">
        <v>3209</v>
      </c>
      <c r="F849">
        <v>24811302</v>
      </c>
      <c r="G849" t="s">
        <v>51</v>
      </c>
      <c r="H849" s="17">
        <v>2763612000161</v>
      </c>
      <c r="I849" s="17">
        <v>90739624003133</v>
      </c>
      <c r="J849" t="s">
        <v>2</v>
      </c>
      <c r="K849" s="9" t="s">
        <v>3210</v>
      </c>
      <c r="L849" t="s">
        <v>44</v>
      </c>
      <c r="M849">
        <v>162850</v>
      </c>
      <c r="N849" s="2" t="s">
        <v>585</v>
      </c>
      <c r="O849" s="9" t="s">
        <v>3210</v>
      </c>
      <c r="P849" t="s">
        <v>3211</v>
      </c>
      <c r="T849" s="2"/>
      <c r="U849" s="2" t="s">
        <v>718</v>
      </c>
    </row>
    <row r="850" spans="1:21" x14ac:dyDescent="0.3">
      <c r="A850">
        <v>269308</v>
      </c>
      <c r="B850" t="s">
        <v>46</v>
      </c>
      <c r="C850" t="s">
        <v>476</v>
      </c>
      <c r="D850" t="s">
        <v>170</v>
      </c>
      <c r="E850" s="1" t="s">
        <v>3212</v>
      </c>
      <c r="F850">
        <v>24811277</v>
      </c>
      <c r="G850" t="s">
        <v>178</v>
      </c>
      <c r="H850" s="17">
        <v>83392050000199</v>
      </c>
      <c r="I850" s="17">
        <v>90739624001432</v>
      </c>
      <c r="J850" t="s">
        <v>2</v>
      </c>
      <c r="K850" s="9" t="s">
        <v>3213</v>
      </c>
      <c r="L850" t="s">
        <v>44</v>
      </c>
      <c r="M850">
        <v>129206</v>
      </c>
      <c r="N850" s="2" t="s">
        <v>585</v>
      </c>
      <c r="O850" s="9" t="s">
        <v>3213</v>
      </c>
      <c r="P850" t="s">
        <v>3214</v>
      </c>
      <c r="T850" s="2"/>
      <c r="U850" s="2" t="s">
        <v>718</v>
      </c>
    </row>
    <row r="851" spans="1:21" x14ac:dyDescent="0.3">
      <c r="A851">
        <v>269308</v>
      </c>
      <c r="B851" t="s">
        <v>46</v>
      </c>
      <c r="C851" t="s">
        <v>524</v>
      </c>
      <c r="D851" t="s">
        <v>11</v>
      </c>
      <c r="E851" s="1" t="s">
        <v>3215</v>
      </c>
      <c r="F851">
        <v>24811264</v>
      </c>
      <c r="G851" t="s">
        <v>95</v>
      </c>
      <c r="H851" s="17">
        <v>37489429000102</v>
      </c>
      <c r="I851" s="17">
        <v>90739624001947</v>
      </c>
      <c r="J851" t="s">
        <v>2</v>
      </c>
      <c r="K851" s="9" t="s">
        <v>3216</v>
      </c>
      <c r="L851" t="s">
        <v>44</v>
      </c>
      <c r="M851">
        <v>4410</v>
      </c>
      <c r="N851" s="2" t="s">
        <v>585</v>
      </c>
      <c r="O851" s="9" t="s">
        <v>3216</v>
      </c>
      <c r="P851" t="s">
        <v>3217</v>
      </c>
      <c r="T851" s="2"/>
      <c r="U851" s="2" t="s">
        <v>718</v>
      </c>
    </row>
    <row r="852" spans="1:21" x14ac:dyDescent="0.3">
      <c r="A852">
        <v>269308</v>
      </c>
      <c r="B852" t="s">
        <v>46</v>
      </c>
      <c r="C852" t="s">
        <v>3218</v>
      </c>
      <c r="D852" t="s">
        <v>126</v>
      </c>
      <c r="E852" s="1" t="s">
        <v>3219</v>
      </c>
      <c r="F852">
        <v>24811253</v>
      </c>
      <c r="G852" t="s">
        <v>127</v>
      </c>
      <c r="H852" s="17">
        <v>76493295000147</v>
      </c>
      <c r="I852" s="17">
        <v>9576274000106</v>
      </c>
      <c r="J852" t="s">
        <v>2</v>
      </c>
      <c r="K852" s="9" t="s">
        <v>696</v>
      </c>
      <c r="L852" t="s">
        <v>44</v>
      </c>
      <c r="M852">
        <v>28600</v>
      </c>
      <c r="N852" s="2" t="s">
        <v>585</v>
      </c>
      <c r="O852" s="9" t="s">
        <v>696</v>
      </c>
      <c r="P852" t="s">
        <v>3220</v>
      </c>
      <c r="T852" s="2"/>
      <c r="U852" s="2" t="s">
        <v>718</v>
      </c>
    </row>
    <row r="853" spans="1:21" x14ac:dyDescent="0.3">
      <c r="A853">
        <v>269308</v>
      </c>
      <c r="B853" t="s">
        <v>46</v>
      </c>
      <c r="C853" t="s">
        <v>105</v>
      </c>
      <c r="D853" t="s">
        <v>31</v>
      </c>
      <c r="E853" s="1" t="s">
        <v>3221</v>
      </c>
      <c r="F853">
        <v>24811178</v>
      </c>
      <c r="G853" t="s">
        <v>505</v>
      </c>
      <c r="H853" s="17">
        <v>5082661000550</v>
      </c>
      <c r="I853" s="17">
        <v>90739624001866</v>
      </c>
      <c r="J853" t="s">
        <v>2</v>
      </c>
      <c r="K853" s="9" t="s">
        <v>3222</v>
      </c>
      <c r="L853" t="s">
        <v>44</v>
      </c>
      <c r="M853">
        <v>52528</v>
      </c>
      <c r="N853" s="2" t="s">
        <v>585</v>
      </c>
      <c r="O853" s="9" t="s">
        <v>3222</v>
      </c>
      <c r="P853" t="s">
        <v>3223</v>
      </c>
      <c r="T853" s="2"/>
      <c r="U853" s="2" t="s">
        <v>718</v>
      </c>
    </row>
    <row r="854" spans="1:21" x14ac:dyDescent="0.3">
      <c r="A854">
        <v>269308</v>
      </c>
      <c r="B854" t="s">
        <v>46</v>
      </c>
      <c r="C854" t="s">
        <v>116</v>
      </c>
      <c r="D854" t="s">
        <v>11</v>
      </c>
      <c r="E854" s="1" t="s">
        <v>3224</v>
      </c>
      <c r="F854">
        <v>24811132</v>
      </c>
      <c r="G854" t="s">
        <v>90</v>
      </c>
      <c r="H854" s="17">
        <v>50780684000160</v>
      </c>
      <c r="I854" s="17">
        <v>90739624001947</v>
      </c>
      <c r="J854" t="s">
        <v>2</v>
      </c>
      <c r="K854" s="9" t="s">
        <v>3225</v>
      </c>
      <c r="L854" t="s">
        <v>44</v>
      </c>
      <c r="M854">
        <v>5384</v>
      </c>
      <c r="N854" s="2" t="s">
        <v>581</v>
      </c>
      <c r="O854" s="9" t="s">
        <v>3225</v>
      </c>
      <c r="P854" t="s">
        <v>3226</v>
      </c>
      <c r="T854" s="2"/>
      <c r="U854" s="2" t="s">
        <v>718</v>
      </c>
    </row>
    <row r="855" spans="1:21" x14ac:dyDescent="0.3">
      <c r="A855">
        <v>269308</v>
      </c>
      <c r="B855" t="s">
        <v>46</v>
      </c>
      <c r="C855" t="s">
        <v>215</v>
      </c>
      <c r="D855" t="s">
        <v>120</v>
      </c>
      <c r="E855" s="1" t="s">
        <v>3227</v>
      </c>
      <c r="F855">
        <v>24810755</v>
      </c>
      <c r="G855" t="s">
        <v>157</v>
      </c>
      <c r="H855" s="17">
        <v>78253424000155</v>
      </c>
      <c r="I855" s="17">
        <v>90739624001432</v>
      </c>
      <c r="J855" t="s">
        <v>2</v>
      </c>
      <c r="K855" s="9" t="s">
        <v>3228</v>
      </c>
      <c r="L855" t="s">
        <v>44</v>
      </c>
      <c r="M855">
        <v>38084</v>
      </c>
      <c r="N855" s="2" t="s">
        <v>585</v>
      </c>
      <c r="O855" s="9" t="s">
        <v>3228</v>
      </c>
      <c r="P855" t="s">
        <v>3229</v>
      </c>
      <c r="T855" s="2"/>
      <c r="U855" s="2" t="s">
        <v>718</v>
      </c>
    </row>
    <row r="856" spans="1:21" x14ac:dyDescent="0.3">
      <c r="A856">
        <v>269308</v>
      </c>
      <c r="B856" t="s">
        <v>46</v>
      </c>
      <c r="C856" t="s">
        <v>3230</v>
      </c>
      <c r="D856" t="s">
        <v>31</v>
      </c>
      <c r="E856" s="1" t="s">
        <v>3231</v>
      </c>
      <c r="F856">
        <v>24810729</v>
      </c>
      <c r="G856" t="s">
        <v>56</v>
      </c>
      <c r="H856" s="17">
        <v>8603562000212</v>
      </c>
      <c r="I856" s="17">
        <v>90739624001866</v>
      </c>
      <c r="J856" t="s">
        <v>2</v>
      </c>
      <c r="K856" s="9" t="s">
        <v>3232</v>
      </c>
      <c r="L856" t="s">
        <v>44</v>
      </c>
      <c r="M856">
        <v>1901</v>
      </c>
      <c r="N856" s="2" t="s">
        <v>583</v>
      </c>
      <c r="O856" s="9" t="s">
        <v>3232</v>
      </c>
      <c r="P856" t="s">
        <v>3233</v>
      </c>
      <c r="T856" s="2"/>
      <c r="U856" s="2" t="s">
        <v>718</v>
      </c>
    </row>
    <row r="857" spans="1:21" x14ac:dyDescent="0.3">
      <c r="A857">
        <v>269308</v>
      </c>
      <c r="B857" t="s">
        <v>46</v>
      </c>
      <c r="C857" t="s">
        <v>474</v>
      </c>
      <c r="D857" t="s">
        <v>99</v>
      </c>
      <c r="E857" s="1" t="s">
        <v>3234</v>
      </c>
      <c r="F857">
        <v>24810332</v>
      </c>
      <c r="G857" t="s">
        <v>507</v>
      </c>
      <c r="H857" s="17">
        <v>3626094001330</v>
      </c>
      <c r="I857" s="17">
        <v>9576274000106</v>
      </c>
      <c r="J857" t="s">
        <v>2</v>
      </c>
      <c r="K857" s="9" t="s">
        <v>659</v>
      </c>
      <c r="L857" t="s">
        <v>44</v>
      </c>
      <c r="M857">
        <v>50484</v>
      </c>
      <c r="N857" s="2" t="s">
        <v>585</v>
      </c>
      <c r="O857" s="9" t="s">
        <v>659</v>
      </c>
      <c r="P857" t="s">
        <v>3235</v>
      </c>
      <c r="T857" s="2"/>
      <c r="U857" s="2" t="s">
        <v>718</v>
      </c>
    </row>
    <row r="858" spans="1:21" x14ac:dyDescent="0.3">
      <c r="A858">
        <v>269308</v>
      </c>
      <c r="B858" t="s">
        <v>46</v>
      </c>
      <c r="C858" t="s">
        <v>91</v>
      </c>
      <c r="D858" t="s">
        <v>28</v>
      </c>
      <c r="E858" s="1" t="s">
        <v>3236</v>
      </c>
      <c r="F858">
        <v>24810319</v>
      </c>
      <c r="G858" t="s">
        <v>92</v>
      </c>
      <c r="H858" s="17">
        <v>2310460000141</v>
      </c>
      <c r="I858" s="17">
        <v>90739624001947</v>
      </c>
      <c r="J858" t="s">
        <v>2</v>
      </c>
      <c r="K858" s="9" t="s">
        <v>3237</v>
      </c>
      <c r="L858" t="s">
        <v>44</v>
      </c>
      <c r="M858">
        <v>53727</v>
      </c>
      <c r="N858" s="2" t="s">
        <v>585</v>
      </c>
      <c r="O858" s="9" t="s">
        <v>3237</v>
      </c>
      <c r="P858" t="s">
        <v>3238</v>
      </c>
      <c r="T858" s="2"/>
      <c r="U858" s="2" t="s">
        <v>718</v>
      </c>
    </row>
    <row r="859" spans="1:21" x14ac:dyDescent="0.3">
      <c r="A859">
        <v>269308</v>
      </c>
      <c r="B859" t="s">
        <v>88</v>
      </c>
      <c r="C859" t="s">
        <v>273</v>
      </c>
      <c r="D859" t="s">
        <v>31</v>
      </c>
      <c r="E859" s="1" t="s">
        <v>3239</v>
      </c>
      <c r="F859">
        <v>24810296</v>
      </c>
      <c r="G859" t="s">
        <v>32</v>
      </c>
      <c r="H859" s="17">
        <v>9001879002619</v>
      </c>
      <c r="I859" s="17"/>
      <c r="J859" t="s">
        <v>2</v>
      </c>
      <c r="K859" s="9" t="s">
        <v>3240</v>
      </c>
      <c r="L859" t="s">
        <v>87</v>
      </c>
      <c r="N859" s="2"/>
      <c r="O859" s="9"/>
      <c r="T859" s="2"/>
      <c r="U859" s="2" t="s">
        <v>718</v>
      </c>
    </row>
    <row r="860" spans="1:21" x14ac:dyDescent="0.3">
      <c r="A860">
        <v>269308</v>
      </c>
      <c r="B860" t="s">
        <v>46</v>
      </c>
      <c r="C860" t="s">
        <v>39</v>
      </c>
      <c r="D860" t="s">
        <v>18</v>
      </c>
      <c r="E860" s="1" t="s">
        <v>3241</v>
      </c>
      <c r="F860">
        <v>24810264</v>
      </c>
      <c r="G860" t="s">
        <v>54</v>
      </c>
      <c r="H860" s="17">
        <v>79130647000198</v>
      </c>
      <c r="I860" s="17">
        <v>9576274000106</v>
      </c>
      <c r="J860" t="s">
        <v>2</v>
      </c>
      <c r="K860" s="9" t="s">
        <v>3242</v>
      </c>
      <c r="L860" t="s">
        <v>44</v>
      </c>
      <c r="M860">
        <v>20203</v>
      </c>
      <c r="N860" s="2" t="s">
        <v>585</v>
      </c>
      <c r="O860" s="9" t="s">
        <v>3242</v>
      </c>
      <c r="P860" t="s">
        <v>3243</v>
      </c>
      <c r="T860" s="2"/>
      <c r="U860" s="2" t="s">
        <v>718</v>
      </c>
    </row>
    <row r="861" spans="1:21" x14ac:dyDescent="0.3">
      <c r="A861">
        <v>269308</v>
      </c>
      <c r="B861" t="s">
        <v>46</v>
      </c>
      <c r="C861" t="s">
        <v>179</v>
      </c>
      <c r="D861" t="s">
        <v>33</v>
      </c>
      <c r="E861" s="1" t="s">
        <v>3244</v>
      </c>
      <c r="F861">
        <v>24810106</v>
      </c>
      <c r="G861" t="s">
        <v>35</v>
      </c>
      <c r="H861" s="17">
        <v>27933025000102</v>
      </c>
      <c r="I861" s="17">
        <v>9576274000106</v>
      </c>
      <c r="J861" t="s">
        <v>2</v>
      </c>
      <c r="K861" s="9" t="s">
        <v>3245</v>
      </c>
      <c r="L861" t="s">
        <v>44</v>
      </c>
      <c r="M861">
        <v>1129</v>
      </c>
      <c r="N861" s="2" t="s">
        <v>583</v>
      </c>
      <c r="O861" s="9" t="s">
        <v>3245</v>
      </c>
      <c r="P861" t="s">
        <v>3246</v>
      </c>
      <c r="T861" s="2"/>
      <c r="U861" s="2" t="s">
        <v>718</v>
      </c>
    </row>
    <row r="862" spans="1:21" x14ac:dyDescent="0.3">
      <c r="A862">
        <v>269308</v>
      </c>
      <c r="B862" t="s">
        <v>46</v>
      </c>
      <c r="C862" t="s">
        <v>110</v>
      </c>
      <c r="D862" t="s">
        <v>31</v>
      </c>
      <c r="E862" s="1" t="s">
        <v>3247</v>
      </c>
      <c r="F862">
        <v>24810101</v>
      </c>
      <c r="G862" t="s">
        <v>111</v>
      </c>
      <c r="H862" s="17">
        <v>32951238000199</v>
      </c>
      <c r="I862" s="17">
        <v>90739624001866</v>
      </c>
      <c r="J862" t="s">
        <v>2</v>
      </c>
      <c r="K862" s="9" t="s">
        <v>3248</v>
      </c>
      <c r="L862" t="s">
        <v>44</v>
      </c>
      <c r="M862">
        <v>43715</v>
      </c>
      <c r="N862" s="2" t="s">
        <v>695</v>
      </c>
      <c r="O862" s="9" t="s">
        <v>3248</v>
      </c>
      <c r="P862" t="s">
        <v>3249</v>
      </c>
      <c r="T862" s="2"/>
      <c r="U862" s="2" t="s">
        <v>718</v>
      </c>
    </row>
    <row r="863" spans="1:21" x14ac:dyDescent="0.3">
      <c r="A863">
        <v>269308</v>
      </c>
      <c r="B863" t="s">
        <v>46</v>
      </c>
      <c r="C863" t="s">
        <v>586</v>
      </c>
      <c r="D863" t="s">
        <v>25</v>
      </c>
      <c r="E863" s="1" t="s">
        <v>3250</v>
      </c>
      <c r="F863">
        <v>24810020</v>
      </c>
      <c r="G863" t="s">
        <v>94</v>
      </c>
      <c r="H863" s="17">
        <v>1300979000186</v>
      </c>
      <c r="I863" s="17">
        <v>90739624001866</v>
      </c>
      <c r="J863" t="s">
        <v>2</v>
      </c>
      <c r="K863" s="9" t="s">
        <v>3251</v>
      </c>
      <c r="L863" t="s">
        <v>44</v>
      </c>
      <c r="M863">
        <v>37541</v>
      </c>
      <c r="N863" s="2" t="s">
        <v>585</v>
      </c>
      <c r="O863" s="9" t="s">
        <v>3251</v>
      </c>
      <c r="P863" t="s">
        <v>3252</v>
      </c>
      <c r="T863" s="2"/>
      <c r="U863" s="2" t="s">
        <v>718</v>
      </c>
    </row>
    <row r="864" spans="1:21" x14ac:dyDescent="0.3">
      <c r="A864">
        <v>269308</v>
      </c>
      <c r="B864" t="s">
        <v>46</v>
      </c>
      <c r="C864" t="s">
        <v>107</v>
      </c>
      <c r="D864" t="s">
        <v>65</v>
      </c>
      <c r="E864" s="1" t="s">
        <v>3253</v>
      </c>
      <c r="F864">
        <v>24809974</v>
      </c>
      <c r="G864" t="s">
        <v>67</v>
      </c>
      <c r="H864" s="17">
        <v>7473735006031</v>
      </c>
      <c r="I864" s="17">
        <v>90739624002323</v>
      </c>
      <c r="J864" t="s">
        <v>2</v>
      </c>
      <c r="K864" s="9" t="s">
        <v>3254</v>
      </c>
      <c r="L864" t="s">
        <v>44</v>
      </c>
      <c r="M864">
        <v>75140</v>
      </c>
      <c r="N864" s="2" t="s">
        <v>585</v>
      </c>
      <c r="O864" s="9" t="s">
        <v>3254</v>
      </c>
      <c r="P864" t="s">
        <v>3255</v>
      </c>
      <c r="T864" s="2"/>
      <c r="U864" s="2" t="s">
        <v>718</v>
      </c>
    </row>
    <row r="865" spans="1:21" x14ac:dyDescent="0.3">
      <c r="A865">
        <v>269308</v>
      </c>
      <c r="B865" t="s">
        <v>46</v>
      </c>
      <c r="C865" t="s">
        <v>469</v>
      </c>
      <c r="D865" t="s">
        <v>65</v>
      </c>
      <c r="E865" s="1" t="s">
        <v>3256</v>
      </c>
      <c r="F865">
        <v>24809952</v>
      </c>
      <c r="G865" t="s">
        <v>67</v>
      </c>
      <c r="H865" s="17">
        <v>7473735006031</v>
      </c>
      <c r="I865" s="17">
        <v>90739624002323</v>
      </c>
      <c r="J865" t="s">
        <v>2</v>
      </c>
      <c r="K865" s="9" t="s">
        <v>3257</v>
      </c>
      <c r="L865" t="s">
        <v>44</v>
      </c>
      <c r="M865">
        <v>75139</v>
      </c>
      <c r="N865" s="2" t="s">
        <v>585</v>
      </c>
      <c r="O865" s="9" t="s">
        <v>3257</v>
      </c>
      <c r="P865" t="s">
        <v>3258</v>
      </c>
      <c r="T865" s="2"/>
      <c r="U865" s="2" t="s">
        <v>718</v>
      </c>
    </row>
    <row r="866" spans="1:21" x14ac:dyDescent="0.3">
      <c r="A866">
        <v>269308</v>
      </c>
      <c r="B866" t="s">
        <v>46</v>
      </c>
      <c r="C866" t="s">
        <v>336</v>
      </c>
      <c r="D866" t="s">
        <v>13</v>
      </c>
      <c r="E866" s="1" t="s">
        <v>3256</v>
      </c>
      <c r="F866">
        <v>24809951</v>
      </c>
      <c r="G866" t="s">
        <v>337</v>
      </c>
      <c r="H866" s="17">
        <v>6068493000188</v>
      </c>
      <c r="I866" s="17">
        <v>90739624000380</v>
      </c>
      <c r="J866" t="s">
        <v>17</v>
      </c>
      <c r="K866" s="9" t="s">
        <v>3259</v>
      </c>
      <c r="L866" t="s">
        <v>44</v>
      </c>
      <c r="M866">
        <v>263820</v>
      </c>
      <c r="N866" s="2" t="s">
        <v>695</v>
      </c>
      <c r="O866" s="9" t="s">
        <v>3260</v>
      </c>
      <c r="P866" t="s">
        <v>3261</v>
      </c>
      <c r="T866" s="2"/>
      <c r="U866" s="2" t="s">
        <v>718</v>
      </c>
    </row>
    <row r="867" spans="1:21" x14ac:dyDescent="0.3">
      <c r="A867">
        <v>269308</v>
      </c>
      <c r="B867" t="s">
        <v>46</v>
      </c>
      <c r="C867" t="s">
        <v>336</v>
      </c>
      <c r="D867" t="s">
        <v>13</v>
      </c>
      <c r="E867" s="1" t="s">
        <v>3262</v>
      </c>
      <c r="F867">
        <v>24809941</v>
      </c>
      <c r="G867" t="s">
        <v>337</v>
      </c>
      <c r="H867" s="17">
        <v>6068493000188</v>
      </c>
      <c r="I867" s="17">
        <v>90739624000380</v>
      </c>
      <c r="J867" t="s">
        <v>2</v>
      </c>
      <c r="K867" s="9" t="s">
        <v>704</v>
      </c>
      <c r="L867" t="s">
        <v>44</v>
      </c>
      <c r="M867">
        <v>263820</v>
      </c>
      <c r="N867" s="2" t="s">
        <v>695</v>
      </c>
      <c r="O867" s="9" t="s">
        <v>3260</v>
      </c>
      <c r="P867" t="s">
        <v>3261</v>
      </c>
      <c r="T867" s="2"/>
      <c r="U867" s="2" t="s">
        <v>718</v>
      </c>
    </row>
    <row r="868" spans="1:21" x14ac:dyDescent="0.3">
      <c r="A868">
        <v>269308</v>
      </c>
      <c r="B868" t="s">
        <v>46</v>
      </c>
      <c r="C868" t="s">
        <v>66</v>
      </c>
      <c r="D868" t="s">
        <v>65</v>
      </c>
      <c r="E868" s="1" t="s">
        <v>3263</v>
      </c>
      <c r="F868">
        <v>24809861</v>
      </c>
      <c r="G868" t="s">
        <v>67</v>
      </c>
      <c r="H868" s="17">
        <v>7473735006031</v>
      </c>
      <c r="I868" s="17">
        <v>90739624002323</v>
      </c>
      <c r="J868" t="s">
        <v>2</v>
      </c>
      <c r="K868" s="9" t="s">
        <v>3264</v>
      </c>
      <c r="L868" t="s">
        <v>44</v>
      </c>
      <c r="M868">
        <v>75137</v>
      </c>
      <c r="N868" s="2" t="s">
        <v>585</v>
      </c>
      <c r="O868" s="9" t="s">
        <v>3264</v>
      </c>
      <c r="P868" t="s">
        <v>3265</v>
      </c>
      <c r="T868" s="2"/>
      <c r="U868" s="2" t="s">
        <v>718</v>
      </c>
    </row>
    <row r="869" spans="1:21" x14ac:dyDescent="0.3">
      <c r="A869">
        <v>269308</v>
      </c>
      <c r="B869" t="s">
        <v>46</v>
      </c>
      <c r="C869" t="s">
        <v>129</v>
      </c>
      <c r="D869" t="s">
        <v>25</v>
      </c>
      <c r="E869" s="1" t="s">
        <v>3266</v>
      </c>
      <c r="F869">
        <v>24809398</v>
      </c>
      <c r="G869" t="s">
        <v>130</v>
      </c>
      <c r="H869" s="17">
        <v>1594553000182</v>
      </c>
      <c r="I869" s="17">
        <v>90739624001866</v>
      </c>
      <c r="J869" t="s">
        <v>2</v>
      </c>
      <c r="K869" s="9" t="s">
        <v>3267</v>
      </c>
      <c r="L869" t="s">
        <v>44</v>
      </c>
      <c r="M869">
        <v>74344</v>
      </c>
      <c r="N869" s="2" t="s">
        <v>585</v>
      </c>
      <c r="O869" s="9" t="s">
        <v>3267</v>
      </c>
      <c r="P869" t="s">
        <v>3268</v>
      </c>
      <c r="T869" s="2"/>
      <c r="U869" s="2" t="s">
        <v>718</v>
      </c>
    </row>
    <row r="870" spans="1:21" x14ac:dyDescent="0.3">
      <c r="A870">
        <v>269308</v>
      </c>
      <c r="B870" t="s">
        <v>46</v>
      </c>
      <c r="C870" t="s">
        <v>354</v>
      </c>
      <c r="D870" t="s">
        <v>25</v>
      </c>
      <c r="E870" s="1" t="s">
        <v>3269</v>
      </c>
      <c r="F870">
        <v>24809269</v>
      </c>
      <c r="G870" t="s">
        <v>132</v>
      </c>
      <c r="H870" s="17">
        <v>10588554000105</v>
      </c>
      <c r="I870" s="17">
        <v>90739624003486</v>
      </c>
      <c r="J870" t="s">
        <v>2</v>
      </c>
      <c r="K870" s="9" t="s">
        <v>3270</v>
      </c>
      <c r="L870" t="s">
        <v>44</v>
      </c>
      <c r="M870">
        <v>33909</v>
      </c>
      <c r="N870" s="2" t="s">
        <v>585</v>
      </c>
      <c r="O870" s="9" t="s">
        <v>3270</v>
      </c>
      <c r="P870" t="s">
        <v>3271</v>
      </c>
      <c r="T870" s="2"/>
      <c r="U870" s="2" t="s">
        <v>718</v>
      </c>
    </row>
    <row r="871" spans="1:21" x14ac:dyDescent="0.3">
      <c r="A871">
        <v>269308</v>
      </c>
      <c r="B871" t="s">
        <v>46</v>
      </c>
      <c r="C871" t="s">
        <v>511</v>
      </c>
      <c r="D871" t="s">
        <v>28</v>
      </c>
      <c r="E871" s="1" t="s">
        <v>3272</v>
      </c>
      <c r="F871">
        <v>24809071</v>
      </c>
      <c r="G871" t="s">
        <v>339</v>
      </c>
      <c r="H871" s="17">
        <v>53741408000180</v>
      </c>
      <c r="I871" s="17">
        <v>90739624001947</v>
      </c>
      <c r="J871" t="s">
        <v>2</v>
      </c>
      <c r="K871" s="9" t="s">
        <v>3273</v>
      </c>
      <c r="L871" t="s">
        <v>44</v>
      </c>
      <c r="M871">
        <v>9193</v>
      </c>
      <c r="N871" s="2" t="s">
        <v>585</v>
      </c>
      <c r="O871" s="9" t="s">
        <v>3273</v>
      </c>
      <c r="P871" t="s">
        <v>3274</v>
      </c>
      <c r="T871" s="2"/>
      <c r="U871" s="2" t="s">
        <v>718</v>
      </c>
    </row>
    <row r="872" spans="1:21" x14ac:dyDescent="0.3">
      <c r="A872">
        <v>269308</v>
      </c>
      <c r="B872" t="s">
        <v>46</v>
      </c>
      <c r="C872" t="s">
        <v>335</v>
      </c>
      <c r="D872" t="s">
        <v>65</v>
      </c>
      <c r="E872" s="1" t="s">
        <v>3275</v>
      </c>
      <c r="F872">
        <v>24808965</v>
      </c>
      <c r="G872" t="s">
        <v>67</v>
      </c>
      <c r="H872" s="17">
        <v>7473735006031</v>
      </c>
      <c r="I872" s="17">
        <v>90739624002323</v>
      </c>
      <c r="J872" t="s">
        <v>2</v>
      </c>
      <c r="K872" s="9" t="s">
        <v>3276</v>
      </c>
      <c r="L872" t="s">
        <v>44</v>
      </c>
      <c r="M872">
        <v>75136</v>
      </c>
      <c r="N872" s="2" t="s">
        <v>585</v>
      </c>
      <c r="O872" s="9" t="s">
        <v>3276</v>
      </c>
      <c r="P872" t="s">
        <v>3277</v>
      </c>
      <c r="T872" s="2"/>
      <c r="U872" s="2" t="s">
        <v>718</v>
      </c>
    </row>
    <row r="873" spans="1:21" x14ac:dyDescent="0.3">
      <c r="A873">
        <v>269308</v>
      </c>
      <c r="B873" t="s">
        <v>46</v>
      </c>
      <c r="C873" t="s">
        <v>124</v>
      </c>
      <c r="D873" t="s">
        <v>40</v>
      </c>
      <c r="E873" s="1" t="s">
        <v>3278</v>
      </c>
      <c r="F873">
        <v>24808831</v>
      </c>
      <c r="G873" t="s">
        <v>42</v>
      </c>
      <c r="H873" s="17">
        <v>82156977000248</v>
      </c>
      <c r="I873" s="17">
        <v>90739624001432</v>
      </c>
      <c r="J873" t="s">
        <v>2</v>
      </c>
      <c r="K873" s="9" t="s">
        <v>3279</v>
      </c>
      <c r="L873" t="s">
        <v>44</v>
      </c>
      <c r="M873">
        <v>168219</v>
      </c>
      <c r="N873" s="2" t="s">
        <v>585</v>
      </c>
      <c r="O873" s="9" t="s">
        <v>3279</v>
      </c>
      <c r="P873" t="s">
        <v>3280</v>
      </c>
      <c r="T873" s="2"/>
      <c r="U873" s="2" t="s">
        <v>718</v>
      </c>
    </row>
    <row r="874" spans="1:21" x14ac:dyDescent="0.3">
      <c r="A874">
        <v>269308</v>
      </c>
      <c r="B874" t="s">
        <v>46</v>
      </c>
      <c r="C874" t="s">
        <v>548</v>
      </c>
      <c r="D874" t="s">
        <v>25</v>
      </c>
      <c r="E874" s="1" t="s">
        <v>3281</v>
      </c>
      <c r="F874">
        <v>24808699</v>
      </c>
      <c r="G874" t="s">
        <v>132</v>
      </c>
      <c r="H874" s="17">
        <v>10588554000105</v>
      </c>
      <c r="I874" s="17">
        <v>90739624003486</v>
      </c>
      <c r="J874" t="s">
        <v>2</v>
      </c>
      <c r="K874" s="9" t="s">
        <v>3282</v>
      </c>
      <c r="L874" t="s">
        <v>44</v>
      </c>
      <c r="M874">
        <v>33908</v>
      </c>
      <c r="N874" s="2" t="s">
        <v>585</v>
      </c>
      <c r="O874" s="9" t="s">
        <v>3282</v>
      </c>
      <c r="P874" t="s">
        <v>3283</v>
      </c>
      <c r="T874" s="2"/>
      <c r="U874" s="2" t="s">
        <v>718</v>
      </c>
    </row>
    <row r="875" spans="1:21" x14ac:dyDescent="0.3">
      <c r="A875">
        <v>269308</v>
      </c>
      <c r="B875" t="s">
        <v>88</v>
      </c>
      <c r="C875" t="s">
        <v>361</v>
      </c>
      <c r="D875" t="s">
        <v>58</v>
      </c>
      <c r="E875" s="1" t="s">
        <v>3284</v>
      </c>
      <c r="F875">
        <v>24808247</v>
      </c>
      <c r="G875" t="s">
        <v>3285</v>
      </c>
      <c r="H875" s="17">
        <v>7473735020883</v>
      </c>
      <c r="I875" s="17"/>
      <c r="J875" t="s">
        <v>2</v>
      </c>
      <c r="K875" s="9" t="s">
        <v>3286</v>
      </c>
      <c r="L875" t="s">
        <v>87</v>
      </c>
      <c r="N875" s="2"/>
      <c r="O875" s="9"/>
      <c r="T875" s="2"/>
      <c r="U875" s="2" t="s">
        <v>718</v>
      </c>
    </row>
    <row r="876" spans="1:21" x14ac:dyDescent="0.3">
      <c r="A876">
        <v>269308</v>
      </c>
      <c r="B876" t="s">
        <v>46</v>
      </c>
      <c r="C876" t="s">
        <v>643</v>
      </c>
      <c r="D876" t="s">
        <v>120</v>
      </c>
      <c r="E876" s="1" t="s">
        <v>3287</v>
      </c>
      <c r="F876">
        <v>24807315</v>
      </c>
      <c r="G876" t="s">
        <v>122</v>
      </c>
      <c r="H876" s="17">
        <v>1387686000340</v>
      </c>
      <c r="I876" s="17">
        <v>90739624001432</v>
      </c>
      <c r="J876" t="s">
        <v>2</v>
      </c>
      <c r="K876" s="9" t="s">
        <v>3288</v>
      </c>
      <c r="L876" t="s">
        <v>44</v>
      </c>
      <c r="M876">
        <v>8574</v>
      </c>
      <c r="N876" s="2" t="s">
        <v>585</v>
      </c>
      <c r="O876" s="9" t="s">
        <v>3288</v>
      </c>
      <c r="P876" t="s">
        <v>3289</v>
      </c>
      <c r="T876" s="2"/>
      <c r="U876" s="2" t="s">
        <v>718</v>
      </c>
    </row>
    <row r="877" spans="1:21" x14ac:dyDescent="0.3">
      <c r="A877">
        <v>269308</v>
      </c>
      <c r="B877" t="s">
        <v>46</v>
      </c>
      <c r="C877" t="s">
        <v>331</v>
      </c>
      <c r="D877" t="s">
        <v>28</v>
      </c>
      <c r="E877" s="1" t="s">
        <v>3290</v>
      </c>
      <c r="F877">
        <v>24806109</v>
      </c>
      <c r="G877" t="s">
        <v>3291</v>
      </c>
      <c r="H877" s="17">
        <v>2982547000165</v>
      </c>
      <c r="I877" s="17">
        <v>90739624001947</v>
      </c>
      <c r="J877" t="s">
        <v>2</v>
      </c>
      <c r="K877" s="9" t="s">
        <v>3292</v>
      </c>
      <c r="L877" t="s">
        <v>44</v>
      </c>
      <c r="M877">
        <v>9374</v>
      </c>
      <c r="N877" s="2" t="s">
        <v>585</v>
      </c>
      <c r="O877" s="9" t="s">
        <v>3292</v>
      </c>
      <c r="P877" t="s">
        <v>3293</v>
      </c>
      <c r="T877" s="2"/>
      <c r="U877" s="2" t="s">
        <v>718</v>
      </c>
    </row>
    <row r="878" spans="1:21" x14ac:dyDescent="0.3">
      <c r="A878">
        <v>269308</v>
      </c>
      <c r="B878" t="s">
        <v>46</v>
      </c>
      <c r="C878" t="s">
        <v>463</v>
      </c>
      <c r="D878" t="s">
        <v>174</v>
      </c>
      <c r="E878" s="1" t="s">
        <v>3294</v>
      </c>
      <c r="F878">
        <v>24806059</v>
      </c>
      <c r="G878" t="s">
        <v>176</v>
      </c>
      <c r="H878" s="17">
        <v>4219621000111</v>
      </c>
      <c r="I878" s="17">
        <v>90739624000118</v>
      </c>
      <c r="J878" t="s">
        <v>2</v>
      </c>
      <c r="K878" s="9" t="s">
        <v>3295</v>
      </c>
      <c r="L878" t="s">
        <v>44</v>
      </c>
      <c r="M878">
        <v>99225</v>
      </c>
      <c r="N878" s="2" t="s">
        <v>583</v>
      </c>
      <c r="O878" s="9" t="s">
        <v>3295</v>
      </c>
      <c r="P878" t="s">
        <v>3296</v>
      </c>
      <c r="T878" s="2"/>
      <c r="U878" s="2" t="s">
        <v>718</v>
      </c>
    </row>
    <row r="879" spans="1:21" x14ac:dyDescent="0.3">
      <c r="A879">
        <v>269308</v>
      </c>
      <c r="B879" t="s">
        <v>46</v>
      </c>
      <c r="C879" t="s">
        <v>265</v>
      </c>
      <c r="D879" t="s">
        <v>25</v>
      </c>
      <c r="E879" s="1" t="s">
        <v>3297</v>
      </c>
      <c r="F879">
        <v>24805527</v>
      </c>
      <c r="G879" t="s">
        <v>132</v>
      </c>
      <c r="H879" s="17">
        <v>10588554000105</v>
      </c>
      <c r="I879" s="17">
        <v>90739624003486</v>
      </c>
      <c r="J879" t="s">
        <v>2</v>
      </c>
      <c r="K879" s="9" t="s">
        <v>3298</v>
      </c>
      <c r="L879" t="s">
        <v>44</v>
      </c>
      <c r="M879">
        <v>33906</v>
      </c>
      <c r="N879" s="2" t="s">
        <v>585</v>
      </c>
      <c r="O879" s="9" t="s">
        <v>3298</v>
      </c>
      <c r="P879" t="s">
        <v>3299</v>
      </c>
      <c r="T879" s="2"/>
      <c r="U879" s="2" t="s">
        <v>718</v>
      </c>
    </row>
    <row r="880" spans="1:21" x14ac:dyDescent="0.3">
      <c r="A880">
        <v>269308</v>
      </c>
      <c r="B880" t="s">
        <v>46</v>
      </c>
      <c r="C880" t="s">
        <v>93</v>
      </c>
      <c r="D880" t="s">
        <v>25</v>
      </c>
      <c r="E880" s="1" t="s">
        <v>3300</v>
      </c>
      <c r="F880">
        <v>24805255</v>
      </c>
      <c r="G880" t="s">
        <v>132</v>
      </c>
      <c r="H880" s="17">
        <v>10588554000105</v>
      </c>
      <c r="I880" s="17">
        <v>90739624003486</v>
      </c>
      <c r="J880" t="s">
        <v>2</v>
      </c>
      <c r="K880" s="9" t="s">
        <v>3301</v>
      </c>
      <c r="L880" t="s">
        <v>44</v>
      </c>
      <c r="M880">
        <v>33907</v>
      </c>
      <c r="N880" s="2" t="s">
        <v>585</v>
      </c>
      <c r="O880" s="9" t="s">
        <v>3301</v>
      </c>
      <c r="P880" t="s">
        <v>3302</v>
      </c>
      <c r="T880" s="2"/>
      <c r="U880" s="2" t="s">
        <v>718</v>
      </c>
    </row>
    <row r="881" spans="1:21" x14ac:dyDescent="0.3">
      <c r="A881">
        <v>269308</v>
      </c>
      <c r="B881" t="s">
        <v>88</v>
      </c>
      <c r="C881" t="s">
        <v>112</v>
      </c>
      <c r="D881" t="s">
        <v>100</v>
      </c>
      <c r="E881" s="1" t="s">
        <v>3303</v>
      </c>
      <c r="F881">
        <v>24804155</v>
      </c>
      <c r="G881" t="s">
        <v>113</v>
      </c>
      <c r="H881" s="17">
        <v>20499184000193</v>
      </c>
      <c r="I881" s="17"/>
      <c r="J881" t="s">
        <v>2</v>
      </c>
      <c r="K881" s="9" t="s">
        <v>3304</v>
      </c>
      <c r="L881" t="s">
        <v>87</v>
      </c>
      <c r="N881" s="2"/>
      <c r="O881" s="9"/>
      <c r="T881" s="2"/>
      <c r="U881" s="2" t="s">
        <v>718</v>
      </c>
    </row>
    <row r="882" spans="1:21" x14ac:dyDescent="0.3">
      <c r="A882">
        <v>269308</v>
      </c>
      <c r="B882" t="s">
        <v>46</v>
      </c>
      <c r="C882" t="s">
        <v>274</v>
      </c>
      <c r="D882" t="s">
        <v>70</v>
      </c>
      <c r="E882" s="1" t="s">
        <v>3305</v>
      </c>
      <c r="F882">
        <v>24804083</v>
      </c>
      <c r="G882" t="s">
        <v>72</v>
      </c>
      <c r="H882" s="17">
        <v>79964177000168</v>
      </c>
      <c r="I882" s="17">
        <v>9576274000106</v>
      </c>
      <c r="J882" t="s">
        <v>2</v>
      </c>
      <c r="K882" s="9" t="s">
        <v>3306</v>
      </c>
      <c r="L882" t="s">
        <v>44</v>
      </c>
      <c r="M882">
        <v>257033</v>
      </c>
      <c r="N882" s="2" t="s">
        <v>585</v>
      </c>
      <c r="O882" s="9" t="s">
        <v>3306</v>
      </c>
      <c r="P882" t="s">
        <v>3307</v>
      </c>
      <c r="T882" s="2"/>
      <c r="U882" s="2" t="s">
        <v>718</v>
      </c>
    </row>
    <row r="883" spans="1:21" x14ac:dyDescent="0.3">
      <c r="A883">
        <v>269308</v>
      </c>
      <c r="B883" t="s">
        <v>46</v>
      </c>
      <c r="C883" t="s">
        <v>275</v>
      </c>
      <c r="D883" t="s">
        <v>170</v>
      </c>
      <c r="E883" s="1" t="s">
        <v>3308</v>
      </c>
      <c r="F883">
        <v>24803867</v>
      </c>
      <c r="G883" t="s">
        <v>178</v>
      </c>
      <c r="H883" s="17">
        <v>83392050000199</v>
      </c>
      <c r="I883" s="17">
        <v>90739624001432</v>
      </c>
      <c r="J883" t="s">
        <v>2</v>
      </c>
      <c r="K883" s="9" t="s">
        <v>3309</v>
      </c>
      <c r="L883" t="s">
        <v>44</v>
      </c>
      <c r="M883">
        <v>129167</v>
      </c>
      <c r="N883" s="2" t="s">
        <v>585</v>
      </c>
      <c r="O883" s="9" t="s">
        <v>3309</v>
      </c>
      <c r="P883" t="s">
        <v>3310</v>
      </c>
      <c r="T883" s="2"/>
      <c r="U883" s="2" t="s">
        <v>718</v>
      </c>
    </row>
    <row r="884" spans="1:21" x14ac:dyDescent="0.3">
      <c r="A884">
        <v>269308</v>
      </c>
      <c r="B884" t="s">
        <v>46</v>
      </c>
      <c r="C884" t="s">
        <v>101</v>
      </c>
      <c r="D884" t="s">
        <v>100</v>
      </c>
      <c r="E884" s="1" t="s">
        <v>3311</v>
      </c>
      <c r="F884">
        <v>24803843</v>
      </c>
      <c r="G884" t="s">
        <v>27</v>
      </c>
      <c r="H884" s="17">
        <v>2031363000110</v>
      </c>
      <c r="I884" s="17">
        <v>90739624001947</v>
      </c>
      <c r="J884" t="s">
        <v>2</v>
      </c>
      <c r="K884" s="9" t="s">
        <v>3312</v>
      </c>
      <c r="L884" t="s">
        <v>44</v>
      </c>
      <c r="M884">
        <v>137631</v>
      </c>
      <c r="N884" s="2" t="s">
        <v>585</v>
      </c>
      <c r="O884" s="9" t="s">
        <v>3312</v>
      </c>
      <c r="P884" t="s">
        <v>3313</v>
      </c>
      <c r="T884" s="2"/>
      <c r="U884" s="2" t="s">
        <v>718</v>
      </c>
    </row>
    <row r="885" spans="1:21" x14ac:dyDescent="0.3">
      <c r="A885">
        <v>269308</v>
      </c>
      <c r="B885" t="s">
        <v>46</v>
      </c>
      <c r="C885" t="s">
        <v>12</v>
      </c>
      <c r="D885" t="s">
        <v>11</v>
      </c>
      <c r="E885" s="1" t="s">
        <v>3314</v>
      </c>
      <c r="F885">
        <v>24803697</v>
      </c>
      <c r="G885" t="s">
        <v>117</v>
      </c>
      <c r="H885" s="17">
        <v>1756915000194</v>
      </c>
      <c r="I885" s="17">
        <v>90739624001947</v>
      </c>
      <c r="J885" t="s">
        <v>2</v>
      </c>
      <c r="K885" s="9" t="s">
        <v>3315</v>
      </c>
      <c r="L885" t="s">
        <v>44</v>
      </c>
      <c r="M885">
        <v>4440</v>
      </c>
      <c r="N885" s="2" t="s">
        <v>583</v>
      </c>
      <c r="O885" s="9" t="s">
        <v>3315</v>
      </c>
      <c r="P885" t="s">
        <v>3316</v>
      </c>
      <c r="T885" s="2"/>
      <c r="U885" s="2" t="s">
        <v>718</v>
      </c>
    </row>
    <row r="886" spans="1:21" x14ac:dyDescent="0.3">
      <c r="A886">
        <v>269308</v>
      </c>
      <c r="B886" t="s">
        <v>46</v>
      </c>
      <c r="C886" t="s">
        <v>522</v>
      </c>
      <c r="D886" t="s">
        <v>61</v>
      </c>
      <c r="E886" s="1" t="s">
        <v>3317</v>
      </c>
      <c r="F886">
        <v>24803530</v>
      </c>
      <c r="G886" t="s">
        <v>62</v>
      </c>
      <c r="H886" s="17">
        <v>79964177000591</v>
      </c>
      <c r="I886" s="17">
        <v>9576274000106</v>
      </c>
      <c r="J886" t="s">
        <v>2</v>
      </c>
      <c r="K886" s="9" t="s">
        <v>3318</v>
      </c>
      <c r="L886" t="s">
        <v>44</v>
      </c>
      <c r="M886">
        <v>819965</v>
      </c>
      <c r="N886" s="2" t="s">
        <v>585</v>
      </c>
      <c r="O886" s="9" t="s">
        <v>3318</v>
      </c>
      <c r="P886" t="s">
        <v>3319</v>
      </c>
      <c r="T886" s="2"/>
      <c r="U886" s="2" t="s">
        <v>718</v>
      </c>
    </row>
    <row r="887" spans="1:21" x14ac:dyDescent="0.3">
      <c r="A887">
        <v>269308</v>
      </c>
      <c r="B887" t="s">
        <v>46</v>
      </c>
      <c r="C887" t="s">
        <v>3320</v>
      </c>
      <c r="D887" t="s">
        <v>126</v>
      </c>
      <c r="E887" s="1" t="s">
        <v>3321</v>
      </c>
      <c r="F887">
        <v>24803416</v>
      </c>
      <c r="G887" t="s">
        <v>127</v>
      </c>
      <c r="H887" s="17">
        <v>76493295000147</v>
      </c>
      <c r="I887" s="17">
        <v>9576274000106</v>
      </c>
      <c r="J887" t="s">
        <v>2</v>
      </c>
      <c r="K887" s="9" t="s">
        <v>3322</v>
      </c>
      <c r="L887" t="s">
        <v>44</v>
      </c>
      <c r="M887">
        <v>28566</v>
      </c>
      <c r="N887" s="2" t="s">
        <v>585</v>
      </c>
      <c r="O887" s="9" t="s">
        <v>3322</v>
      </c>
      <c r="P887" t="s">
        <v>3323</v>
      </c>
      <c r="T887" s="2"/>
      <c r="U887" s="2" t="s">
        <v>718</v>
      </c>
    </row>
    <row r="888" spans="1:21" x14ac:dyDescent="0.3">
      <c r="A888">
        <v>269308</v>
      </c>
      <c r="B888" t="s">
        <v>46</v>
      </c>
      <c r="C888" t="s">
        <v>118</v>
      </c>
      <c r="D888" t="s">
        <v>31</v>
      </c>
      <c r="E888" s="1" t="s">
        <v>3324</v>
      </c>
      <c r="F888">
        <v>24802972</v>
      </c>
      <c r="G888" t="s">
        <v>119</v>
      </c>
      <c r="H888" s="17">
        <v>25220634000342</v>
      </c>
      <c r="I888" s="17">
        <v>90739624001866</v>
      </c>
      <c r="J888" t="s">
        <v>2</v>
      </c>
      <c r="K888" s="9" t="s">
        <v>3325</v>
      </c>
      <c r="L888" t="s">
        <v>44</v>
      </c>
      <c r="M888">
        <v>167711</v>
      </c>
      <c r="N888" s="2" t="s">
        <v>585</v>
      </c>
      <c r="O888" s="9" t="s">
        <v>3325</v>
      </c>
      <c r="P888" t="s">
        <v>3326</v>
      </c>
      <c r="T888" s="2"/>
      <c r="U888" s="2" t="s">
        <v>718</v>
      </c>
    </row>
    <row r="889" spans="1:21" x14ac:dyDescent="0.3">
      <c r="A889">
        <v>269308</v>
      </c>
      <c r="B889" t="s">
        <v>46</v>
      </c>
      <c r="C889" t="s">
        <v>14</v>
      </c>
      <c r="D889" t="s">
        <v>13</v>
      </c>
      <c r="E889" s="1" t="s">
        <v>3327</v>
      </c>
      <c r="F889">
        <v>24802757</v>
      </c>
      <c r="G889" t="s">
        <v>340</v>
      </c>
      <c r="H889" s="17">
        <v>29127799000163</v>
      </c>
      <c r="I889" s="17">
        <v>90739624000380</v>
      </c>
      <c r="J889" t="s">
        <v>2</v>
      </c>
      <c r="K889" s="9" t="s">
        <v>3328</v>
      </c>
      <c r="L889" t="s">
        <v>44</v>
      </c>
      <c r="M889">
        <v>117188</v>
      </c>
      <c r="N889" s="2" t="s">
        <v>695</v>
      </c>
      <c r="O889" s="9" t="s">
        <v>3328</v>
      </c>
      <c r="P889" t="s">
        <v>3329</v>
      </c>
      <c r="T889" s="2"/>
      <c r="U889" s="2" t="s">
        <v>718</v>
      </c>
    </row>
    <row r="890" spans="1:21" x14ac:dyDescent="0.3">
      <c r="A890">
        <v>269308</v>
      </c>
      <c r="B890" t="s">
        <v>46</v>
      </c>
      <c r="C890" t="s">
        <v>539</v>
      </c>
      <c r="D890" t="s">
        <v>58</v>
      </c>
      <c r="E890" s="1" t="s">
        <v>3330</v>
      </c>
      <c r="F890">
        <v>24802754</v>
      </c>
      <c r="G890" t="s">
        <v>106</v>
      </c>
      <c r="H890" s="17">
        <v>7473735015103</v>
      </c>
      <c r="I890" s="17">
        <v>90739624002323</v>
      </c>
      <c r="J890" t="s">
        <v>2</v>
      </c>
      <c r="K890" s="9" t="s">
        <v>3331</v>
      </c>
      <c r="L890" t="s">
        <v>44</v>
      </c>
      <c r="M890">
        <v>110732</v>
      </c>
      <c r="N890" s="2" t="s">
        <v>585</v>
      </c>
      <c r="O890" s="9" t="s">
        <v>3331</v>
      </c>
      <c r="P890" t="s">
        <v>3332</v>
      </c>
      <c r="T890" s="2"/>
      <c r="U890" s="2" t="s">
        <v>718</v>
      </c>
    </row>
    <row r="891" spans="1:21" x14ac:dyDescent="0.3">
      <c r="A891">
        <v>269308</v>
      </c>
      <c r="B891" t="s">
        <v>46</v>
      </c>
      <c r="C891" t="s">
        <v>76</v>
      </c>
      <c r="D891" t="s">
        <v>8</v>
      </c>
      <c r="E891" s="1" t="s">
        <v>3333</v>
      </c>
      <c r="F891">
        <v>24802674</v>
      </c>
      <c r="G891" t="s">
        <v>10</v>
      </c>
      <c r="H891" s="17">
        <v>33286065000102</v>
      </c>
      <c r="I891" s="17">
        <v>9576274000106</v>
      </c>
      <c r="J891" t="s">
        <v>17</v>
      </c>
      <c r="K891" s="9" t="s">
        <v>3334</v>
      </c>
      <c r="L891" t="s">
        <v>44</v>
      </c>
      <c r="M891">
        <v>4231</v>
      </c>
      <c r="N891" s="2" t="s">
        <v>585</v>
      </c>
      <c r="O891" s="9" t="s">
        <v>3334</v>
      </c>
      <c r="P891" t="s">
        <v>3335</v>
      </c>
      <c r="T891" s="2"/>
      <c r="U891" s="2" t="s">
        <v>718</v>
      </c>
    </row>
    <row r="892" spans="1:21" x14ac:dyDescent="0.3">
      <c r="A892">
        <v>269308</v>
      </c>
      <c r="B892" t="s">
        <v>46</v>
      </c>
      <c r="C892" t="s">
        <v>76</v>
      </c>
      <c r="D892" t="s">
        <v>8</v>
      </c>
      <c r="E892" s="1" t="s">
        <v>3336</v>
      </c>
      <c r="F892">
        <v>24802657</v>
      </c>
      <c r="G892" t="s">
        <v>10</v>
      </c>
      <c r="H892" s="17">
        <v>33286065000102</v>
      </c>
      <c r="I892" s="17">
        <v>9576274000106</v>
      </c>
      <c r="J892" t="s">
        <v>2</v>
      </c>
      <c r="K892" s="9" t="s">
        <v>3337</v>
      </c>
      <c r="L892" t="s">
        <v>44</v>
      </c>
      <c r="M892">
        <v>4230</v>
      </c>
      <c r="N892" s="2" t="s">
        <v>585</v>
      </c>
      <c r="O892" s="9" t="s">
        <v>3337</v>
      </c>
      <c r="P892" t="s">
        <v>3338</v>
      </c>
      <c r="T892" s="2"/>
      <c r="U892" s="2" t="s">
        <v>718</v>
      </c>
    </row>
    <row r="893" spans="1:21" x14ac:dyDescent="0.3">
      <c r="A893">
        <v>269308</v>
      </c>
      <c r="B893" t="s">
        <v>46</v>
      </c>
      <c r="C893" t="s">
        <v>280</v>
      </c>
      <c r="D893" t="s">
        <v>31</v>
      </c>
      <c r="E893" s="1" t="s">
        <v>3339</v>
      </c>
      <c r="F893">
        <v>24802638</v>
      </c>
      <c r="G893" t="s">
        <v>142</v>
      </c>
      <c r="H893" s="17">
        <v>54494203000100</v>
      </c>
      <c r="I893" s="17">
        <v>90739624001866</v>
      </c>
      <c r="J893" t="s">
        <v>2</v>
      </c>
      <c r="K893" s="9" t="s">
        <v>3340</v>
      </c>
      <c r="L893" t="s">
        <v>44</v>
      </c>
      <c r="M893">
        <v>15852</v>
      </c>
      <c r="N893" s="2" t="s">
        <v>590</v>
      </c>
      <c r="O893" s="9" t="s">
        <v>3340</v>
      </c>
      <c r="P893" t="s">
        <v>3341</v>
      </c>
      <c r="T893" s="2"/>
      <c r="U893" s="2" t="s">
        <v>718</v>
      </c>
    </row>
    <row r="894" spans="1:21" x14ac:dyDescent="0.3">
      <c r="A894">
        <v>269308</v>
      </c>
      <c r="B894" t="s">
        <v>88</v>
      </c>
      <c r="C894" t="s">
        <v>292</v>
      </c>
      <c r="D894" t="s">
        <v>25</v>
      </c>
      <c r="E894" s="1" t="s">
        <v>3342</v>
      </c>
      <c r="F894">
        <v>24802630</v>
      </c>
      <c r="G894" t="s">
        <v>32</v>
      </c>
      <c r="H894" s="17">
        <v>9001879002619</v>
      </c>
      <c r="I894" s="17"/>
      <c r="J894" t="s">
        <v>2</v>
      </c>
      <c r="K894" s="9" t="s">
        <v>3343</v>
      </c>
      <c r="L894" t="s">
        <v>87</v>
      </c>
      <c r="N894" s="2"/>
      <c r="O894" s="9"/>
      <c r="T894" s="2"/>
      <c r="U894" s="2" t="s">
        <v>718</v>
      </c>
    </row>
    <row r="895" spans="1:21" x14ac:dyDescent="0.3">
      <c r="A895">
        <v>269308</v>
      </c>
      <c r="B895" t="s">
        <v>46</v>
      </c>
      <c r="C895" t="s">
        <v>188</v>
      </c>
      <c r="D895" t="s">
        <v>100</v>
      </c>
      <c r="E895" s="1" t="s">
        <v>3344</v>
      </c>
      <c r="F895">
        <v>24802500</v>
      </c>
      <c r="G895" t="s">
        <v>189</v>
      </c>
      <c r="H895" s="17">
        <v>50128357000551</v>
      </c>
      <c r="I895" s="17">
        <v>90739624001866</v>
      </c>
      <c r="J895" t="s">
        <v>2</v>
      </c>
      <c r="K895" s="9" t="s">
        <v>672</v>
      </c>
      <c r="L895" t="s">
        <v>44</v>
      </c>
      <c r="M895">
        <v>10185</v>
      </c>
      <c r="N895" s="2" t="s">
        <v>585</v>
      </c>
      <c r="O895" s="9" t="s">
        <v>672</v>
      </c>
      <c r="P895" t="s">
        <v>3345</v>
      </c>
      <c r="T895" s="2"/>
      <c r="U895" s="2" t="s">
        <v>718</v>
      </c>
    </row>
    <row r="896" spans="1:21" x14ac:dyDescent="0.3">
      <c r="A896">
        <v>269308</v>
      </c>
      <c r="B896" t="s">
        <v>46</v>
      </c>
      <c r="C896" t="s">
        <v>135</v>
      </c>
      <c r="D896" t="s">
        <v>100</v>
      </c>
      <c r="E896" s="1" t="s">
        <v>3346</v>
      </c>
      <c r="F896">
        <v>24802254</v>
      </c>
      <c r="G896" t="s">
        <v>136</v>
      </c>
      <c r="H896" s="17">
        <v>33855749000170</v>
      </c>
      <c r="I896" s="17">
        <v>90739624001866</v>
      </c>
      <c r="J896" t="s">
        <v>2</v>
      </c>
      <c r="K896" s="9" t="s">
        <v>3347</v>
      </c>
      <c r="L896" t="s">
        <v>44</v>
      </c>
      <c r="M896">
        <v>21563</v>
      </c>
      <c r="N896" s="2" t="s">
        <v>585</v>
      </c>
      <c r="O896" s="9" t="s">
        <v>3347</v>
      </c>
      <c r="P896" t="s">
        <v>3348</v>
      </c>
      <c r="T896" s="2"/>
      <c r="U896" s="2" t="s">
        <v>718</v>
      </c>
    </row>
    <row r="897" spans="1:21" x14ac:dyDescent="0.3">
      <c r="A897">
        <v>269308</v>
      </c>
      <c r="B897" t="s">
        <v>46</v>
      </c>
      <c r="C897" t="s">
        <v>367</v>
      </c>
      <c r="D897" t="s">
        <v>0</v>
      </c>
      <c r="E897" s="1" t="s">
        <v>3349</v>
      </c>
      <c r="F897">
        <v>24802195</v>
      </c>
      <c r="G897" t="s">
        <v>3</v>
      </c>
      <c r="H897" s="17">
        <v>81326258001156</v>
      </c>
      <c r="I897" s="17">
        <v>90739624001432</v>
      </c>
      <c r="J897" t="s">
        <v>2</v>
      </c>
      <c r="K897" s="9" t="s">
        <v>3350</v>
      </c>
      <c r="L897" t="s">
        <v>44</v>
      </c>
      <c r="M897">
        <v>36037</v>
      </c>
      <c r="N897" s="2" t="s">
        <v>585</v>
      </c>
      <c r="O897" s="9" t="s">
        <v>3350</v>
      </c>
      <c r="P897" t="s">
        <v>3351</v>
      </c>
      <c r="T897" s="2"/>
      <c r="U897" s="2" t="s">
        <v>718</v>
      </c>
    </row>
    <row r="898" spans="1:21" x14ac:dyDescent="0.3">
      <c r="A898">
        <v>269308</v>
      </c>
      <c r="B898" t="s">
        <v>46</v>
      </c>
      <c r="C898" t="s">
        <v>563</v>
      </c>
      <c r="D898" t="s">
        <v>25</v>
      </c>
      <c r="E898" s="1" t="s">
        <v>3352</v>
      </c>
      <c r="F898">
        <v>24801695</v>
      </c>
      <c r="G898" t="s">
        <v>344</v>
      </c>
      <c r="H898" s="17">
        <v>34453861000147</v>
      </c>
      <c r="I898" s="17">
        <v>90739624000118</v>
      </c>
      <c r="J898" t="s">
        <v>2</v>
      </c>
      <c r="K898" s="9" t="s">
        <v>3353</v>
      </c>
      <c r="L898" t="s">
        <v>44</v>
      </c>
      <c r="M898">
        <v>21720</v>
      </c>
      <c r="N898" s="2" t="s">
        <v>585</v>
      </c>
      <c r="O898" s="9" t="s">
        <v>3353</v>
      </c>
      <c r="P898" t="s">
        <v>3354</v>
      </c>
      <c r="T898" s="2"/>
      <c r="U898" s="2" t="s">
        <v>718</v>
      </c>
    </row>
    <row r="899" spans="1:21" x14ac:dyDescent="0.3">
      <c r="A899">
        <v>269308</v>
      </c>
      <c r="B899" t="s">
        <v>46</v>
      </c>
      <c r="C899" t="s">
        <v>213</v>
      </c>
      <c r="D899" t="s">
        <v>0</v>
      </c>
      <c r="E899" s="1" t="s">
        <v>3355</v>
      </c>
      <c r="F899">
        <v>24801401</v>
      </c>
      <c r="G899" t="s">
        <v>183</v>
      </c>
      <c r="H899" s="17">
        <v>84711084000161</v>
      </c>
      <c r="I899" s="17">
        <v>90739624001432</v>
      </c>
      <c r="J899" t="s">
        <v>2</v>
      </c>
      <c r="K899" s="9" t="s">
        <v>3356</v>
      </c>
      <c r="L899" t="s">
        <v>44</v>
      </c>
      <c r="M899">
        <v>118564</v>
      </c>
      <c r="N899" s="2" t="s">
        <v>585</v>
      </c>
      <c r="O899" s="9" t="s">
        <v>3356</v>
      </c>
      <c r="P899" t="s">
        <v>3357</v>
      </c>
      <c r="T899" s="2"/>
      <c r="U899" s="2" t="s">
        <v>718</v>
      </c>
    </row>
    <row r="900" spans="1:21" x14ac:dyDescent="0.3">
      <c r="A900">
        <v>269308</v>
      </c>
      <c r="B900" t="s">
        <v>46</v>
      </c>
      <c r="C900" t="s">
        <v>175</v>
      </c>
      <c r="D900" t="s">
        <v>174</v>
      </c>
      <c r="E900" s="1" t="s">
        <v>3358</v>
      </c>
      <c r="F900">
        <v>24801377</v>
      </c>
      <c r="G900" t="s">
        <v>268</v>
      </c>
      <c r="H900" s="17">
        <v>4985282000184</v>
      </c>
      <c r="I900" s="17">
        <v>90739624000118</v>
      </c>
      <c r="J900" t="s">
        <v>2</v>
      </c>
      <c r="K900" s="9" t="s">
        <v>3359</v>
      </c>
      <c r="L900" t="s">
        <v>44</v>
      </c>
      <c r="M900">
        <v>5566</v>
      </c>
      <c r="N900" s="2" t="s">
        <v>585</v>
      </c>
      <c r="O900" s="9" t="s">
        <v>3359</v>
      </c>
      <c r="P900" t="s">
        <v>3360</v>
      </c>
      <c r="T900" s="2"/>
      <c r="U900" s="2" t="s">
        <v>718</v>
      </c>
    </row>
    <row r="901" spans="1:21" x14ac:dyDescent="0.3">
      <c r="A901">
        <v>269308</v>
      </c>
      <c r="B901" t="s">
        <v>46</v>
      </c>
      <c r="C901" t="s">
        <v>146</v>
      </c>
      <c r="D901" t="s">
        <v>33</v>
      </c>
      <c r="E901" s="1" t="s">
        <v>3361</v>
      </c>
      <c r="F901">
        <v>24801188</v>
      </c>
      <c r="G901" t="s">
        <v>35</v>
      </c>
      <c r="H901" s="17">
        <v>27933025000102</v>
      </c>
      <c r="I901" s="17">
        <v>9576274000106</v>
      </c>
      <c r="J901" t="s">
        <v>2</v>
      </c>
      <c r="K901" s="9" t="s">
        <v>3362</v>
      </c>
      <c r="L901" t="s">
        <v>44</v>
      </c>
      <c r="M901">
        <v>1126</v>
      </c>
      <c r="N901" s="2" t="s">
        <v>583</v>
      </c>
      <c r="O901" s="9" t="s">
        <v>3362</v>
      </c>
      <c r="P901" t="s">
        <v>3363</v>
      </c>
      <c r="T901" s="2"/>
      <c r="U901" s="2" t="s">
        <v>718</v>
      </c>
    </row>
    <row r="902" spans="1:21" x14ac:dyDescent="0.3">
      <c r="A902">
        <v>269308</v>
      </c>
      <c r="B902" t="s">
        <v>46</v>
      </c>
      <c r="C902" t="s">
        <v>140</v>
      </c>
      <c r="D902" t="s">
        <v>61</v>
      </c>
      <c r="E902" s="1" t="s">
        <v>3364</v>
      </c>
      <c r="F902">
        <v>24801041</v>
      </c>
      <c r="G902" t="s">
        <v>62</v>
      </c>
      <c r="H902" s="17">
        <v>79964177000591</v>
      </c>
      <c r="I902" s="17">
        <v>9576274000106</v>
      </c>
      <c r="J902" t="s">
        <v>2</v>
      </c>
      <c r="K902" s="9" t="s">
        <v>1866</v>
      </c>
      <c r="L902" t="s">
        <v>44</v>
      </c>
      <c r="M902">
        <v>819945</v>
      </c>
      <c r="N902" s="2" t="s">
        <v>585</v>
      </c>
      <c r="O902" s="9" t="s">
        <v>1866</v>
      </c>
      <c r="P902" t="s">
        <v>3365</v>
      </c>
      <c r="T902" s="2"/>
      <c r="U902" s="2" t="s">
        <v>718</v>
      </c>
    </row>
    <row r="903" spans="1:21" x14ac:dyDescent="0.3">
      <c r="A903">
        <v>269308</v>
      </c>
      <c r="B903" t="s">
        <v>46</v>
      </c>
      <c r="C903" t="s">
        <v>78</v>
      </c>
      <c r="D903" t="s">
        <v>58</v>
      </c>
      <c r="E903" s="1" t="s">
        <v>3366</v>
      </c>
      <c r="F903">
        <v>24801016</v>
      </c>
      <c r="G903" t="s">
        <v>60</v>
      </c>
      <c r="H903" s="17">
        <v>7473735018200</v>
      </c>
      <c r="I903" s="17">
        <v>90739624002323</v>
      </c>
      <c r="J903" t="s">
        <v>2</v>
      </c>
      <c r="K903" s="9" t="s">
        <v>3367</v>
      </c>
      <c r="L903" t="s">
        <v>44</v>
      </c>
      <c r="M903">
        <v>73923</v>
      </c>
      <c r="N903" s="2" t="s">
        <v>585</v>
      </c>
      <c r="O903" s="9" t="s">
        <v>3367</v>
      </c>
      <c r="P903" t="s">
        <v>3368</v>
      </c>
      <c r="T903" s="2"/>
      <c r="U903" s="2" t="s">
        <v>718</v>
      </c>
    </row>
    <row r="904" spans="1:21" x14ac:dyDescent="0.3">
      <c r="A904">
        <v>269308</v>
      </c>
      <c r="B904" t="s">
        <v>46</v>
      </c>
      <c r="C904" t="s">
        <v>26</v>
      </c>
      <c r="D904" t="s">
        <v>11</v>
      </c>
      <c r="E904" s="1" t="s">
        <v>3369</v>
      </c>
      <c r="F904">
        <v>24800636</v>
      </c>
      <c r="G904" t="s">
        <v>143</v>
      </c>
      <c r="H904" s="17">
        <v>4505289000151</v>
      </c>
      <c r="I904" s="17">
        <v>90739624001866</v>
      </c>
      <c r="J904" t="s">
        <v>17</v>
      </c>
      <c r="K904" s="9" t="s">
        <v>3370</v>
      </c>
      <c r="L904" t="s">
        <v>44</v>
      </c>
      <c r="M904">
        <v>11574</v>
      </c>
      <c r="N904" s="2" t="s">
        <v>585</v>
      </c>
      <c r="O904" s="9" t="s">
        <v>3370</v>
      </c>
      <c r="P904" t="s">
        <v>3371</v>
      </c>
      <c r="T904" s="2"/>
      <c r="U904" s="2" t="s">
        <v>718</v>
      </c>
    </row>
    <row r="905" spans="1:21" x14ac:dyDescent="0.3">
      <c r="A905">
        <v>269308</v>
      </c>
      <c r="B905" t="s">
        <v>46</v>
      </c>
      <c r="C905" t="s">
        <v>26</v>
      </c>
      <c r="D905" t="s">
        <v>11</v>
      </c>
      <c r="E905" s="1" t="s">
        <v>3372</v>
      </c>
      <c r="F905">
        <v>24800605</v>
      </c>
      <c r="G905" t="s">
        <v>143</v>
      </c>
      <c r="H905" s="17">
        <v>4505289000151</v>
      </c>
      <c r="I905" s="17">
        <v>90739624001866</v>
      </c>
      <c r="J905" t="s">
        <v>2</v>
      </c>
      <c r="K905" s="9" t="s">
        <v>3373</v>
      </c>
      <c r="L905" t="s">
        <v>44</v>
      </c>
      <c r="M905">
        <v>11573</v>
      </c>
      <c r="N905" s="2" t="s">
        <v>585</v>
      </c>
      <c r="O905" s="9" t="s">
        <v>3373</v>
      </c>
      <c r="P905" t="s">
        <v>3374</v>
      </c>
      <c r="T905" s="2"/>
      <c r="U905" s="2" t="s">
        <v>718</v>
      </c>
    </row>
    <row r="906" spans="1:21" x14ac:dyDescent="0.3">
      <c r="A906">
        <v>269308</v>
      </c>
      <c r="B906" t="s">
        <v>46</v>
      </c>
      <c r="C906" t="s">
        <v>3375</v>
      </c>
      <c r="D906" t="s">
        <v>369</v>
      </c>
      <c r="E906" s="1" t="s">
        <v>3376</v>
      </c>
      <c r="F906">
        <v>24800584</v>
      </c>
      <c r="G906" t="s">
        <v>371</v>
      </c>
      <c r="H906" s="17">
        <v>26814629000169</v>
      </c>
      <c r="I906" s="17">
        <v>90739624002080</v>
      </c>
      <c r="J906" t="s">
        <v>2</v>
      </c>
      <c r="K906" s="9" t="s">
        <v>3377</v>
      </c>
      <c r="L906" t="s">
        <v>44</v>
      </c>
      <c r="M906">
        <v>11412</v>
      </c>
      <c r="N906" s="2" t="s">
        <v>585</v>
      </c>
      <c r="O906" s="9" t="s">
        <v>3377</v>
      </c>
      <c r="P906" t="s">
        <v>3378</v>
      </c>
      <c r="T906" s="2"/>
      <c r="U906" s="2" t="s">
        <v>718</v>
      </c>
    </row>
    <row r="907" spans="1:21" x14ac:dyDescent="0.3">
      <c r="A907">
        <v>269308</v>
      </c>
      <c r="B907" t="s">
        <v>46</v>
      </c>
      <c r="C907" t="s">
        <v>856</v>
      </c>
      <c r="D907" t="s">
        <v>100</v>
      </c>
      <c r="E907" s="1" t="s">
        <v>3379</v>
      </c>
      <c r="F907">
        <v>24800414</v>
      </c>
      <c r="G907" t="s">
        <v>634</v>
      </c>
      <c r="H907" s="17">
        <v>22611652000286</v>
      </c>
      <c r="I907" s="17">
        <v>90739624001866</v>
      </c>
      <c r="J907" t="s">
        <v>2</v>
      </c>
      <c r="K907" s="9" t="s">
        <v>3380</v>
      </c>
      <c r="L907" t="s">
        <v>44</v>
      </c>
      <c r="M907">
        <v>323143</v>
      </c>
      <c r="N907" s="2" t="s">
        <v>585</v>
      </c>
      <c r="O907" s="9" t="s">
        <v>3380</v>
      </c>
      <c r="P907" t="s">
        <v>3381</v>
      </c>
      <c r="T907" s="2"/>
      <c r="U907" s="2" t="s">
        <v>718</v>
      </c>
    </row>
    <row r="908" spans="1:21" x14ac:dyDescent="0.3">
      <c r="A908">
        <v>269308</v>
      </c>
      <c r="B908" t="s">
        <v>46</v>
      </c>
      <c r="C908" t="s">
        <v>453</v>
      </c>
      <c r="D908" t="s">
        <v>11</v>
      </c>
      <c r="E908" s="1" t="s">
        <v>3382</v>
      </c>
      <c r="F908">
        <v>24800193</v>
      </c>
      <c r="G908" t="s">
        <v>24</v>
      </c>
      <c r="H908" s="17">
        <v>46472822000176</v>
      </c>
      <c r="I908" s="17">
        <v>90739624000380</v>
      </c>
      <c r="J908" t="s">
        <v>2</v>
      </c>
      <c r="K908" s="9" t="s">
        <v>3383</v>
      </c>
      <c r="L908" t="s">
        <v>44</v>
      </c>
      <c r="M908">
        <v>23012</v>
      </c>
      <c r="N908" s="2" t="s">
        <v>695</v>
      </c>
      <c r="O908" s="9" t="s">
        <v>3383</v>
      </c>
      <c r="P908" t="s">
        <v>3384</v>
      </c>
      <c r="T908" s="2"/>
      <c r="U908" s="2" t="s">
        <v>718</v>
      </c>
    </row>
    <row r="909" spans="1:21" x14ac:dyDescent="0.3">
      <c r="A909">
        <v>269308</v>
      </c>
      <c r="B909" t="s">
        <v>46</v>
      </c>
      <c r="C909" t="s">
        <v>282</v>
      </c>
      <c r="D909" t="s">
        <v>28</v>
      </c>
      <c r="E909" s="1" t="s">
        <v>3385</v>
      </c>
      <c r="F909">
        <v>24799948</v>
      </c>
      <c r="G909" t="s">
        <v>48</v>
      </c>
      <c r="H909" s="17">
        <v>1272434001002</v>
      </c>
      <c r="I909" s="17">
        <v>90739624001947</v>
      </c>
      <c r="J909" t="s">
        <v>2</v>
      </c>
      <c r="K909" s="9" t="s">
        <v>3386</v>
      </c>
      <c r="L909" t="s">
        <v>44</v>
      </c>
      <c r="M909">
        <v>81165</v>
      </c>
      <c r="N909" s="2" t="s">
        <v>585</v>
      </c>
      <c r="O909" s="9" t="s">
        <v>3386</v>
      </c>
      <c r="P909" t="s">
        <v>3387</v>
      </c>
      <c r="T909" s="2"/>
      <c r="U909" s="2" t="s">
        <v>718</v>
      </c>
    </row>
    <row r="910" spans="1:21" x14ac:dyDescent="0.3">
      <c r="A910">
        <v>269308</v>
      </c>
      <c r="B910" t="s">
        <v>46</v>
      </c>
      <c r="C910" t="s">
        <v>521</v>
      </c>
      <c r="D910" t="s">
        <v>61</v>
      </c>
      <c r="E910" s="1" t="s">
        <v>3388</v>
      </c>
      <c r="F910">
        <v>24799760</v>
      </c>
      <c r="G910" t="s">
        <v>498</v>
      </c>
      <c r="H910" s="17">
        <v>17125457000206</v>
      </c>
      <c r="I910" s="17">
        <v>9576274000106</v>
      </c>
      <c r="J910" t="s">
        <v>2</v>
      </c>
      <c r="K910" s="9" t="s">
        <v>3389</v>
      </c>
      <c r="L910" t="s">
        <v>44</v>
      </c>
      <c r="M910">
        <v>2442</v>
      </c>
      <c r="N910" s="2" t="s">
        <v>602</v>
      </c>
      <c r="O910" s="9" t="s">
        <v>3389</v>
      </c>
      <c r="P910" t="s">
        <v>3390</v>
      </c>
      <c r="T910" s="2"/>
      <c r="U910" s="2" t="s">
        <v>718</v>
      </c>
    </row>
    <row r="911" spans="1:21" x14ac:dyDescent="0.3">
      <c r="A911">
        <v>269308</v>
      </c>
      <c r="B911" t="s">
        <v>46</v>
      </c>
      <c r="C911" t="s">
        <v>462</v>
      </c>
      <c r="D911" t="s">
        <v>181</v>
      </c>
      <c r="E911" s="1" t="s">
        <v>3391</v>
      </c>
      <c r="F911">
        <v>24799663</v>
      </c>
      <c r="G911" t="s">
        <v>3392</v>
      </c>
      <c r="H911" s="17">
        <v>3157705000105</v>
      </c>
      <c r="I911" s="17">
        <v>90739624001432</v>
      </c>
      <c r="J911" t="s">
        <v>2</v>
      </c>
      <c r="K911" s="9" t="s">
        <v>3393</v>
      </c>
      <c r="L911" t="s">
        <v>44</v>
      </c>
      <c r="M911">
        <v>199170</v>
      </c>
      <c r="N911" s="2" t="s">
        <v>585</v>
      </c>
      <c r="O911" s="9" t="s">
        <v>3393</v>
      </c>
      <c r="P911" t="s">
        <v>3394</v>
      </c>
      <c r="T911" s="2"/>
      <c r="U911" s="2" t="s">
        <v>718</v>
      </c>
    </row>
    <row r="912" spans="1:21" x14ac:dyDescent="0.3">
      <c r="A912">
        <v>269308</v>
      </c>
      <c r="B912" t="s">
        <v>46</v>
      </c>
      <c r="C912" t="s">
        <v>652</v>
      </c>
      <c r="D912" t="s">
        <v>120</v>
      </c>
      <c r="E912" s="1" t="s">
        <v>3395</v>
      </c>
      <c r="F912">
        <v>24799307</v>
      </c>
      <c r="G912" t="s">
        <v>150</v>
      </c>
      <c r="H912" s="17">
        <v>27643038000139</v>
      </c>
      <c r="I912" s="17">
        <v>90739624001432</v>
      </c>
      <c r="J912" t="s">
        <v>2</v>
      </c>
      <c r="K912" s="9" t="s">
        <v>3396</v>
      </c>
      <c r="L912" t="s">
        <v>44</v>
      </c>
      <c r="M912">
        <v>60897</v>
      </c>
      <c r="N912" s="2" t="s">
        <v>585</v>
      </c>
      <c r="O912" s="9" t="s">
        <v>3396</v>
      </c>
      <c r="P912" t="s">
        <v>3397</v>
      </c>
      <c r="T912" s="2"/>
      <c r="U912" s="2" t="s">
        <v>718</v>
      </c>
    </row>
    <row r="913" spans="1:21" x14ac:dyDescent="0.3">
      <c r="A913">
        <v>269308</v>
      </c>
      <c r="B913" t="s">
        <v>46</v>
      </c>
      <c r="C913" t="s">
        <v>212</v>
      </c>
      <c r="D913" t="s">
        <v>28</v>
      </c>
      <c r="E913" s="1" t="s">
        <v>3398</v>
      </c>
      <c r="F913">
        <v>24799294</v>
      </c>
      <c r="G913" t="s">
        <v>48</v>
      </c>
      <c r="H913" s="17">
        <v>1272434001002</v>
      </c>
      <c r="I913" s="17">
        <v>90739624001947</v>
      </c>
      <c r="J913" t="s">
        <v>2</v>
      </c>
      <c r="K913" s="9" t="s">
        <v>3399</v>
      </c>
      <c r="L913" t="s">
        <v>44</v>
      </c>
      <c r="M913">
        <v>81164</v>
      </c>
      <c r="N913" s="2" t="s">
        <v>585</v>
      </c>
      <c r="O913" s="9" t="s">
        <v>3399</v>
      </c>
      <c r="P913" t="s">
        <v>3400</v>
      </c>
      <c r="T913" s="2"/>
      <c r="U913" s="2" t="s">
        <v>718</v>
      </c>
    </row>
    <row r="914" spans="1:21" x14ac:dyDescent="0.3">
      <c r="A914">
        <v>269308</v>
      </c>
      <c r="B914" t="s">
        <v>46</v>
      </c>
      <c r="C914" t="s">
        <v>256</v>
      </c>
      <c r="D914" t="s">
        <v>174</v>
      </c>
      <c r="E914" s="1" t="s">
        <v>3401</v>
      </c>
      <c r="F914">
        <v>24798808</v>
      </c>
      <c r="G914" t="s">
        <v>346</v>
      </c>
      <c r="H914" s="17">
        <v>8318079000105</v>
      </c>
      <c r="I914" s="17">
        <v>90739624000118</v>
      </c>
      <c r="J914" t="s">
        <v>2</v>
      </c>
      <c r="K914" s="9" t="s">
        <v>3402</v>
      </c>
      <c r="L914" t="s">
        <v>44</v>
      </c>
      <c r="M914">
        <v>62247</v>
      </c>
      <c r="N914" s="2" t="s">
        <v>585</v>
      </c>
      <c r="O914" s="9" t="s">
        <v>3402</v>
      </c>
      <c r="P914" t="s">
        <v>3403</v>
      </c>
      <c r="T914" s="2"/>
      <c r="U914" s="2" t="s">
        <v>718</v>
      </c>
    </row>
    <row r="915" spans="1:21" x14ac:dyDescent="0.3">
      <c r="A915">
        <v>269308</v>
      </c>
      <c r="B915" t="s">
        <v>46</v>
      </c>
      <c r="C915" t="s">
        <v>314</v>
      </c>
      <c r="D915" t="s">
        <v>61</v>
      </c>
      <c r="E915" s="1" t="s">
        <v>3404</v>
      </c>
      <c r="F915">
        <v>24798148</v>
      </c>
      <c r="G915" t="s">
        <v>62</v>
      </c>
      <c r="H915" s="17">
        <v>79964177000591</v>
      </c>
      <c r="I915" s="17">
        <v>9576274000106</v>
      </c>
      <c r="J915" t="s">
        <v>2</v>
      </c>
      <c r="K915" s="9" t="s">
        <v>3405</v>
      </c>
      <c r="L915" t="s">
        <v>44</v>
      </c>
      <c r="M915">
        <v>819932</v>
      </c>
      <c r="N915" s="2" t="s">
        <v>585</v>
      </c>
      <c r="O915" s="9" t="s">
        <v>3405</v>
      </c>
      <c r="P915" t="s">
        <v>3406</v>
      </c>
      <c r="T915" s="2"/>
      <c r="U915" s="2" t="s">
        <v>718</v>
      </c>
    </row>
    <row r="916" spans="1:21" x14ac:dyDescent="0.3">
      <c r="A916">
        <v>269308</v>
      </c>
      <c r="B916" t="s">
        <v>88</v>
      </c>
      <c r="C916" t="s">
        <v>510</v>
      </c>
      <c r="D916" t="s">
        <v>36</v>
      </c>
      <c r="E916" s="1" t="s">
        <v>3407</v>
      </c>
      <c r="F916">
        <v>24797405</v>
      </c>
      <c r="G916" t="s">
        <v>37</v>
      </c>
      <c r="H916" s="17">
        <v>35257918000103</v>
      </c>
      <c r="I916" s="17"/>
      <c r="J916" t="s">
        <v>2</v>
      </c>
      <c r="K916" s="9" t="s">
        <v>3408</v>
      </c>
      <c r="L916" t="s">
        <v>87</v>
      </c>
      <c r="N916" s="2"/>
      <c r="O916" s="9"/>
      <c r="T916" s="2"/>
      <c r="U916" s="2" t="s">
        <v>718</v>
      </c>
    </row>
    <row r="917" spans="1:21" x14ac:dyDescent="0.3">
      <c r="A917">
        <v>269308</v>
      </c>
      <c r="B917" t="s">
        <v>46</v>
      </c>
      <c r="C917" t="s">
        <v>586</v>
      </c>
      <c r="D917" t="s">
        <v>25</v>
      </c>
      <c r="E917" s="1" t="s">
        <v>3409</v>
      </c>
      <c r="F917">
        <v>24797280</v>
      </c>
      <c r="G917" t="s">
        <v>149</v>
      </c>
      <c r="H917" s="17">
        <v>8512459000186</v>
      </c>
      <c r="I917" s="17">
        <v>90739624001866</v>
      </c>
      <c r="J917" t="s">
        <v>2</v>
      </c>
      <c r="K917" s="9" t="s">
        <v>3410</v>
      </c>
      <c r="L917" t="s">
        <v>44</v>
      </c>
      <c r="M917">
        <v>30300</v>
      </c>
      <c r="N917" s="2" t="s">
        <v>585</v>
      </c>
      <c r="O917" s="9" t="s">
        <v>3410</v>
      </c>
      <c r="P917" t="s">
        <v>3411</v>
      </c>
      <c r="T917" s="2"/>
      <c r="U917" s="2" t="s">
        <v>718</v>
      </c>
    </row>
    <row r="918" spans="1:21" x14ac:dyDescent="0.3">
      <c r="A918">
        <v>269308</v>
      </c>
      <c r="B918" t="s">
        <v>46</v>
      </c>
      <c r="C918" t="s">
        <v>528</v>
      </c>
      <c r="D918" t="s">
        <v>170</v>
      </c>
      <c r="E918" s="1" t="s">
        <v>3412</v>
      </c>
      <c r="F918">
        <v>24796256</v>
      </c>
      <c r="G918" t="s">
        <v>178</v>
      </c>
      <c r="H918" s="17">
        <v>83392050000199</v>
      </c>
      <c r="I918" s="17">
        <v>90739624001432</v>
      </c>
      <c r="J918" t="s">
        <v>2</v>
      </c>
      <c r="K918" s="9" t="s">
        <v>3413</v>
      </c>
      <c r="L918" t="s">
        <v>44</v>
      </c>
      <c r="M918">
        <v>129123</v>
      </c>
      <c r="N918" s="2" t="s">
        <v>585</v>
      </c>
      <c r="O918" s="9" t="s">
        <v>3413</v>
      </c>
      <c r="P918" t="s">
        <v>3414</v>
      </c>
      <c r="T918" s="2"/>
      <c r="U918" s="2" t="s">
        <v>718</v>
      </c>
    </row>
    <row r="919" spans="1:21" x14ac:dyDescent="0.3">
      <c r="A919">
        <v>269308</v>
      </c>
      <c r="B919" t="s">
        <v>46</v>
      </c>
      <c r="C919" t="s">
        <v>193</v>
      </c>
      <c r="D919" t="s">
        <v>63</v>
      </c>
      <c r="E919" s="1" t="s">
        <v>3415</v>
      </c>
      <c r="F919">
        <v>24795670</v>
      </c>
      <c r="G919" t="s">
        <v>64</v>
      </c>
      <c r="H919" s="17">
        <v>23448964001921</v>
      </c>
      <c r="I919" s="17">
        <v>90739624001432</v>
      </c>
      <c r="J919" t="s">
        <v>2</v>
      </c>
      <c r="K919" s="9" t="s">
        <v>3416</v>
      </c>
      <c r="L919" t="s">
        <v>44</v>
      </c>
      <c r="M919">
        <v>178772</v>
      </c>
      <c r="N919" s="2" t="s">
        <v>585</v>
      </c>
      <c r="O919" s="9" t="s">
        <v>3416</v>
      </c>
      <c r="P919" t="s">
        <v>3417</v>
      </c>
      <c r="T919" s="2"/>
      <c r="U919" s="2" t="s">
        <v>718</v>
      </c>
    </row>
    <row r="920" spans="1:21" x14ac:dyDescent="0.3">
      <c r="A920">
        <v>269308</v>
      </c>
      <c r="B920" t="s">
        <v>46</v>
      </c>
      <c r="C920" t="s">
        <v>116</v>
      </c>
      <c r="D920" t="s">
        <v>11</v>
      </c>
      <c r="E920" s="1" t="s">
        <v>3418</v>
      </c>
      <c r="F920">
        <v>24795343</v>
      </c>
      <c r="G920" t="s">
        <v>95</v>
      </c>
      <c r="H920" s="17">
        <v>37489429000102</v>
      </c>
      <c r="I920" s="17">
        <v>90739624001947</v>
      </c>
      <c r="J920" t="s">
        <v>2</v>
      </c>
      <c r="K920" s="9" t="s">
        <v>3419</v>
      </c>
      <c r="L920" t="s">
        <v>44</v>
      </c>
      <c r="M920">
        <v>4408</v>
      </c>
      <c r="N920" s="2" t="s">
        <v>585</v>
      </c>
      <c r="O920" s="9" t="s">
        <v>3419</v>
      </c>
      <c r="P920" t="s">
        <v>3420</v>
      </c>
      <c r="T920" s="2"/>
      <c r="U920" s="2" t="s">
        <v>718</v>
      </c>
    </row>
    <row r="921" spans="1:21" x14ac:dyDescent="0.3">
      <c r="A921">
        <v>269308</v>
      </c>
      <c r="B921" t="s">
        <v>46</v>
      </c>
      <c r="C921" t="s">
        <v>86</v>
      </c>
      <c r="D921" t="s">
        <v>49</v>
      </c>
      <c r="E921" s="1" t="s">
        <v>3421</v>
      </c>
      <c r="F921">
        <v>24795225</v>
      </c>
      <c r="G921" t="s">
        <v>299</v>
      </c>
      <c r="H921" s="17">
        <v>7388800000170</v>
      </c>
      <c r="I921" s="17">
        <v>9576274000106</v>
      </c>
      <c r="J921" t="s">
        <v>2</v>
      </c>
      <c r="K921" s="9" t="s">
        <v>3422</v>
      </c>
      <c r="L921" t="s">
        <v>44</v>
      </c>
      <c r="M921">
        <v>103370</v>
      </c>
      <c r="N921" s="2" t="s">
        <v>585</v>
      </c>
      <c r="O921" s="9" t="s">
        <v>3422</v>
      </c>
      <c r="P921" t="s">
        <v>3423</v>
      </c>
      <c r="T921" s="2"/>
      <c r="U921" s="2" t="s">
        <v>718</v>
      </c>
    </row>
    <row r="922" spans="1:21" x14ac:dyDescent="0.3">
      <c r="A922">
        <v>269308</v>
      </c>
      <c r="B922" t="s">
        <v>46</v>
      </c>
      <c r="C922" t="s">
        <v>565</v>
      </c>
      <c r="D922" t="s">
        <v>0</v>
      </c>
      <c r="E922" s="1" t="s">
        <v>3424</v>
      </c>
      <c r="F922">
        <v>24794243</v>
      </c>
      <c r="G922" t="s">
        <v>134</v>
      </c>
      <c r="H922" s="17">
        <v>81326258000770</v>
      </c>
      <c r="I922" s="17">
        <v>90739624001432</v>
      </c>
      <c r="J922" t="s">
        <v>2</v>
      </c>
      <c r="K922" s="9" t="s">
        <v>3425</v>
      </c>
      <c r="L922" t="s">
        <v>44</v>
      </c>
      <c r="M922">
        <v>101107</v>
      </c>
      <c r="N922" s="2" t="s">
        <v>585</v>
      </c>
      <c r="O922" s="9" t="s">
        <v>3425</v>
      </c>
      <c r="P922" t="s">
        <v>3426</v>
      </c>
      <c r="T922" s="2"/>
      <c r="U922" s="2" t="s">
        <v>718</v>
      </c>
    </row>
    <row r="923" spans="1:21" x14ac:dyDescent="0.3">
      <c r="A923">
        <v>269308</v>
      </c>
      <c r="B923" t="s">
        <v>46</v>
      </c>
      <c r="C923" t="s">
        <v>3427</v>
      </c>
      <c r="D923" t="s">
        <v>8</v>
      </c>
      <c r="E923" s="1" t="s">
        <v>3428</v>
      </c>
      <c r="F923">
        <v>24794032</v>
      </c>
      <c r="G923" t="s">
        <v>10</v>
      </c>
      <c r="H923" s="17">
        <v>33286065000102</v>
      </c>
      <c r="I923" s="17">
        <v>9576274000106</v>
      </c>
      <c r="J923" t="s">
        <v>2</v>
      </c>
      <c r="K923" s="9" t="s">
        <v>3429</v>
      </c>
      <c r="L923" t="s">
        <v>44</v>
      </c>
      <c r="M923">
        <v>4210</v>
      </c>
      <c r="N923" s="2" t="s">
        <v>585</v>
      </c>
      <c r="O923" s="9" t="s">
        <v>3429</v>
      </c>
      <c r="P923" t="s">
        <v>3430</v>
      </c>
      <c r="T923" s="2"/>
      <c r="U923" s="2" t="s">
        <v>718</v>
      </c>
    </row>
    <row r="924" spans="1:21" x14ac:dyDescent="0.3">
      <c r="A924">
        <v>269308</v>
      </c>
      <c r="B924" t="s">
        <v>46</v>
      </c>
      <c r="C924" t="s">
        <v>195</v>
      </c>
      <c r="D924" t="s">
        <v>63</v>
      </c>
      <c r="E924" s="1" t="s">
        <v>3431</v>
      </c>
      <c r="F924">
        <v>24794021</v>
      </c>
      <c r="G924" t="s">
        <v>64</v>
      </c>
      <c r="H924" s="17">
        <v>23448964001921</v>
      </c>
      <c r="I924" s="17">
        <v>90739624001432</v>
      </c>
      <c r="J924" t="s">
        <v>2</v>
      </c>
      <c r="K924" s="9" t="s">
        <v>3432</v>
      </c>
      <c r="L924" t="s">
        <v>44</v>
      </c>
      <c r="M924">
        <v>178756</v>
      </c>
      <c r="N924" s="2" t="s">
        <v>585</v>
      </c>
      <c r="O924" s="9" t="s">
        <v>3432</v>
      </c>
      <c r="P924" t="s">
        <v>3433</v>
      </c>
      <c r="T924" s="2"/>
      <c r="U924" s="2" t="s">
        <v>718</v>
      </c>
    </row>
    <row r="925" spans="1:21" x14ac:dyDescent="0.3">
      <c r="A925">
        <v>269308</v>
      </c>
      <c r="B925" t="s">
        <v>88</v>
      </c>
      <c r="C925" t="s">
        <v>506</v>
      </c>
      <c r="D925" t="s">
        <v>73</v>
      </c>
      <c r="E925" s="1" t="s">
        <v>3434</v>
      </c>
      <c r="F925">
        <v>24793877</v>
      </c>
      <c r="G925" t="s">
        <v>694</v>
      </c>
      <c r="H925" s="17">
        <v>7473735020026</v>
      </c>
      <c r="I925" s="17"/>
      <c r="J925" t="s">
        <v>2</v>
      </c>
      <c r="K925" s="9" t="s">
        <v>3435</v>
      </c>
      <c r="L925" t="s">
        <v>87</v>
      </c>
      <c r="N925" s="2"/>
      <c r="O925" s="9"/>
      <c r="T925" s="2"/>
      <c r="U925" s="2" t="s">
        <v>718</v>
      </c>
    </row>
    <row r="926" spans="1:21" x14ac:dyDescent="0.3">
      <c r="A926">
        <v>269308</v>
      </c>
      <c r="B926" t="s">
        <v>46</v>
      </c>
      <c r="C926" t="s">
        <v>628</v>
      </c>
      <c r="D926" t="s">
        <v>170</v>
      </c>
      <c r="E926" s="1" t="s">
        <v>3436</v>
      </c>
      <c r="F926">
        <v>24793873</v>
      </c>
      <c r="G926" t="s">
        <v>178</v>
      </c>
      <c r="H926" s="17">
        <v>83392050000199</v>
      </c>
      <c r="I926" s="17">
        <v>90739624001432</v>
      </c>
      <c r="J926" t="s">
        <v>17</v>
      </c>
      <c r="K926" s="9" t="s">
        <v>3437</v>
      </c>
      <c r="L926" t="s">
        <v>44</v>
      </c>
      <c r="M926">
        <v>129113</v>
      </c>
      <c r="N926" s="2" t="s">
        <v>585</v>
      </c>
      <c r="O926" s="9" t="s">
        <v>3437</v>
      </c>
      <c r="P926" t="s">
        <v>3438</v>
      </c>
      <c r="T926" s="2"/>
      <c r="U926" s="2" t="s">
        <v>718</v>
      </c>
    </row>
    <row r="927" spans="1:21" x14ac:dyDescent="0.3">
      <c r="A927">
        <v>269308</v>
      </c>
      <c r="B927" t="s">
        <v>46</v>
      </c>
      <c r="C927" t="s">
        <v>628</v>
      </c>
      <c r="D927" t="s">
        <v>170</v>
      </c>
      <c r="E927" s="1" t="s">
        <v>3439</v>
      </c>
      <c r="F927">
        <v>24793846</v>
      </c>
      <c r="G927" t="s">
        <v>178</v>
      </c>
      <c r="H927" s="17">
        <v>83392050000199</v>
      </c>
      <c r="I927" s="17">
        <v>90739624001432</v>
      </c>
      <c r="J927" t="s">
        <v>2</v>
      </c>
      <c r="K927" s="9" t="s">
        <v>3440</v>
      </c>
      <c r="L927" t="s">
        <v>44</v>
      </c>
      <c r="M927">
        <v>129112</v>
      </c>
      <c r="N927" s="2" t="s">
        <v>585</v>
      </c>
      <c r="O927" s="9" t="s">
        <v>3440</v>
      </c>
      <c r="P927" t="s">
        <v>3441</v>
      </c>
      <c r="T927" s="2"/>
      <c r="U927" s="2" t="s">
        <v>718</v>
      </c>
    </row>
    <row r="928" spans="1:21" x14ac:dyDescent="0.3">
      <c r="A928">
        <v>269308</v>
      </c>
      <c r="B928" t="s">
        <v>46</v>
      </c>
      <c r="C928" t="s">
        <v>302</v>
      </c>
      <c r="D928" t="s">
        <v>61</v>
      </c>
      <c r="E928" s="1" t="s">
        <v>3442</v>
      </c>
      <c r="F928">
        <v>24793834</v>
      </c>
      <c r="G928" t="s">
        <v>85</v>
      </c>
      <c r="H928" s="17">
        <v>1975878000105</v>
      </c>
      <c r="I928" s="17">
        <v>9576274000106</v>
      </c>
      <c r="J928" t="s">
        <v>2</v>
      </c>
      <c r="K928" s="9" t="s">
        <v>3443</v>
      </c>
      <c r="L928" t="s">
        <v>44</v>
      </c>
      <c r="M928">
        <v>2497</v>
      </c>
      <c r="N928" s="2" t="s">
        <v>585</v>
      </c>
      <c r="O928" s="9" t="s">
        <v>3444</v>
      </c>
      <c r="P928" t="s">
        <v>3445</v>
      </c>
      <c r="T928" s="2"/>
      <c r="U928" s="2" t="s">
        <v>718</v>
      </c>
    </row>
    <row r="929" spans="1:21" x14ac:dyDescent="0.3">
      <c r="A929">
        <v>269308</v>
      </c>
      <c r="B929" t="s">
        <v>88</v>
      </c>
      <c r="C929" t="s">
        <v>238</v>
      </c>
      <c r="D929" t="s">
        <v>8</v>
      </c>
      <c r="E929" s="1" t="s">
        <v>3446</v>
      </c>
      <c r="F929">
        <v>24793828</v>
      </c>
      <c r="G929" t="s">
        <v>285</v>
      </c>
      <c r="H929" s="17">
        <v>7473735012198</v>
      </c>
      <c r="I929" s="17"/>
      <c r="J929" t="s">
        <v>2</v>
      </c>
      <c r="K929" s="9" t="s">
        <v>3447</v>
      </c>
      <c r="L929" t="s">
        <v>87</v>
      </c>
      <c r="N929" s="2"/>
      <c r="O929" s="9"/>
      <c r="T929" s="2"/>
      <c r="U929" s="2" t="s">
        <v>718</v>
      </c>
    </row>
    <row r="930" spans="1:21" x14ac:dyDescent="0.3">
      <c r="A930">
        <v>269308</v>
      </c>
      <c r="B930" t="s">
        <v>46</v>
      </c>
      <c r="C930" t="s">
        <v>55</v>
      </c>
      <c r="D930" t="s">
        <v>31</v>
      </c>
      <c r="E930" s="1" t="s">
        <v>3448</v>
      </c>
      <c r="F930">
        <v>24793818</v>
      </c>
      <c r="G930" t="s">
        <v>184</v>
      </c>
      <c r="H930" s="17">
        <v>8399617000303</v>
      </c>
      <c r="I930" s="17">
        <v>90739624001866</v>
      </c>
      <c r="J930" t="s">
        <v>2</v>
      </c>
      <c r="K930" s="9" t="s">
        <v>615</v>
      </c>
      <c r="L930" t="s">
        <v>44</v>
      </c>
      <c r="M930">
        <v>109967</v>
      </c>
      <c r="N930" s="2" t="s">
        <v>585</v>
      </c>
      <c r="O930" s="9" t="s">
        <v>615</v>
      </c>
      <c r="P930" t="s">
        <v>3449</v>
      </c>
      <c r="T930" s="2"/>
      <c r="U930" s="2" t="s">
        <v>718</v>
      </c>
    </row>
    <row r="931" spans="1:21" x14ac:dyDescent="0.3">
      <c r="A931">
        <v>269308</v>
      </c>
      <c r="B931" t="s">
        <v>46</v>
      </c>
      <c r="C931" t="s">
        <v>155</v>
      </c>
      <c r="D931" t="s">
        <v>8</v>
      </c>
      <c r="E931" s="1" t="s">
        <v>3450</v>
      </c>
      <c r="F931">
        <v>24793759</v>
      </c>
      <c r="G931" t="s">
        <v>144</v>
      </c>
      <c r="H931" s="17">
        <v>37607755000169</v>
      </c>
      <c r="I931" s="17">
        <v>9576274000106</v>
      </c>
      <c r="J931" t="s">
        <v>2</v>
      </c>
      <c r="K931" s="9" t="s">
        <v>3451</v>
      </c>
      <c r="L931" t="s">
        <v>44</v>
      </c>
      <c r="M931">
        <v>10518</v>
      </c>
      <c r="N931" s="2" t="s">
        <v>585</v>
      </c>
      <c r="O931" s="9" t="s">
        <v>3451</v>
      </c>
      <c r="P931" t="s">
        <v>3452</v>
      </c>
      <c r="T931" s="2"/>
      <c r="U931" s="2" t="s">
        <v>718</v>
      </c>
    </row>
    <row r="932" spans="1:21" x14ac:dyDescent="0.3">
      <c r="A932">
        <v>269308</v>
      </c>
      <c r="B932" t="s">
        <v>88</v>
      </c>
      <c r="C932" t="s">
        <v>3453</v>
      </c>
      <c r="D932" t="s">
        <v>58</v>
      </c>
      <c r="E932" s="1" t="s">
        <v>3454</v>
      </c>
      <c r="F932">
        <v>24793632</v>
      </c>
      <c r="G932" t="s">
        <v>167</v>
      </c>
      <c r="H932" s="17">
        <v>7473735016266</v>
      </c>
      <c r="I932" s="17"/>
      <c r="J932" t="s">
        <v>2</v>
      </c>
      <c r="K932" s="9" t="s">
        <v>3455</v>
      </c>
      <c r="L932" t="s">
        <v>87</v>
      </c>
      <c r="N932" s="2"/>
      <c r="O932" s="9"/>
      <c r="T932" s="2"/>
      <c r="U932" s="2" t="s">
        <v>718</v>
      </c>
    </row>
    <row r="933" spans="1:21" x14ac:dyDescent="0.3">
      <c r="A933">
        <v>269308</v>
      </c>
      <c r="B933" t="s">
        <v>46</v>
      </c>
      <c r="C933" t="s">
        <v>129</v>
      </c>
      <c r="D933" t="s">
        <v>25</v>
      </c>
      <c r="E933" s="1" t="s">
        <v>3456</v>
      </c>
      <c r="F933">
        <v>24793611</v>
      </c>
      <c r="G933" t="s">
        <v>345</v>
      </c>
      <c r="H933" s="17">
        <v>656619000230</v>
      </c>
      <c r="I933" s="17">
        <v>90739624001866</v>
      </c>
      <c r="J933" t="s">
        <v>2</v>
      </c>
      <c r="K933" s="9" t="s">
        <v>3457</v>
      </c>
      <c r="L933" t="s">
        <v>44</v>
      </c>
      <c r="M933">
        <v>69856</v>
      </c>
      <c r="N933" s="2" t="s">
        <v>585</v>
      </c>
      <c r="O933" s="9" t="s">
        <v>3457</v>
      </c>
      <c r="P933" t="s">
        <v>3458</v>
      </c>
      <c r="T933" s="2"/>
      <c r="U933" s="2" t="s">
        <v>718</v>
      </c>
    </row>
    <row r="934" spans="1:21" x14ac:dyDescent="0.3">
      <c r="A934">
        <v>269308</v>
      </c>
      <c r="B934" t="s">
        <v>46</v>
      </c>
      <c r="C934" t="s">
        <v>490</v>
      </c>
      <c r="D934" t="s">
        <v>61</v>
      </c>
      <c r="E934" s="1" t="s">
        <v>3459</v>
      </c>
      <c r="F934">
        <v>24793584</v>
      </c>
      <c r="G934" t="s">
        <v>62</v>
      </c>
      <c r="H934" s="17">
        <v>79964177000591</v>
      </c>
      <c r="I934" s="17">
        <v>9576274000106</v>
      </c>
      <c r="J934" t="s">
        <v>2</v>
      </c>
      <c r="K934" s="9" t="s">
        <v>3460</v>
      </c>
      <c r="L934" t="s">
        <v>44</v>
      </c>
      <c r="M934">
        <v>819906</v>
      </c>
      <c r="N934" s="2" t="s">
        <v>585</v>
      </c>
      <c r="O934" s="9" t="s">
        <v>3460</v>
      </c>
      <c r="P934" t="s">
        <v>3461</v>
      </c>
      <c r="T934" s="2"/>
      <c r="U934" s="2" t="s">
        <v>718</v>
      </c>
    </row>
    <row r="935" spans="1:21" x14ac:dyDescent="0.3">
      <c r="A935">
        <v>269308</v>
      </c>
      <c r="B935" t="s">
        <v>46</v>
      </c>
      <c r="C935" t="s">
        <v>466</v>
      </c>
      <c r="D935" t="s">
        <v>63</v>
      </c>
      <c r="E935" s="1" t="s">
        <v>3462</v>
      </c>
      <c r="F935">
        <v>24793569</v>
      </c>
      <c r="G935" t="s">
        <v>64</v>
      </c>
      <c r="H935" s="17">
        <v>23448964001921</v>
      </c>
      <c r="I935" s="17">
        <v>90739624001432</v>
      </c>
      <c r="J935" t="s">
        <v>2</v>
      </c>
      <c r="K935" s="9" t="s">
        <v>3463</v>
      </c>
      <c r="L935" t="s">
        <v>44</v>
      </c>
      <c r="M935">
        <v>178748</v>
      </c>
      <c r="N935" s="2" t="s">
        <v>585</v>
      </c>
      <c r="O935" s="9" t="s">
        <v>3463</v>
      </c>
      <c r="P935" t="s">
        <v>3464</v>
      </c>
      <c r="T935" s="2"/>
      <c r="U935" s="2" t="s">
        <v>718</v>
      </c>
    </row>
    <row r="936" spans="1:21" x14ac:dyDescent="0.3">
      <c r="A936">
        <v>269308</v>
      </c>
      <c r="B936" t="s">
        <v>46</v>
      </c>
      <c r="C936" t="s">
        <v>525</v>
      </c>
      <c r="D936" t="s">
        <v>28</v>
      </c>
      <c r="E936" s="1" t="s">
        <v>3465</v>
      </c>
      <c r="F936">
        <v>24793561</v>
      </c>
      <c r="G936" t="s">
        <v>48</v>
      </c>
      <c r="H936" s="17">
        <v>1272434001002</v>
      </c>
      <c r="I936" s="17">
        <v>90739624001947</v>
      </c>
      <c r="J936" t="s">
        <v>2</v>
      </c>
      <c r="K936" s="9" t="s">
        <v>3466</v>
      </c>
      <c r="L936" t="s">
        <v>44</v>
      </c>
      <c r="M936">
        <v>81158</v>
      </c>
      <c r="N936" s="2" t="s">
        <v>585</v>
      </c>
      <c r="O936" s="9" t="s">
        <v>3466</v>
      </c>
      <c r="P936" t="s">
        <v>3467</v>
      </c>
      <c r="T936" s="2"/>
      <c r="U936" s="2" t="s">
        <v>718</v>
      </c>
    </row>
    <row r="937" spans="1:21" x14ac:dyDescent="0.3">
      <c r="A937">
        <v>269308</v>
      </c>
      <c r="B937" t="s">
        <v>46</v>
      </c>
      <c r="C937" t="s">
        <v>560</v>
      </c>
      <c r="D937" t="s">
        <v>28</v>
      </c>
      <c r="E937" s="1" t="s">
        <v>3468</v>
      </c>
      <c r="F937">
        <v>24793552</v>
      </c>
      <c r="G937" t="s">
        <v>29</v>
      </c>
      <c r="H937" s="17">
        <v>47377960000139</v>
      </c>
      <c r="I937" s="17">
        <v>90739624001947</v>
      </c>
      <c r="J937" t="s">
        <v>2</v>
      </c>
      <c r="K937" s="9" t="s">
        <v>3469</v>
      </c>
      <c r="L937" t="s">
        <v>44</v>
      </c>
      <c r="M937">
        <v>113031</v>
      </c>
      <c r="N937" s="2" t="s">
        <v>695</v>
      </c>
      <c r="O937" s="9" t="s">
        <v>3469</v>
      </c>
      <c r="P937" t="s">
        <v>3470</v>
      </c>
      <c r="T937" s="2"/>
      <c r="U937" s="2" t="s">
        <v>718</v>
      </c>
    </row>
    <row r="938" spans="1:21" x14ac:dyDescent="0.3">
      <c r="A938">
        <v>269308</v>
      </c>
      <c r="B938" t="s">
        <v>46</v>
      </c>
      <c r="C938" t="s">
        <v>84</v>
      </c>
      <c r="D938" t="s">
        <v>61</v>
      </c>
      <c r="E938" s="1" t="s">
        <v>3471</v>
      </c>
      <c r="F938">
        <v>24793510</v>
      </c>
      <c r="G938" t="s">
        <v>85</v>
      </c>
      <c r="H938" s="17">
        <v>1975878000105</v>
      </c>
      <c r="I938" s="17">
        <v>9576274000106</v>
      </c>
      <c r="J938" t="s">
        <v>2</v>
      </c>
      <c r="K938" s="9" t="s">
        <v>3472</v>
      </c>
      <c r="L938" t="s">
        <v>44</v>
      </c>
      <c r="M938">
        <v>2496</v>
      </c>
      <c r="N938" s="2" t="s">
        <v>585</v>
      </c>
      <c r="O938" s="9" t="s">
        <v>3473</v>
      </c>
      <c r="P938" t="s">
        <v>3474</v>
      </c>
      <c r="T938" s="2"/>
      <c r="U938" s="2" t="s">
        <v>718</v>
      </c>
    </row>
    <row r="939" spans="1:21" x14ac:dyDescent="0.3">
      <c r="A939">
        <v>269308</v>
      </c>
      <c r="B939" t="s">
        <v>46</v>
      </c>
      <c r="C939" t="s">
        <v>227</v>
      </c>
      <c r="D939" t="s">
        <v>40</v>
      </c>
      <c r="E939" s="1" t="s">
        <v>3475</v>
      </c>
      <c r="F939">
        <v>24793495</v>
      </c>
      <c r="G939" t="s">
        <v>42</v>
      </c>
      <c r="H939" s="17">
        <v>82156977000248</v>
      </c>
      <c r="I939" s="17">
        <v>90739624001432</v>
      </c>
      <c r="J939" t="s">
        <v>2</v>
      </c>
      <c r="K939" s="9" t="s">
        <v>1287</v>
      </c>
      <c r="L939" t="s">
        <v>44</v>
      </c>
      <c r="M939">
        <v>168185</v>
      </c>
      <c r="N939" s="2" t="s">
        <v>585</v>
      </c>
      <c r="O939" s="9" t="s">
        <v>1287</v>
      </c>
      <c r="P939" t="s">
        <v>3476</v>
      </c>
      <c r="T939" s="2"/>
      <c r="U939" s="2" t="s">
        <v>718</v>
      </c>
    </row>
    <row r="940" spans="1:21" x14ac:dyDescent="0.3">
      <c r="A940">
        <v>269308</v>
      </c>
      <c r="B940" t="s">
        <v>46</v>
      </c>
      <c r="C940" t="s">
        <v>185</v>
      </c>
      <c r="D940" t="s">
        <v>36</v>
      </c>
      <c r="E940" s="1" t="s">
        <v>3477</v>
      </c>
      <c r="F940">
        <v>24793357</v>
      </c>
      <c r="G940" t="s">
        <v>186</v>
      </c>
      <c r="H940" s="17">
        <v>7822636000168</v>
      </c>
      <c r="I940" s="17">
        <v>90739624004458</v>
      </c>
      <c r="J940" t="s">
        <v>2</v>
      </c>
      <c r="K940" s="9" t="s">
        <v>630</v>
      </c>
      <c r="L940" t="s">
        <v>44</v>
      </c>
      <c r="M940">
        <v>4113</v>
      </c>
      <c r="N940" s="2" t="s">
        <v>585</v>
      </c>
      <c r="O940" s="9" t="s">
        <v>3478</v>
      </c>
      <c r="P940" t="s">
        <v>3479</v>
      </c>
      <c r="T940" s="2"/>
      <c r="U940" s="2" t="s">
        <v>718</v>
      </c>
    </row>
    <row r="941" spans="1:21" x14ac:dyDescent="0.3">
      <c r="A941">
        <v>269308</v>
      </c>
      <c r="B941" t="s">
        <v>46</v>
      </c>
      <c r="C941" t="s">
        <v>243</v>
      </c>
      <c r="D941" t="s">
        <v>61</v>
      </c>
      <c r="E941" s="1" t="s">
        <v>3480</v>
      </c>
      <c r="F941">
        <v>24793347</v>
      </c>
      <c r="G941" t="s">
        <v>85</v>
      </c>
      <c r="H941" s="17">
        <v>1975878000105</v>
      </c>
      <c r="I941" s="17">
        <v>9576274000106</v>
      </c>
      <c r="J941" t="s">
        <v>2</v>
      </c>
      <c r="K941" s="9" t="s">
        <v>3481</v>
      </c>
      <c r="L941" t="s">
        <v>44</v>
      </c>
      <c r="M941">
        <v>2495</v>
      </c>
      <c r="N941" s="2" t="s">
        <v>585</v>
      </c>
      <c r="O941" s="9" t="s">
        <v>3482</v>
      </c>
      <c r="P941" t="s">
        <v>3483</v>
      </c>
      <c r="T941" s="2"/>
      <c r="U941" s="2" t="s">
        <v>718</v>
      </c>
    </row>
    <row r="942" spans="1:21" x14ac:dyDescent="0.3">
      <c r="A942">
        <v>269308</v>
      </c>
      <c r="B942" t="s">
        <v>46</v>
      </c>
      <c r="C942" t="s">
        <v>334</v>
      </c>
      <c r="D942" t="s">
        <v>58</v>
      </c>
      <c r="E942" s="1" t="s">
        <v>3484</v>
      </c>
      <c r="F942">
        <v>24793183</v>
      </c>
      <c r="G942" t="s">
        <v>106</v>
      </c>
      <c r="H942" s="17">
        <v>7473735015103</v>
      </c>
      <c r="I942" s="17">
        <v>90739624002323</v>
      </c>
      <c r="J942" t="s">
        <v>2</v>
      </c>
      <c r="K942" s="9" t="s">
        <v>3485</v>
      </c>
      <c r="L942" t="s">
        <v>44</v>
      </c>
      <c r="M942">
        <v>110707</v>
      </c>
      <c r="N942" s="2" t="s">
        <v>585</v>
      </c>
      <c r="O942" s="9" t="s">
        <v>3485</v>
      </c>
      <c r="P942" t="s">
        <v>3486</v>
      </c>
      <c r="T942" s="2"/>
      <c r="U942" s="2" t="s">
        <v>718</v>
      </c>
    </row>
    <row r="943" spans="1:21" x14ac:dyDescent="0.3">
      <c r="A943">
        <v>269308</v>
      </c>
      <c r="B943" t="s">
        <v>46</v>
      </c>
      <c r="C943" t="s">
        <v>1309</v>
      </c>
      <c r="D943" t="s">
        <v>63</v>
      </c>
      <c r="E943" s="1" t="s">
        <v>3487</v>
      </c>
      <c r="F943">
        <v>24793127</v>
      </c>
      <c r="G943" t="s">
        <v>64</v>
      </c>
      <c r="H943" s="17">
        <v>23448964001921</v>
      </c>
      <c r="I943" s="17">
        <v>90739624001432</v>
      </c>
      <c r="J943" t="s">
        <v>2</v>
      </c>
      <c r="K943" s="9" t="s">
        <v>3488</v>
      </c>
      <c r="L943" t="s">
        <v>44</v>
      </c>
      <c r="M943">
        <v>178740</v>
      </c>
      <c r="N943" s="2" t="s">
        <v>585</v>
      </c>
      <c r="O943" s="9" t="s">
        <v>3488</v>
      </c>
      <c r="P943" t="s">
        <v>3489</v>
      </c>
      <c r="T943" s="2"/>
      <c r="U943" s="2" t="s">
        <v>718</v>
      </c>
    </row>
    <row r="944" spans="1:21" x14ac:dyDescent="0.3">
      <c r="A944">
        <v>269308</v>
      </c>
      <c r="B944" t="s">
        <v>46</v>
      </c>
      <c r="C944" t="s">
        <v>147</v>
      </c>
      <c r="D944" t="s">
        <v>40</v>
      </c>
      <c r="E944" s="1" t="s">
        <v>3490</v>
      </c>
      <c r="F944">
        <v>24793121</v>
      </c>
      <c r="G944" t="s">
        <v>42</v>
      </c>
      <c r="H944" s="17">
        <v>82156977000248</v>
      </c>
      <c r="I944" s="17">
        <v>90739624001432</v>
      </c>
      <c r="J944" t="s">
        <v>17</v>
      </c>
      <c r="K944" s="9" t="s">
        <v>3491</v>
      </c>
      <c r="L944" t="s">
        <v>44</v>
      </c>
      <c r="M944">
        <v>168184</v>
      </c>
      <c r="N944" s="2" t="s">
        <v>585</v>
      </c>
      <c r="O944" s="9" t="s">
        <v>3491</v>
      </c>
      <c r="P944" t="s">
        <v>3492</v>
      </c>
      <c r="T944" s="2"/>
      <c r="U944" s="2" t="s">
        <v>718</v>
      </c>
    </row>
    <row r="945" spans="1:21" x14ac:dyDescent="0.3">
      <c r="A945">
        <v>269308</v>
      </c>
      <c r="B945" t="s">
        <v>46</v>
      </c>
      <c r="C945" t="s">
        <v>147</v>
      </c>
      <c r="D945" t="s">
        <v>40</v>
      </c>
      <c r="E945" s="1" t="s">
        <v>3493</v>
      </c>
      <c r="F945">
        <v>24793104</v>
      </c>
      <c r="G945" t="s">
        <v>42</v>
      </c>
      <c r="H945" s="17">
        <v>82156977000248</v>
      </c>
      <c r="I945" s="17">
        <v>90739624001432</v>
      </c>
      <c r="J945" t="s">
        <v>2</v>
      </c>
      <c r="K945" s="9" t="s">
        <v>3494</v>
      </c>
      <c r="L945" t="s">
        <v>44</v>
      </c>
      <c r="M945">
        <v>168183</v>
      </c>
      <c r="N945" s="2" t="s">
        <v>585</v>
      </c>
      <c r="O945" s="9" t="s">
        <v>3494</v>
      </c>
      <c r="P945" t="s">
        <v>3495</v>
      </c>
      <c r="T945" s="2"/>
      <c r="U945" s="2" t="s">
        <v>718</v>
      </c>
    </row>
    <row r="946" spans="1:21" x14ac:dyDescent="0.3">
      <c r="A946">
        <v>269308</v>
      </c>
      <c r="B946" t="s">
        <v>46</v>
      </c>
      <c r="C946" t="s">
        <v>307</v>
      </c>
      <c r="D946" t="s">
        <v>61</v>
      </c>
      <c r="E946" s="1" t="s">
        <v>3496</v>
      </c>
      <c r="F946">
        <v>24793095</v>
      </c>
      <c r="G946" t="s">
        <v>85</v>
      </c>
      <c r="H946" s="17">
        <v>1975878000105</v>
      </c>
      <c r="I946" s="17">
        <v>9576274000106</v>
      </c>
      <c r="J946" t="s">
        <v>2</v>
      </c>
      <c r="K946" s="9" t="s">
        <v>660</v>
      </c>
      <c r="L946" t="s">
        <v>44</v>
      </c>
      <c r="M946">
        <v>2494</v>
      </c>
      <c r="N946" s="2" t="s">
        <v>585</v>
      </c>
      <c r="O946" s="9" t="s">
        <v>3497</v>
      </c>
      <c r="P946" t="s">
        <v>3498</v>
      </c>
      <c r="T946" s="2"/>
      <c r="U946" s="2" t="s">
        <v>718</v>
      </c>
    </row>
    <row r="947" spans="1:21" x14ac:dyDescent="0.3">
      <c r="A947">
        <v>269308</v>
      </c>
      <c r="B947" t="s">
        <v>46</v>
      </c>
      <c r="C947" t="s">
        <v>389</v>
      </c>
      <c r="D947" t="s">
        <v>58</v>
      </c>
      <c r="E947" s="1" t="s">
        <v>3499</v>
      </c>
      <c r="F947">
        <v>24793078</v>
      </c>
      <c r="G947" t="s">
        <v>532</v>
      </c>
      <c r="H947" s="17">
        <v>7473735018552</v>
      </c>
      <c r="I947" s="17">
        <v>90739624002323</v>
      </c>
      <c r="J947" t="s">
        <v>2</v>
      </c>
      <c r="K947" s="9" t="s">
        <v>3500</v>
      </c>
      <c r="L947" t="s">
        <v>44</v>
      </c>
      <c r="M947">
        <v>56140</v>
      </c>
      <c r="N947" s="2" t="s">
        <v>585</v>
      </c>
      <c r="O947" s="9" t="s">
        <v>3500</v>
      </c>
      <c r="P947" t="s">
        <v>3501</v>
      </c>
      <c r="T947" s="2"/>
      <c r="U947" s="2" t="s">
        <v>718</v>
      </c>
    </row>
    <row r="948" spans="1:21" x14ac:dyDescent="0.3">
      <c r="A948">
        <v>269308</v>
      </c>
      <c r="B948" t="s">
        <v>88</v>
      </c>
      <c r="C948" t="s">
        <v>336</v>
      </c>
      <c r="D948" t="s">
        <v>13</v>
      </c>
      <c r="E948" s="1" t="s">
        <v>3502</v>
      </c>
      <c r="F948">
        <v>24792979</v>
      </c>
      <c r="G948" t="s">
        <v>315</v>
      </c>
      <c r="H948" s="17">
        <v>2322969000104</v>
      </c>
      <c r="I948" s="17"/>
      <c r="J948" t="s">
        <v>2</v>
      </c>
      <c r="K948" s="9" t="s">
        <v>3503</v>
      </c>
      <c r="L948" t="s">
        <v>87</v>
      </c>
      <c r="N948" s="2"/>
      <c r="O948" s="9"/>
      <c r="T948" s="2"/>
      <c r="U948" s="2" t="s">
        <v>718</v>
      </c>
    </row>
    <row r="949" spans="1:21" x14ac:dyDescent="0.3">
      <c r="A949">
        <v>269308</v>
      </c>
      <c r="B949" t="s">
        <v>46</v>
      </c>
      <c r="C949" t="s">
        <v>177</v>
      </c>
      <c r="D949" t="s">
        <v>170</v>
      </c>
      <c r="E949" s="1" t="s">
        <v>3504</v>
      </c>
      <c r="F949">
        <v>24792890</v>
      </c>
      <c r="G949" t="s">
        <v>171</v>
      </c>
      <c r="H949" s="17">
        <v>14631967000186</v>
      </c>
      <c r="I949" s="17">
        <v>90739624001432</v>
      </c>
      <c r="J949" t="s">
        <v>2</v>
      </c>
      <c r="K949" s="9" t="s">
        <v>3505</v>
      </c>
      <c r="L949" t="s">
        <v>44</v>
      </c>
      <c r="M949">
        <v>47408</v>
      </c>
      <c r="N949" s="2" t="s">
        <v>585</v>
      </c>
      <c r="O949" s="9" t="s">
        <v>3505</v>
      </c>
      <c r="P949" t="s">
        <v>3506</v>
      </c>
      <c r="T949" s="2"/>
      <c r="U949" s="2" t="s">
        <v>718</v>
      </c>
    </row>
    <row r="950" spans="1:21" x14ac:dyDescent="0.3">
      <c r="A950">
        <v>269308</v>
      </c>
      <c r="B950" t="s">
        <v>46</v>
      </c>
      <c r="C950" t="s">
        <v>392</v>
      </c>
      <c r="D950" t="s">
        <v>58</v>
      </c>
      <c r="E950" s="1" t="s">
        <v>3507</v>
      </c>
      <c r="F950">
        <v>24792862</v>
      </c>
      <c r="G950" t="s">
        <v>480</v>
      </c>
      <c r="H950" s="17">
        <v>7473735019877</v>
      </c>
      <c r="I950" s="17">
        <v>90739624002323</v>
      </c>
      <c r="J950" t="s">
        <v>2</v>
      </c>
      <c r="K950" s="9" t="s">
        <v>3508</v>
      </c>
      <c r="L950" t="s">
        <v>44</v>
      </c>
      <c r="M950">
        <v>57548</v>
      </c>
      <c r="N950" s="2" t="s">
        <v>585</v>
      </c>
      <c r="O950" s="9" t="s">
        <v>3508</v>
      </c>
      <c r="P950" t="s">
        <v>3509</v>
      </c>
      <c r="T950" s="2"/>
      <c r="U950" s="2" t="s">
        <v>718</v>
      </c>
    </row>
    <row r="951" spans="1:21" x14ac:dyDescent="0.3">
      <c r="A951">
        <v>269308</v>
      </c>
      <c r="B951" t="s">
        <v>46</v>
      </c>
      <c r="C951" t="s">
        <v>196</v>
      </c>
      <c r="D951" t="s">
        <v>36</v>
      </c>
      <c r="E951" s="1" t="s">
        <v>3510</v>
      </c>
      <c r="F951">
        <v>24792854</v>
      </c>
      <c r="G951" t="s">
        <v>186</v>
      </c>
      <c r="H951" s="17">
        <v>7822636000168</v>
      </c>
      <c r="I951" s="17">
        <v>90739624004458</v>
      </c>
      <c r="J951" t="s">
        <v>2</v>
      </c>
      <c r="K951" s="9" t="s">
        <v>3511</v>
      </c>
      <c r="L951" t="s">
        <v>44</v>
      </c>
      <c r="M951">
        <v>4111</v>
      </c>
      <c r="N951" s="2" t="s">
        <v>585</v>
      </c>
      <c r="O951" s="9" t="s">
        <v>3511</v>
      </c>
      <c r="P951" t="s">
        <v>3512</v>
      </c>
      <c r="T951" s="2"/>
      <c r="U951" s="2" t="s">
        <v>718</v>
      </c>
    </row>
    <row r="952" spans="1:21" x14ac:dyDescent="0.3">
      <c r="A952">
        <v>269308</v>
      </c>
      <c r="B952" t="s">
        <v>46</v>
      </c>
      <c r="C952" t="s">
        <v>500</v>
      </c>
      <c r="D952" t="s">
        <v>63</v>
      </c>
      <c r="E952" s="1" t="s">
        <v>3513</v>
      </c>
      <c r="F952">
        <v>24792812</v>
      </c>
      <c r="G952" t="s">
        <v>64</v>
      </c>
      <c r="H952" s="17">
        <v>23448964001921</v>
      </c>
      <c r="I952" s="17">
        <v>90739624001432</v>
      </c>
      <c r="J952" t="s">
        <v>2</v>
      </c>
      <c r="K952" s="9" t="s">
        <v>3514</v>
      </c>
      <c r="L952" t="s">
        <v>44</v>
      </c>
      <c r="M952">
        <v>178734</v>
      </c>
      <c r="N952" s="2" t="s">
        <v>585</v>
      </c>
      <c r="O952" s="9" t="s">
        <v>3514</v>
      </c>
      <c r="P952" t="s">
        <v>3515</v>
      </c>
      <c r="T952" s="2"/>
      <c r="U952" s="2" t="s">
        <v>718</v>
      </c>
    </row>
    <row r="953" spans="1:21" x14ac:dyDescent="0.3">
      <c r="A953">
        <v>269308</v>
      </c>
      <c r="B953" t="s">
        <v>46</v>
      </c>
      <c r="C953" t="s">
        <v>327</v>
      </c>
      <c r="D953" t="s">
        <v>174</v>
      </c>
      <c r="E953" s="1" t="s">
        <v>3516</v>
      </c>
      <c r="F953">
        <v>24792789</v>
      </c>
      <c r="G953" t="s">
        <v>328</v>
      </c>
      <c r="H953" s="17">
        <v>33210337000182</v>
      </c>
      <c r="I953" s="17">
        <v>90739624000118</v>
      </c>
      <c r="J953" t="s">
        <v>2</v>
      </c>
      <c r="K953" s="9" t="s">
        <v>3517</v>
      </c>
      <c r="L953" t="s">
        <v>44</v>
      </c>
      <c r="M953">
        <v>83122</v>
      </c>
      <c r="N953" s="2" t="s">
        <v>583</v>
      </c>
      <c r="O953" s="9" t="s">
        <v>3517</v>
      </c>
      <c r="P953" t="s">
        <v>3518</v>
      </c>
      <c r="T953" s="2"/>
      <c r="U953" s="2" t="s">
        <v>718</v>
      </c>
    </row>
    <row r="954" spans="1:21" x14ac:dyDescent="0.3">
      <c r="A954">
        <v>269308</v>
      </c>
      <c r="B954" t="s">
        <v>46</v>
      </c>
      <c r="C954" t="s">
        <v>318</v>
      </c>
      <c r="D954" t="s">
        <v>58</v>
      </c>
      <c r="E954" s="1" t="s">
        <v>3519</v>
      </c>
      <c r="F954">
        <v>24792604</v>
      </c>
      <c r="G954" t="s">
        <v>69</v>
      </c>
      <c r="H954" s="17">
        <v>7473735015375</v>
      </c>
      <c r="I954" s="17">
        <v>90739624002323</v>
      </c>
      <c r="J954" t="s">
        <v>2</v>
      </c>
      <c r="K954" s="9" t="s">
        <v>3520</v>
      </c>
      <c r="L954" t="s">
        <v>44</v>
      </c>
      <c r="M954">
        <v>26749</v>
      </c>
      <c r="N954" s="2" t="s">
        <v>585</v>
      </c>
      <c r="O954" s="9" t="s">
        <v>3520</v>
      </c>
      <c r="P954" t="s">
        <v>3521</v>
      </c>
      <c r="T954" s="2"/>
      <c r="U954" s="2" t="s">
        <v>718</v>
      </c>
    </row>
    <row r="955" spans="1:21" x14ac:dyDescent="0.3">
      <c r="A955">
        <v>269308</v>
      </c>
      <c r="B955" t="s">
        <v>46</v>
      </c>
      <c r="C955" t="s">
        <v>391</v>
      </c>
      <c r="D955" t="s">
        <v>58</v>
      </c>
      <c r="E955" s="1" t="s">
        <v>3522</v>
      </c>
      <c r="F955">
        <v>24792437</v>
      </c>
      <c r="G955" t="s">
        <v>106</v>
      </c>
      <c r="H955" s="17">
        <v>7473735015103</v>
      </c>
      <c r="I955" s="17">
        <v>90739624002323</v>
      </c>
      <c r="J955" t="s">
        <v>2</v>
      </c>
      <c r="K955" s="9" t="s">
        <v>3523</v>
      </c>
      <c r="L955" t="s">
        <v>44</v>
      </c>
      <c r="M955">
        <v>110704</v>
      </c>
      <c r="N955" s="2" t="s">
        <v>585</v>
      </c>
      <c r="O955" s="9" t="s">
        <v>3523</v>
      </c>
      <c r="P955" t="s">
        <v>3524</v>
      </c>
      <c r="T955" s="2"/>
      <c r="U955" s="2" t="s">
        <v>718</v>
      </c>
    </row>
    <row r="956" spans="1:21" x14ac:dyDescent="0.3">
      <c r="A956">
        <v>269308</v>
      </c>
      <c r="B956" t="s">
        <v>46</v>
      </c>
      <c r="C956" t="s">
        <v>561</v>
      </c>
      <c r="D956" t="s">
        <v>63</v>
      </c>
      <c r="E956" s="1" t="s">
        <v>3525</v>
      </c>
      <c r="F956">
        <v>24792326</v>
      </c>
      <c r="G956" t="s">
        <v>64</v>
      </c>
      <c r="H956" s="17">
        <v>23448964001921</v>
      </c>
      <c r="I956" s="17">
        <v>90739624001432</v>
      </c>
      <c r="J956" t="s">
        <v>2</v>
      </c>
      <c r="K956" s="9" t="s">
        <v>3526</v>
      </c>
      <c r="L956" t="s">
        <v>44</v>
      </c>
      <c r="M956">
        <v>178728</v>
      </c>
      <c r="N956" s="2" t="s">
        <v>585</v>
      </c>
      <c r="O956" s="9" t="s">
        <v>3526</v>
      </c>
      <c r="P956" t="s">
        <v>3527</v>
      </c>
      <c r="T956" s="2"/>
      <c r="U956" s="2" t="s">
        <v>718</v>
      </c>
    </row>
    <row r="957" spans="1:21" x14ac:dyDescent="0.3">
      <c r="A957">
        <v>269308</v>
      </c>
      <c r="B957" t="s">
        <v>46</v>
      </c>
      <c r="C957" t="s">
        <v>108</v>
      </c>
      <c r="D957" t="s">
        <v>25</v>
      </c>
      <c r="E957" s="1" t="s">
        <v>3528</v>
      </c>
      <c r="F957">
        <v>24792265</v>
      </c>
      <c r="G957" t="s">
        <v>109</v>
      </c>
      <c r="H957" s="17">
        <v>5218335000102</v>
      </c>
      <c r="I957" s="17">
        <v>90739624001866</v>
      </c>
      <c r="J957" t="s">
        <v>2</v>
      </c>
      <c r="K957" s="9" t="s">
        <v>3529</v>
      </c>
      <c r="L957" t="s">
        <v>44</v>
      </c>
      <c r="M957">
        <v>297776</v>
      </c>
      <c r="N957" s="2" t="s">
        <v>585</v>
      </c>
      <c r="O957" s="9" t="s">
        <v>3529</v>
      </c>
      <c r="P957" t="s">
        <v>3530</v>
      </c>
      <c r="T957" s="2"/>
      <c r="U957" s="2" t="s">
        <v>718</v>
      </c>
    </row>
    <row r="958" spans="1:21" x14ac:dyDescent="0.3">
      <c r="A958">
        <v>269308</v>
      </c>
      <c r="B958" t="s">
        <v>46</v>
      </c>
      <c r="C958" t="s">
        <v>128</v>
      </c>
      <c r="D958" t="s">
        <v>61</v>
      </c>
      <c r="E958" s="1" t="s">
        <v>3531</v>
      </c>
      <c r="F958">
        <v>24792239</v>
      </c>
      <c r="G958" t="s">
        <v>62</v>
      </c>
      <c r="H958" s="17">
        <v>79964177000591</v>
      </c>
      <c r="I958" s="17">
        <v>9576274000106</v>
      </c>
      <c r="J958" t="s">
        <v>2</v>
      </c>
      <c r="K958" s="9" t="s">
        <v>3532</v>
      </c>
      <c r="L958" t="s">
        <v>44</v>
      </c>
      <c r="M958">
        <v>819890</v>
      </c>
      <c r="N958" s="2" t="s">
        <v>585</v>
      </c>
      <c r="O958" s="9" t="s">
        <v>3532</v>
      </c>
      <c r="P958" t="s">
        <v>3533</v>
      </c>
      <c r="T958" s="2"/>
      <c r="U958" s="2" t="s">
        <v>718</v>
      </c>
    </row>
    <row r="959" spans="1:21" x14ac:dyDescent="0.3">
      <c r="A959">
        <v>269308</v>
      </c>
      <c r="B959" t="s">
        <v>46</v>
      </c>
      <c r="C959" t="s">
        <v>2028</v>
      </c>
      <c r="D959" t="s">
        <v>0</v>
      </c>
      <c r="E959" s="1" t="s">
        <v>3534</v>
      </c>
      <c r="F959">
        <v>24792101</v>
      </c>
      <c r="G959" t="s">
        <v>134</v>
      </c>
      <c r="H959" s="17">
        <v>81326258000770</v>
      </c>
      <c r="I959" s="17">
        <v>90739624001432</v>
      </c>
      <c r="J959" t="s">
        <v>2</v>
      </c>
      <c r="K959" s="9" t="s">
        <v>3535</v>
      </c>
      <c r="L959" t="s">
        <v>44</v>
      </c>
      <c r="M959">
        <v>101101</v>
      </c>
      <c r="N959" s="2" t="s">
        <v>585</v>
      </c>
      <c r="O959" s="9" t="s">
        <v>3535</v>
      </c>
      <c r="P959" t="s">
        <v>3536</v>
      </c>
      <c r="T959" s="2"/>
      <c r="U959" s="2" t="s">
        <v>718</v>
      </c>
    </row>
    <row r="960" spans="1:21" x14ac:dyDescent="0.3">
      <c r="A960">
        <v>269308</v>
      </c>
      <c r="B960" t="s">
        <v>46</v>
      </c>
      <c r="C960" t="s">
        <v>343</v>
      </c>
      <c r="D960" t="s">
        <v>61</v>
      </c>
      <c r="E960" s="1" t="s">
        <v>3537</v>
      </c>
      <c r="F960">
        <v>24791890</v>
      </c>
      <c r="G960" t="s">
        <v>62</v>
      </c>
      <c r="H960" s="17">
        <v>79964177000591</v>
      </c>
      <c r="I960" s="17">
        <v>9576274000106</v>
      </c>
      <c r="J960" t="s">
        <v>2</v>
      </c>
      <c r="K960" s="9" t="s">
        <v>3538</v>
      </c>
      <c r="L960" t="s">
        <v>44</v>
      </c>
      <c r="M960">
        <v>819886</v>
      </c>
      <c r="N960" s="2" t="s">
        <v>585</v>
      </c>
      <c r="O960" s="9" t="s">
        <v>3538</v>
      </c>
      <c r="P960" t="s">
        <v>3539</v>
      </c>
      <c r="T960" s="2"/>
      <c r="U960" s="2" t="s">
        <v>718</v>
      </c>
    </row>
    <row r="961" spans="1:21" x14ac:dyDescent="0.3">
      <c r="A961">
        <v>269308</v>
      </c>
      <c r="B961" t="s">
        <v>46</v>
      </c>
      <c r="C961" t="s">
        <v>162</v>
      </c>
      <c r="D961" t="s">
        <v>58</v>
      </c>
      <c r="E961" s="1" t="s">
        <v>3540</v>
      </c>
      <c r="F961">
        <v>24791735</v>
      </c>
      <c r="G961" t="s">
        <v>192</v>
      </c>
      <c r="H961" s="17">
        <v>7473735022312</v>
      </c>
      <c r="I961" s="17">
        <v>90739624002323</v>
      </c>
      <c r="J961" t="s">
        <v>2</v>
      </c>
      <c r="K961" s="9" t="s">
        <v>3541</v>
      </c>
      <c r="L961" t="s">
        <v>44</v>
      </c>
      <c r="M961">
        <v>13632</v>
      </c>
      <c r="N961" s="2" t="s">
        <v>585</v>
      </c>
      <c r="O961" s="9" t="s">
        <v>3541</v>
      </c>
      <c r="P961" t="s">
        <v>3542</v>
      </c>
      <c r="T961" s="2"/>
      <c r="U961" s="2" t="s">
        <v>718</v>
      </c>
    </row>
    <row r="962" spans="1:21" x14ac:dyDescent="0.3">
      <c r="A962">
        <v>269308</v>
      </c>
      <c r="B962" t="s">
        <v>46</v>
      </c>
      <c r="C962" t="s">
        <v>2864</v>
      </c>
      <c r="D962" t="s">
        <v>36</v>
      </c>
      <c r="E962" s="1" t="s">
        <v>3543</v>
      </c>
      <c r="F962">
        <v>24791630</v>
      </c>
      <c r="G962" t="s">
        <v>186</v>
      </c>
      <c r="H962" s="17">
        <v>7822636000168</v>
      </c>
      <c r="I962" s="17">
        <v>90739624004458</v>
      </c>
      <c r="J962" t="s">
        <v>2</v>
      </c>
      <c r="K962" s="9" t="s">
        <v>3544</v>
      </c>
      <c r="L962" t="s">
        <v>44</v>
      </c>
      <c r="M962">
        <v>4112</v>
      </c>
      <c r="N962" s="2" t="s">
        <v>585</v>
      </c>
      <c r="O962" s="9" t="s">
        <v>3545</v>
      </c>
      <c r="P962" t="s">
        <v>3546</v>
      </c>
      <c r="T962" s="2"/>
      <c r="U962" s="2" t="s">
        <v>718</v>
      </c>
    </row>
    <row r="963" spans="1:21" x14ac:dyDescent="0.3">
      <c r="A963">
        <v>269308</v>
      </c>
      <c r="B963" t="s">
        <v>46</v>
      </c>
      <c r="C963" t="s">
        <v>133</v>
      </c>
      <c r="D963" t="s">
        <v>0</v>
      </c>
      <c r="E963" s="1" t="s">
        <v>3547</v>
      </c>
      <c r="F963">
        <v>24791616</v>
      </c>
      <c r="G963" t="s">
        <v>200</v>
      </c>
      <c r="H963" s="17">
        <v>4308884000520</v>
      </c>
      <c r="I963" s="17">
        <v>90739624001432</v>
      </c>
      <c r="J963" t="s">
        <v>2</v>
      </c>
      <c r="K963" s="9" t="s">
        <v>3548</v>
      </c>
      <c r="L963" t="s">
        <v>44</v>
      </c>
      <c r="M963">
        <v>35339</v>
      </c>
      <c r="N963" s="2" t="s">
        <v>585</v>
      </c>
      <c r="O963" s="9" t="s">
        <v>3548</v>
      </c>
      <c r="P963" t="s">
        <v>3549</v>
      </c>
      <c r="T963" s="2"/>
      <c r="U963" s="2" t="s">
        <v>718</v>
      </c>
    </row>
    <row r="964" spans="1:21" x14ac:dyDescent="0.3">
      <c r="A964">
        <v>269308</v>
      </c>
      <c r="B964" t="s">
        <v>46</v>
      </c>
      <c r="C964" t="s">
        <v>269</v>
      </c>
      <c r="D964" t="s">
        <v>61</v>
      </c>
      <c r="E964" s="1" t="s">
        <v>3550</v>
      </c>
      <c r="F964">
        <v>24791608</v>
      </c>
      <c r="G964" t="s">
        <v>62</v>
      </c>
      <c r="H964" s="17">
        <v>79964177000591</v>
      </c>
      <c r="I964" s="17">
        <v>9576274000106</v>
      </c>
      <c r="J964" t="s">
        <v>2</v>
      </c>
      <c r="K964" s="9" t="s">
        <v>3551</v>
      </c>
      <c r="L964" t="s">
        <v>44</v>
      </c>
      <c r="M964">
        <v>819877</v>
      </c>
      <c r="N964" s="2" t="s">
        <v>585</v>
      </c>
      <c r="O964" s="9" t="s">
        <v>3551</v>
      </c>
      <c r="P964" t="s">
        <v>3552</v>
      </c>
      <c r="T964" s="2"/>
      <c r="U964" s="2" t="s">
        <v>718</v>
      </c>
    </row>
    <row r="965" spans="1:21" x14ac:dyDescent="0.3">
      <c r="A965">
        <v>269308</v>
      </c>
      <c r="B965" t="s">
        <v>46</v>
      </c>
      <c r="C965" t="s">
        <v>680</v>
      </c>
      <c r="D965" t="s">
        <v>28</v>
      </c>
      <c r="E965" s="1" t="s">
        <v>3553</v>
      </c>
      <c r="F965">
        <v>24791596</v>
      </c>
      <c r="G965" t="s">
        <v>48</v>
      </c>
      <c r="H965" s="17">
        <v>1272434001002</v>
      </c>
      <c r="I965" s="17">
        <v>90739624001947</v>
      </c>
      <c r="J965" t="s">
        <v>2</v>
      </c>
      <c r="K965" s="9" t="s">
        <v>3554</v>
      </c>
      <c r="L965" t="s">
        <v>44</v>
      </c>
      <c r="M965">
        <v>81154</v>
      </c>
      <c r="N965" s="2" t="s">
        <v>585</v>
      </c>
      <c r="O965" s="9" t="s">
        <v>3554</v>
      </c>
      <c r="P965" t="s">
        <v>3555</v>
      </c>
      <c r="T965" s="2"/>
      <c r="U965" s="2" t="s">
        <v>718</v>
      </c>
    </row>
    <row r="966" spans="1:21" x14ac:dyDescent="0.3">
      <c r="A966">
        <v>269308</v>
      </c>
      <c r="B966" t="s">
        <v>46</v>
      </c>
      <c r="C966" t="s">
        <v>153</v>
      </c>
      <c r="D966" t="s">
        <v>58</v>
      </c>
      <c r="E966" s="1" t="s">
        <v>3556</v>
      </c>
      <c r="F966">
        <v>24791472</v>
      </c>
      <c r="G966" t="s">
        <v>106</v>
      </c>
      <c r="H966" s="17">
        <v>7473735015103</v>
      </c>
      <c r="I966" s="17">
        <v>90739624002323</v>
      </c>
      <c r="J966" t="s">
        <v>2</v>
      </c>
      <c r="K966" s="9" t="s">
        <v>3557</v>
      </c>
      <c r="L966" t="s">
        <v>44</v>
      </c>
      <c r="M966">
        <v>110698</v>
      </c>
      <c r="N966" s="2" t="s">
        <v>585</v>
      </c>
      <c r="O966" s="9" t="s">
        <v>3557</v>
      </c>
      <c r="P966" t="s">
        <v>3558</v>
      </c>
      <c r="T966" s="2"/>
      <c r="U966" s="2" t="s">
        <v>718</v>
      </c>
    </row>
    <row r="967" spans="1:21" x14ac:dyDescent="0.3">
      <c r="A967">
        <v>269308</v>
      </c>
      <c r="B967" t="s">
        <v>46</v>
      </c>
      <c r="C967" t="s">
        <v>301</v>
      </c>
      <c r="D967" t="s">
        <v>61</v>
      </c>
      <c r="E967" s="1" t="s">
        <v>3559</v>
      </c>
      <c r="F967">
        <v>24791471</v>
      </c>
      <c r="G967" t="s">
        <v>62</v>
      </c>
      <c r="H967" s="17">
        <v>79964177000591</v>
      </c>
      <c r="I967" s="17">
        <v>9576274000106</v>
      </c>
      <c r="J967" t="s">
        <v>2</v>
      </c>
      <c r="K967" s="9" t="s">
        <v>3560</v>
      </c>
      <c r="L967" t="s">
        <v>44</v>
      </c>
      <c r="M967">
        <v>819875</v>
      </c>
      <c r="N967" s="2" t="s">
        <v>585</v>
      </c>
      <c r="O967" s="9" t="s">
        <v>3560</v>
      </c>
      <c r="P967" t="s">
        <v>3561</v>
      </c>
      <c r="T967" s="2"/>
      <c r="U967" s="2" t="s">
        <v>718</v>
      </c>
    </row>
    <row r="968" spans="1:21" x14ac:dyDescent="0.3">
      <c r="A968">
        <v>269308</v>
      </c>
      <c r="B968" t="s">
        <v>46</v>
      </c>
      <c r="C968" t="s">
        <v>231</v>
      </c>
      <c r="D968" t="s">
        <v>52</v>
      </c>
      <c r="E968" s="1" t="s">
        <v>3562</v>
      </c>
      <c r="F968">
        <v>24791330</v>
      </c>
      <c r="G968" t="s">
        <v>545</v>
      </c>
      <c r="H968" s="17">
        <v>30429333000282</v>
      </c>
      <c r="I968" s="17">
        <v>9576274000106</v>
      </c>
      <c r="J968" t="s">
        <v>2</v>
      </c>
      <c r="K968" s="9" t="s">
        <v>3563</v>
      </c>
      <c r="L968" t="s">
        <v>44</v>
      </c>
      <c r="M968">
        <v>40608</v>
      </c>
      <c r="N968" s="2" t="s">
        <v>585</v>
      </c>
      <c r="O968" s="9" t="s">
        <v>3563</v>
      </c>
      <c r="P968" t="s">
        <v>3564</v>
      </c>
      <c r="T968" s="2"/>
      <c r="U968" s="2" t="s">
        <v>718</v>
      </c>
    </row>
    <row r="969" spans="1:21" x14ac:dyDescent="0.3">
      <c r="A969">
        <v>269308</v>
      </c>
      <c r="B969" t="s">
        <v>46</v>
      </c>
      <c r="C969" t="s">
        <v>39</v>
      </c>
      <c r="D969" t="s">
        <v>18</v>
      </c>
      <c r="E969" s="1" t="s">
        <v>3565</v>
      </c>
      <c r="F969">
        <v>24790797</v>
      </c>
      <c r="G969" t="s">
        <v>202</v>
      </c>
      <c r="H969" s="17">
        <v>5065447000162</v>
      </c>
      <c r="I969" s="17">
        <v>90739624000380</v>
      </c>
      <c r="J969" t="s">
        <v>2</v>
      </c>
      <c r="K969" s="9" t="s">
        <v>3566</v>
      </c>
      <c r="L969" t="s">
        <v>44</v>
      </c>
      <c r="M969">
        <v>372987</v>
      </c>
      <c r="N969" s="2" t="s">
        <v>585</v>
      </c>
      <c r="O969" s="9" t="s">
        <v>3566</v>
      </c>
      <c r="P969" t="s">
        <v>3567</v>
      </c>
      <c r="T969" s="2"/>
      <c r="U969" s="2" t="s">
        <v>718</v>
      </c>
    </row>
    <row r="970" spans="1:21" x14ac:dyDescent="0.3">
      <c r="A970">
        <v>269308</v>
      </c>
      <c r="B970" t="s">
        <v>46</v>
      </c>
      <c r="C970" t="s">
        <v>205</v>
      </c>
      <c r="D970" t="s">
        <v>28</v>
      </c>
      <c r="E970" s="1" t="s">
        <v>3568</v>
      </c>
      <c r="F970">
        <v>24787974</v>
      </c>
      <c r="G970" t="s">
        <v>48</v>
      </c>
      <c r="H970" s="17">
        <v>1272434001002</v>
      </c>
      <c r="I970" s="17">
        <v>90739624001947</v>
      </c>
      <c r="J970" t="s">
        <v>2</v>
      </c>
      <c r="K970" s="9" t="s">
        <v>3569</v>
      </c>
      <c r="L970" t="s">
        <v>44</v>
      </c>
      <c r="M970">
        <v>81153</v>
      </c>
      <c r="N970" s="2" t="s">
        <v>585</v>
      </c>
      <c r="O970" s="9" t="s">
        <v>3569</v>
      </c>
      <c r="P970" t="s">
        <v>3570</v>
      </c>
      <c r="T970" s="2"/>
      <c r="U970" s="2" t="s">
        <v>718</v>
      </c>
    </row>
    <row r="971" spans="1:21" x14ac:dyDescent="0.3">
      <c r="A971">
        <v>269308</v>
      </c>
      <c r="B971" t="s">
        <v>46</v>
      </c>
      <c r="C971" t="s">
        <v>135</v>
      </c>
      <c r="D971" t="s">
        <v>100</v>
      </c>
      <c r="E971" s="1" t="s">
        <v>3571</v>
      </c>
      <c r="F971">
        <v>24787514</v>
      </c>
      <c r="G971" t="s">
        <v>190</v>
      </c>
      <c r="H971" s="17">
        <v>5773237000129</v>
      </c>
      <c r="I971" s="17">
        <v>90739624001866</v>
      </c>
      <c r="J971" t="s">
        <v>2</v>
      </c>
      <c r="K971" s="9" t="s">
        <v>3572</v>
      </c>
      <c r="L971" t="s">
        <v>44</v>
      </c>
      <c r="M971">
        <v>103396</v>
      </c>
      <c r="N971" s="2" t="s">
        <v>585</v>
      </c>
      <c r="O971" s="9" t="s">
        <v>3572</v>
      </c>
      <c r="P971" t="s">
        <v>3573</v>
      </c>
      <c r="T971" s="2"/>
      <c r="U971" s="2" t="s">
        <v>718</v>
      </c>
    </row>
    <row r="972" spans="1:21" x14ac:dyDescent="0.3">
      <c r="A972">
        <v>269308</v>
      </c>
      <c r="B972" t="s">
        <v>46</v>
      </c>
      <c r="C972" t="s">
        <v>138</v>
      </c>
      <c r="D972" t="s">
        <v>11</v>
      </c>
      <c r="E972" s="1" t="s">
        <v>3574</v>
      </c>
      <c r="F972">
        <v>24785890</v>
      </c>
      <c r="G972" t="s">
        <v>204</v>
      </c>
      <c r="H972" s="17">
        <v>24187119000183</v>
      </c>
      <c r="I972" s="17">
        <v>90739624000118</v>
      </c>
      <c r="J972" t="s">
        <v>2</v>
      </c>
      <c r="K972" s="9" t="s">
        <v>3575</v>
      </c>
      <c r="L972" t="s">
        <v>44</v>
      </c>
      <c r="M972">
        <v>311075</v>
      </c>
      <c r="N972" s="2" t="s">
        <v>585</v>
      </c>
      <c r="O972" s="9" t="s">
        <v>3575</v>
      </c>
      <c r="P972" t="s">
        <v>3576</v>
      </c>
      <c r="T972" s="2"/>
      <c r="U972" s="2" t="s">
        <v>718</v>
      </c>
    </row>
    <row r="973" spans="1:21" x14ac:dyDescent="0.3">
      <c r="A973">
        <v>269308</v>
      </c>
      <c r="B973" t="s">
        <v>46</v>
      </c>
      <c r="C973" t="s">
        <v>207</v>
      </c>
      <c r="D973" t="s">
        <v>13</v>
      </c>
      <c r="E973" s="1" t="s">
        <v>3577</v>
      </c>
      <c r="F973">
        <v>24784870</v>
      </c>
      <c r="G973" t="s">
        <v>348</v>
      </c>
      <c r="H973" s="17">
        <v>26416003000102</v>
      </c>
      <c r="I973" s="17">
        <v>90739624001190</v>
      </c>
      <c r="J973" t="s">
        <v>2</v>
      </c>
      <c r="K973" s="9" t="s">
        <v>3578</v>
      </c>
      <c r="L973" t="s">
        <v>44</v>
      </c>
      <c r="M973">
        <v>48813</v>
      </c>
      <c r="N973" s="2" t="s">
        <v>792</v>
      </c>
      <c r="O973" s="9" t="s">
        <v>3578</v>
      </c>
      <c r="P973" t="s">
        <v>3579</v>
      </c>
      <c r="T973" s="2"/>
      <c r="U973" s="2" t="s">
        <v>718</v>
      </c>
    </row>
    <row r="974" spans="1:21" x14ac:dyDescent="0.3">
      <c r="A974">
        <v>269308</v>
      </c>
      <c r="B974" t="s">
        <v>46</v>
      </c>
      <c r="C974" t="s">
        <v>292</v>
      </c>
      <c r="D974" t="s">
        <v>25</v>
      </c>
      <c r="E974" s="1" t="s">
        <v>3580</v>
      </c>
      <c r="F974">
        <v>24784851</v>
      </c>
      <c r="G974" t="s">
        <v>206</v>
      </c>
      <c r="H974" s="17">
        <v>50128357000128</v>
      </c>
      <c r="I974" s="17">
        <v>90739624003486</v>
      </c>
      <c r="J974" t="s">
        <v>2</v>
      </c>
      <c r="K974" s="9" t="s">
        <v>3581</v>
      </c>
      <c r="L974" t="s">
        <v>44</v>
      </c>
      <c r="M974">
        <v>144293</v>
      </c>
      <c r="N974" s="2" t="s">
        <v>585</v>
      </c>
      <c r="O974" s="9" t="s">
        <v>3581</v>
      </c>
      <c r="P974" t="s">
        <v>3582</v>
      </c>
      <c r="T974" s="2"/>
      <c r="U974" s="2" t="s">
        <v>718</v>
      </c>
    </row>
    <row r="975" spans="1:21" x14ac:dyDescent="0.3">
      <c r="A975">
        <v>269308</v>
      </c>
      <c r="B975" t="s">
        <v>46</v>
      </c>
      <c r="C975" t="s">
        <v>203</v>
      </c>
      <c r="D975" t="s">
        <v>11</v>
      </c>
      <c r="E975" s="1" t="s">
        <v>3583</v>
      </c>
      <c r="F975">
        <v>24777884</v>
      </c>
      <c r="G975" t="s">
        <v>3584</v>
      </c>
      <c r="H975" s="17">
        <v>42874317000105</v>
      </c>
      <c r="I975" s="17">
        <v>90739624001947</v>
      </c>
      <c r="J975" t="s">
        <v>2</v>
      </c>
      <c r="K975" s="9" t="s">
        <v>3585</v>
      </c>
      <c r="L975" t="s">
        <v>44</v>
      </c>
      <c r="M975">
        <v>105817</v>
      </c>
      <c r="N975" s="2" t="s">
        <v>584</v>
      </c>
      <c r="O975" s="9" t="s">
        <v>3585</v>
      </c>
      <c r="P975" t="s">
        <v>3586</v>
      </c>
      <c r="T975" s="2"/>
      <c r="U975" s="2" t="s">
        <v>718</v>
      </c>
    </row>
    <row r="976" spans="1:21" x14ac:dyDescent="0.3">
      <c r="A976">
        <v>269308</v>
      </c>
      <c r="B976" t="s">
        <v>46</v>
      </c>
      <c r="C976" t="s">
        <v>203</v>
      </c>
      <c r="D976" t="s">
        <v>11</v>
      </c>
      <c r="E976" s="1" t="s">
        <v>3587</v>
      </c>
      <c r="F976">
        <v>24777559</v>
      </c>
      <c r="G976" t="s">
        <v>3584</v>
      </c>
      <c r="H976" s="17">
        <v>42874317000105</v>
      </c>
      <c r="I976" s="17">
        <v>90739624001947</v>
      </c>
      <c r="J976" t="s">
        <v>17</v>
      </c>
      <c r="K976" s="9" t="s">
        <v>3588</v>
      </c>
      <c r="L976" t="s">
        <v>44</v>
      </c>
      <c r="M976">
        <v>105814</v>
      </c>
      <c r="N976" s="2" t="s">
        <v>584</v>
      </c>
      <c r="O976" s="9" t="s">
        <v>3588</v>
      </c>
      <c r="P976" t="s">
        <v>3589</v>
      </c>
      <c r="T976" s="2"/>
      <c r="U976" s="2" t="s">
        <v>718</v>
      </c>
    </row>
    <row r="977" spans="1:21" x14ac:dyDescent="0.3">
      <c r="A977">
        <v>269308</v>
      </c>
      <c r="B977" t="s">
        <v>46</v>
      </c>
      <c r="C977" t="s">
        <v>543</v>
      </c>
      <c r="D977" t="s">
        <v>174</v>
      </c>
      <c r="E977" s="1" t="s">
        <v>3590</v>
      </c>
      <c r="F977">
        <v>24777548</v>
      </c>
      <c r="G977" t="s">
        <v>209</v>
      </c>
      <c r="H977" s="17">
        <v>33360405000190</v>
      </c>
      <c r="I977" s="17">
        <v>90739624001947</v>
      </c>
      <c r="J977" t="s">
        <v>2</v>
      </c>
      <c r="K977" s="9" t="s">
        <v>3591</v>
      </c>
      <c r="L977" t="s">
        <v>44</v>
      </c>
      <c r="M977">
        <v>38300</v>
      </c>
      <c r="N977" s="2" t="s">
        <v>584</v>
      </c>
      <c r="O977" s="9" t="s">
        <v>3591</v>
      </c>
      <c r="P977" t="s">
        <v>3592</v>
      </c>
      <c r="T977" s="2"/>
      <c r="U977" s="2" t="s">
        <v>718</v>
      </c>
    </row>
    <row r="978" spans="1:21" x14ac:dyDescent="0.3">
      <c r="A978">
        <v>269308</v>
      </c>
      <c r="B978" t="s">
        <v>46</v>
      </c>
      <c r="C978" t="s">
        <v>208</v>
      </c>
      <c r="D978" t="s">
        <v>28</v>
      </c>
      <c r="E978" s="1" t="s">
        <v>3593</v>
      </c>
      <c r="F978">
        <v>24777541</v>
      </c>
      <c r="G978" t="s">
        <v>209</v>
      </c>
      <c r="H978" s="17">
        <v>33360405000190</v>
      </c>
      <c r="I978" s="17">
        <v>90739624001947</v>
      </c>
      <c r="J978" t="s">
        <v>2</v>
      </c>
      <c r="K978" s="9" t="s">
        <v>3594</v>
      </c>
      <c r="L978" t="s">
        <v>44</v>
      </c>
      <c r="M978">
        <v>38299</v>
      </c>
      <c r="N978" s="2" t="s">
        <v>584</v>
      </c>
      <c r="O978" s="9" t="s">
        <v>3594</v>
      </c>
      <c r="P978" t="s">
        <v>3595</v>
      </c>
      <c r="T978" s="2"/>
      <c r="U978" s="2" t="s">
        <v>718</v>
      </c>
    </row>
    <row r="979" spans="1:21" x14ac:dyDescent="0.3">
      <c r="A979">
        <v>269308</v>
      </c>
      <c r="B979" t="s">
        <v>46</v>
      </c>
      <c r="C979" t="s">
        <v>453</v>
      </c>
      <c r="D979" t="s">
        <v>11</v>
      </c>
      <c r="E979" s="1" t="s">
        <v>3596</v>
      </c>
      <c r="F979">
        <v>24777203</v>
      </c>
      <c r="G979" t="s">
        <v>310</v>
      </c>
      <c r="H979" s="17">
        <v>42733072000198</v>
      </c>
      <c r="I979" s="17">
        <v>90739624000380</v>
      </c>
      <c r="J979" t="s">
        <v>2</v>
      </c>
      <c r="K979" s="9" t="s">
        <v>3597</v>
      </c>
      <c r="L979" t="s">
        <v>44</v>
      </c>
      <c r="M979">
        <v>5271</v>
      </c>
      <c r="N979" s="2" t="s">
        <v>585</v>
      </c>
      <c r="O979" s="9" t="s">
        <v>3597</v>
      </c>
      <c r="P979" t="s">
        <v>3598</v>
      </c>
      <c r="T979" s="2"/>
      <c r="U979" s="2" t="s">
        <v>718</v>
      </c>
    </row>
    <row r="980" spans="1:21" x14ac:dyDescent="0.3">
      <c r="A980">
        <v>269308</v>
      </c>
      <c r="B980" t="s">
        <v>46</v>
      </c>
      <c r="C980" t="s">
        <v>1419</v>
      </c>
      <c r="D980" t="s">
        <v>58</v>
      </c>
      <c r="E980" s="1" t="s">
        <v>3599</v>
      </c>
      <c r="F980">
        <v>24777077</v>
      </c>
      <c r="G980" t="s">
        <v>60</v>
      </c>
      <c r="H980" s="17">
        <v>7473735018200</v>
      </c>
      <c r="I980" s="17">
        <v>90739624002323</v>
      </c>
      <c r="J980" t="s">
        <v>2</v>
      </c>
      <c r="K980" s="9" t="s">
        <v>3600</v>
      </c>
      <c r="L980" t="s">
        <v>44</v>
      </c>
      <c r="M980">
        <v>73851</v>
      </c>
      <c r="N980" s="2" t="s">
        <v>584</v>
      </c>
      <c r="O980" s="9" t="s">
        <v>3600</v>
      </c>
      <c r="P980" t="s">
        <v>3601</v>
      </c>
      <c r="T980" s="2"/>
      <c r="U980" s="2" t="s">
        <v>718</v>
      </c>
    </row>
    <row r="981" spans="1:21" x14ac:dyDescent="0.3">
      <c r="A981">
        <v>269308</v>
      </c>
      <c r="B981" t="s">
        <v>46</v>
      </c>
      <c r="C981" t="s">
        <v>138</v>
      </c>
      <c r="D981" t="s">
        <v>11</v>
      </c>
      <c r="E981" s="1" t="s">
        <v>3602</v>
      </c>
      <c r="F981">
        <v>24776946</v>
      </c>
      <c r="G981" t="s">
        <v>210</v>
      </c>
      <c r="H981" s="17">
        <v>55973291000196</v>
      </c>
      <c r="I981" s="17">
        <v>90739624000380</v>
      </c>
      <c r="J981" t="s">
        <v>2</v>
      </c>
      <c r="K981" s="9" t="s">
        <v>3603</v>
      </c>
      <c r="L981" t="s">
        <v>44</v>
      </c>
      <c r="M981">
        <v>1049492</v>
      </c>
      <c r="N981" s="2" t="s">
        <v>584</v>
      </c>
      <c r="O981" s="9" t="s">
        <v>3603</v>
      </c>
      <c r="P981" t="s">
        <v>3604</v>
      </c>
      <c r="T981" s="2"/>
      <c r="U981" s="2" t="s">
        <v>718</v>
      </c>
    </row>
    <row r="982" spans="1:21" x14ac:dyDescent="0.3">
      <c r="A982">
        <v>269308</v>
      </c>
      <c r="B982" t="s">
        <v>46</v>
      </c>
      <c r="C982" t="s">
        <v>59</v>
      </c>
      <c r="D982" t="s">
        <v>58</v>
      </c>
      <c r="E982" s="1" t="s">
        <v>3605</v>
      </c>
      <c r="F982">
        <v>24775785</v>
      </c>
      <c r="G982" t="s">
        <v>681</v>
      </c>
      <c r="H982" s="17">
        <v>7473735006465</v>
      </c>
      <c r="I982" s="17">
        <v>90739624002323</v>
      </c>
      <c r="J982" t="s">
        <v>2</v>
      </c>
      <c r="K982" s="9" t="s">
        <v>3606</v>
      </c>
      <c r="L982" t="s">
        <v>44</v>
      </c>
      <c r="M982">
        <v>214902</v>
      </c>
      <c r="N982" s="2" t="s">
        <v>584</v>
      </c>
      <c r="O982" s="9" t="s">
        <v>3606</v>
      </c>
      <c r="P982" t="s">
        <v>3607</v>
      </c>
      <c r="T982" s="2"/>
      <c r="U982" s="2" t="s">
        <v>718</v>
      </c>
    </row>
    <row r="983" spans="1:21" x14ac:dyDescent="0.3">
      <c r="A983">
        <v>269308</v>
      </c>
      <c r="B983" t="s">
        <v>46</v>
      </c>
      <c r="C983" t="s">
        <v>175</v>
      </c>
      <c r="D983" t="s">
        <v>174</v>
      </c>
      <c r="E983" s="1" t="s">
        <v>3608</v>
      </c>
      <c r="F983">
        <v>24774544</v>
      </c>
      <c r="G983" t="s">
        <v>176</v>
      </c>
      <c r="H983" s="17">
        <v>4219621000111</v>
      </c>
      <c r="I983" s="17">
        <v>90739624000118</v>
      </c>
      <c r="J983" t="s">
        <v>2</v>
      </c>
      <c r="K983" s="9" t="s">
        <v>2057</v>
      </c>
      <c r="L983" t="s">
        <v>44</v>
      </c>
      <c r="M983">
        <v>99000</v>
      </c>
      <c r="N983" s="2" t="s">
        <v>585</v>
      </c>
      <c r="O983" s="9" t="s">
        <v>2057</v>
      </c>
      <c r="P983" t="s">
        <v>3609</v>
      </c>
      <c r="T983" s="2"/>
      <c r="U983" s="2" t="s">
        <v>718</v>
      </c>
    </row>
    <row r="984" spans="1:21" x14ac:dyDescent="0.3">
      <c r="A984">
        <v>269308</v>
      </c>
      <c r="B984" t="s">
        <v>46</v>
      </c>
      <c r="C984" t="s">
        <v>481</v>
      </c>
      <c r="D984" t="s">
        <v>58</v>
      </c>
      <c r="E984" s="1" t="s">
        <v>3610</v>
      </c>
      <c r="F984">
        <v>24774492</v>
      </c>
      <c r="G984" t="s">
        <v>480</v>
      </c>
      <c r="H984" s="17">
        <v>7473735019877</v>
      </c>
      <c r="I984" s="17">
        <v>90739624002323</v>
      </c>
      <c r="J984" t="s">
        <v>2</v>
      </c>
      <c r="K984" s="9" t="s">
        <v>3611</v>
      </c>
      <c r="L984" t="s">
        <v>44</v>
      </c>
      <c r="M984">
        <v>57530</v>
      </c>
      <c r="N984" s="2" t="s">
        <v>584</v>
      </c>
      <c r="O984" s="9" t="s">
        <v>3611</v>
      </c>
      <c r="P984" t="s">
        <v>3612</v>
      </c>
      <c r="T984" s="2"/>
      <c r="U984" s="2" t="s">
        <v>718</v>
      </c>
    </row>
    <row r="985" spans="1:21" x14ac:dyDescent="0.3">
      <c r="A985">
        <v>269308</v>
      </c>
      <c r="B985" t="s">
        <v>46</v>
      </c>
      <c r="C985" t="s">
        <v>387</v>
      </c>
      <c r="D985" t="s">
        <v>58</v>
      </c>
      <c r="E985" s="1" t="s">
        <v>3613</v>
      </c>
      <c r="F985">
        <v>24774002</v>
      </c>
      <c r="G985" t="s">
        <v>480</v>
      </c>
      <c r="H985" s="17">
        <v>7473735019877</v>
      </c>
      <c r="I985" s="17">
        <v>90739624002323</v>
      </c>
      <c r="J985" t="s">
        <v>2</v>
      </c>
      <c r="K985" s="9" t="s">
        <v>3614</v>
      </c>
      <c r="L985" t="s">
        <v>44</v>
      </c>
      <c r="M985">
        <v>57529</v>
      </c>
      <c r="N985" s="2" t="s">
        <v>584</v>
      </c>
      <c r="O985" s="9" t="s">
        <v>3614</v>
      </c>
      <c r="P985" t="s">
        <v>3615</v>
      </c>
      <c r="T985" s="2"/>
      <c r="U985" s="2" t="s">
        <v>718</v>
      </c>
    </row>
    <row r="986" spans="1:21" x14ac:dyDescent="0.3">
      <c r="A986">
        <v>269308</v>
      </c>
      <c r="B986" t="s">
        <v>46</v>
      </c>
      <c r="C986" t="s">
        <v>19</v>
      </c>
      <c r="D986" t="s">
        <v>18</v>
      </c>
      <c r="E986" s="1" t="s">
        <v>3616</v>
      </c>
      <c r="F986">
        <v>24773602</v>
      </c>
      <c r="G986" t="s">
        <v>202</v>
      </c>
      <c r="H986" s="17">
        <v>5065447000162</v>
      </c>
      <c r="I986" s="17">
        <v>90739624000380</v>
      </c>
      <c r="J986" t="s">
        <v>2</v>
      </c>
      <c r="K986" s="9" t="s">
        <v>3617</v>
      </c>
      <c r="L986" t="s">
        <v>44</v>
      </c>
      <c r="M986">
        <v>372915</v>
      </c>
      <c r="N986" s="2" t="s">
        <v>584</v>
      </c>
      <c r="O986" s="9" t="s">
        <v>3617</v>
      </c>
      <c r="P986" t="s">
        <v>3618</v>
      </c>
      <c r="T986" s="2"/>
      <c r="U986" s="2" t="s">
        <v>718</v>
      </c>
    </row>
    <row r="987" spans="1:21" x14ac:dyDescent="0.3">
      <c r="A987">
        <v>269308</v>
      </c>
      <c r="B987" t="s">
        <v>46</v>
      </c>
      <c r="C987" t="s">
        <v>135</v>
      </c>
      <c r="D987" t="s">
        <v>100</v>
      </c>
      <c r="E987" s="1" t="s">
        <v>3619</v>
      </c>
      <c r="F987">
        <v>24772078</v>
      </c>
      <c r="G987" t="s">
        <v>241</v>
      </c>
      <c r="H987" s="17">
        <v>14948822000103</v>
      </c>
      <c r="I987" s="17">
        <v>90739624001866</v>
      </c>
      <c r="J987" t="s">
        <v>2</v>
      </c>
      <c r="K987" s="9" t="s">
        <v>3620</v>
      </c>
      <c r="L987" t="s">
        <v>44</v>
      </c>
      <c r="M987">
        <v>154721</v>
      </c>
      <c r="N987" s="2" t="s">
        <v>584</v>
      </c>
      <c r="O987" s="9" t="s">
        <v>3620</v>
      </c>
      <c r="P987" t="s">
        <v>3621</v>
      </c>
      <c r="T987" s="2"/>
      <c r="U987" s="2" t="s">
        <v>718</v>
      </c>
    </row>
    <row r="988" spans="1:21" x14ac:dyDescent="0.3">
      <c r="A988">
        <v>269308</v>
      </c>
      <c r="B988" t="s">
        <v>46</v>
      </c>
      <c r="C988" t="s">
        <v>214</v>
      </c>
      <c r="D988" t="s">
        <v>28</v>
      </c>
      <c r="E988" s="1" t="s">
        <v>3622</v>
      </c>
      <c r="F988">
        <v>24770957</v>
      </c>
      <c r="G988" t="s">
        <v>48</v>
      </c>
      <c r="H988" s="17">
        <v>1272434001002</v>
      </c>
      <c r="I988" s="17">
        <v>90739624001947</v>
      </c>
      <c r="J988" t="s">
        <v>2</v>
      </c>
      <c r="K988" s="9" t="s">
        <v>3623</v>
      </c>
      <c r="L988" t="s">
        <v>44</v>
      </c>
      <c r="M988">
        <v>81151</v>
      </c>
      <c r="N988" s="2" t="s">
        <v>584</v>
      </c>
      <c r="O988" s="9" t="s">
        <v>3623</v>
      </c>
      <c r="P988" t="s">
        <v>3624</v>
      </c>
      <c r="T988" s="2"/>
      <c r="U988" s="2" t="s">
        <v>718</v>
      </c>
    </row>
    <row r="989" spans="1:21" x14ac:dyDescent="0.3">
      <c r="A989">
        <v>269308</v>
      </c>
      <c r="B989" t="s">
        <v>46</v>
      </c>
      <c r="C989" t="s">
        <v>611</v>
      </c>
      <c r="D989" t="s">
        <v>61</v>
      </c>
      <c r="E989" s="1" t="s">
        <v>3625</v>
      </c>
      <c r="F989">
        <v>24770907</v>
      </c>
      <c r="G989" t="s">
        <v>85</v>
      </c>
      <c r="H989" s="17">
        <v>1975878000105</v>
      </c>
      <c r="I989" s="17">
        <v>9576274000106</v>
      </c>
      <c r="J989" t="s">
        <v>2</v>
      </c>
      <c r="K989" s="9" t="s">
        <v>3626</v>
      </c>
      <c r="L989" t="s">
        <v>44</v>
      </c>
      <c r="M989">
        <v>2493</v>
      </c>
      <c r="N989" s="2" t="s">
        <v>584</v>
      </c>
      <c r="O989" s="9" t="s">
        <v>3626</v>
      </c>
      <c r="P989" t="s">
        <v>3627</v>
      </c>
      <c r="T989" s="2"/>
      <c r="U989" s="2" t="s">
        <v>718</v>
      </c>
    </row>
    <row r="990" spans="1:21" x14ac:dyDescent="0.3">
      <c r="A990">
        <v>269308</v>
      </c>
      <c r="B990" t="s">
        <v>88</v>
      </c>
      <c r="C990" t="s">
        <v>226</v>
      </c>
      <c r="D990" t="s">
        <v>65</v>
      </c>
      <c r="E990" s="1" t="s">
        <v>3628</v>
      </c>
      <c r="F990">
        <v>24770904</v>
      </c>
      <c r="G990" t="s">
        <v>656</v>
      </c>
      <c r="H990" s="17">
        <v>7473735019443</v>
      </c>
      <c r="I990" s="17"/>
      <c r="J990" t="s">
        <v>17</v>
      </c>
      <c r="K990" s="9" t="s">
        <v>3629</v>
      </c>
      <c r="L990" t="s">
        <v>87</v>
      </c>
      <c r="N990" s="2"/>
      <c r="O990" s="9"/>
      <c r="T990" s="2"/>
      <c r="U990" s="2" t="s">
        <v>718</v>
      </c>
    </row>
    <row r="991" spans="1:21" x14ac:dyDescent="0.3">
      <c r="A991">
        <v>269308</v>
      </c>
      <c r="B991" t="s">
        <v>88</v>
      </c>
      <c r="C991" t="s">
        <v>226</v>
      </c>
      <c r="D991" t="s">
        <v>65</v>
      </c>
      <c r="E991" s="1" t="s">
        <v>3630</v>
      </c>
      <c r="F991">
        <v>24770832</v>
      </c>
      <c r="G991" t="s">
        <v>656</v>
      </c>
      <c r="H991" s="17">
        <v>7473735019443</v>
      </c>
      <c r="I991" s="17"/>
      <c r="J991" t="s">
        <v>2</v>
      </c>
      <c r="K991" s="9" t="s">
        <v>3631</v>
      </c>
      <c r="L991" t="s">
        <v>87</v>
      </c>
      <c r="N991" s="2"/>
      <c r="O991" s="9"/>
      <c r="T991" s="2"/>
      <c r="U991" s="2" t="s">
        <v>718</v>
      </c>
    </row>
    <row r="992" spans="1:21" x14ac:dyDescent="0.3">
      <c r="A992">
        <v>269308</v>
      </c>
      <c r="B992" t="s">
        <v>88</v>
      </c>
      <c r="C992" t="s">
        <v>372</v>
      </c>
      <c r="D992" t="s">
        <v>58</v>
      </c>
      <c r="E992" s="1" t="s">
        <v>3632</v>
      </c>
      <c r="F992">
        <v>24770712</v>
      </c>
      <c r="G992" t="s">
        <v>167</v>
      </c>
      <c r="H992" s="17">
        <v>7473735016266</v>
      </c>
      <c r="I992" s="17"/>
      <c r="J992" t="s">
        <v>2</v>
      </c>
      <c r="K992" s="9" t="s">
        <v>3633</v>
      </c>
      <c r="L992" t="s">
        <v>87</v>
      </c>
      <c r="N992" s="2"/>
      <c r="O992" s="9"/>
      <c r="T992" s="2"/>
      <c r="U992" s="2" t="s">
        <v>718</v>
      </c>
    </row>
    <row r="993" spans="1:21" x14ac:dyDescent="0.3">
      <c r="A993">
        <v>269308</v>
      </c>
      <c r="B993" t="s">
        <v>46</v>
      </c>
      <c r="C993" t="s">
        <v>479</v>
      </c>
      <c r="D993" t="s">
        <v>61</v>
      </c>
      <c r="E993" s="1" t="s">
        <v>3634</v>
      </c>
      <c r="F993">
        <v>24770270</v>
      </c>
      <c r="G993" t="s">
        <v>127</v>
      </c>
      <c r="H993" s="17">
        <v>76493295000147</v>
      </c>
      <c r="I993" s="17">
        <v>9576274000106</v>
      </c>
      <c r="J993" t="s">
        <v>2</v>
      </c>
      <c r="K993" s="9" t="s">
        <v>3635</v>
      </c>
      <c r="L993" t="s">
        <v>44</v>
      </c>
      <c r="M993">
        <v>28505</v>
      </c>
      <c r="N993" s="2" t="s">
        <v>584</v>
      </c>
      <c r="O993" s="9" t="s">
        <v>3635</v>
      </c>
      <c r="P993" t="s">
        <v>3636</v>
      </c>
      <c r="T993" s="2"/>
      <c r="U993" s="2" t="s">
        <v>718</v>
      </c>
    </row>
    <row r="994" spans="1:21" x14ac:dyDescent="0.3">
      <c r="A994">
        <v>269308</v>
      </c>
      <c r="B994" t="s">
        <v>46</v>
      </c>
      <c r="C994" t="s">
        <v>50</v>
      </c>
      <c r="D994" t="s">
        <v>49</v>
      </c>
      <c r="E994" s="1" t="s">
        <v>3637</v>
      </c>
      <c r="F994">
        <v>24770211</v>
      </c>
      <c r="G994" t="s">
        <v>51</v>
      </c>
      <c r="H994" s="17">
        <v>2763612000161</v>
      </c>
      <c r="I994" s="17">
        <v>90739624003133</v>
      </c>
      <c r="J994" t="s">
        <v>2</v>
      </c>
      <c r="K994" s="9" t="s">
        <v>3638</v>
      </c>
      <c r="L994" t="s">
        <v>44</v>
      </c>
      <c r="M994">
        <v>162803</v>
      </c>
      <c r="N994" s="2" t="s">
        <v>584</v>
      </c>
      <c r="O994" s="9" t="s">
        <v>3638</v>
      </c>
      <c r="P994" t="s">
        <v>3639</v>
      </c>
      <c r="T994" s="2"/>
      <c r="U994" s="2" t="s">
        <v>718</v>
      </c>
    </row>
    <row r="995" spans="1:21" x14ac:dyDescent="0.3">
      <c r="A995">
        <v>269308</v>
      </c>
      <c r="B995" t="s">
        <v>46</v>
      </c>
      <c r="C995" t="s">
        <v>215</v>
      </c>
      <c r="D995" t="s">
        <v>120</v>
      </c>
      <c r="E995" s="1" t="s">
        <v>3640</v>
      </c>
      <c r="F995">
        <v>24770206</v>
      </c>
      <c r="G995" t="s">
        <v>150</v>
      </c>
      <c r="H995" s="17">
        <v>27643038000139</v>
      </c>
      <c r="I995" s="17">
        <v>90739624001432</v>
      </c>
      <c r="J995" t="s">
        <v>17</v>
      </c>
      <c r="K995" s="9" t="s">
        <v>3641</v>
      </c>
      <c r="L995" t="s">
        <v>44</v>
      </c>
      <c r="M995">
        <v>60878</v>
      </c>
      <c r="N995" s="2" t="s">
        <v>584</v>
      </c>
      <c r="O995" s="9" t="s">
        <v>3641</v>
      </c>
      <c r="P995" t="s">
        <v>3642</v>
      </c>
      <c r="T995" s="2"/>
      <c r="U995" s="2" t="s">
        <v>718</v>
      </c>
    </row>
    <row r="996" spans="1:21" x14ac:dyDescent="0.3">
      <c r="A996">
        <v>269308</v>
      </c>
      <c r="B996" t="s">
        <v>46</v>
      </c>
      <c r="C996" t="s">
        <v>207</v>
      </c>
      <c r="D996" t="s">
        <v>13</v>
      </c>
      <c r="E996" s="1" t="s">
        <v>3643</v>
      </c>
      <c r="F996">
        <v>24770180</v>
      </c>
      <c r="G996" t="s">
        <v>16</v>
      </c>
      <c r="H996" s="17">
        <v>73648610000170</v>
      </c>
      <c r="I996" s="17">
        <v>90739624001190</v>
      </c>
      <c r="J996" t="s">
        <v>2</v>
      </c>
      <c r="K996" s="9" t="s">
        <v>3644</v>
      </c>
      <c r="L996" t="s">
        <v>44</v>
      </c>
      <c r="M996">
        <v>35100</v>
      </c>
      <c r="N996" s="2" t="s">
        <v>602</v>
      </c>
      <c r="O996" s="9" t="s">
        <v>3644</v>
      </c>
      <c r="P996" t="s">
        <v>3645</v>
      </c>
      <c r="T996" s="2"/>
      <c r="U996" s="2" t="s">
        <v>718</v>
      </c>
    </row>
    <row r="997" spans="1:21" x14ac:dyDescent="0.3">
      <c r="A997">
        <v>269308</v>
      </c>
      <c r="B997" t="s">
        <v>46</v>
      </c>
      <c r="C997" t="s">
        <v>215</v>
      </c>
      <c r="D997" t="s">
        <v>120</v>
      </c>
      <c r="E997" s="1" t="s">
        <v>3646</v>
      </c>
      <c r="F997">
        <v>24770177</v>
      </c>
      <c r="G997" t="s">
        <v>150</v>
      </c>
      <c r="H997" s="17">
        <v>27643038000139</v>
      </c>
      <c r="I997" s="17">
        <v>90739624001432</v>
      </c>
      <c r="J997" t="s">
        <v>2</v>
      </c>
      <c r="K997" s="9" t="s">
        <v>3647</v>
      </c>
      <c r="L997" t="s">
        <v>44</v>
      </c>
      <c r="M997">
        <v>60877</v>
      </c>
      <c r="N997" s="2" t="s">
        <v>584</v>
      </c>
      <c r="O997" s="9" t="s">
        <v>3647</v>
      </c>
      <c r="P997" t="s">
        <v>3648</v>
      </c>
      <c r="T997" s="2"/>
      <c r="U997" s="2" t="s">
        <v>718</v>
      </c>
    </row>
    <row r="998" spans="1:21" x14ac:dyDescent="0.3">
      <c r="A998">
        <v>269308</v>
      </c>
      <c r="B998" t="s">
        <v>46</v>
      </c>
      <c r="C998" t="s">
        <v>26</v>
      </c>
      <c r="D998" t="s">
        <v>11</v>
      </c>
      <c r="E998" s="1" t="s">
        <v>3649</v>
      </c>
      <c r="F998">
        <v>24770176</v>
      </c>
      <c r="G998" t="s">
        <v>152</v>
      </c>
      <c r="H998" s="17">
        <v>23891404000118</v>
      </c>
      <c r="I998" s="17">
        <v>90739624001866</v>
      </c>
      <c r="J998" t="s">
        <v>2</v>
      </c>
      <c r="K998" s="9" t="s">
        <v>3122</v>
      </c>
      <c r="L998" t="s">
        <v>44</v>
      </c>
      <c r="M998">
        <v>131369</v>
      </c>
      <c r="N998" s="2" t="s">
        <v>584</v>
      </c>
      <c r="O998" s="9" t="s">
        <v>3122</v>
      </c>
      <c r="P998" t="s">
        <v>3650</v>
      </c>
      <c r="T998" s="2"/>
      <c r="U998" s="2" t="s">
        <v>718</v>
      </c>
    </row>
    <row r="999" spans="1:21" x14ac:dyDescent="0.3">
      <c r="A999">
        <v>269308</v>
      </c>
      <c r="B999" t="s">
        <v>46</v>
      </c>
      <c r="C999" t="s">
        <v>641</v>
      </c>
      <c r="D999" t="s">
        <v>99</v>
      </c>
      <c r="E999" s="1" t="s">
        <v>3651</v>
      </c>
      <c r="F999">
        <v>24770037</v>
      </c>
      <c r="G999" t="s">
        <v>507</v>
      </c>
      <c r="H999" s="17">
        <v>3626094001330</v>
      </c>
      <c r="I999" s="17">
        <v>9576274000106</v>
      </c>
      <c r="J999" t="s">
        <v>2</v>
      </c>
      <c r="K999" s="9" t="s">
        <v>1020</v>
      </c>
      <c r="L999" t="s">
        <v>44</v>
      </c>
      <c r="M999">
        <v>50476</v>
      </c>
      <c r="N999" s="2" t="s">
        <v>585</v>
      </c>
      <c r="O999" s="9" t="s">
        <v>1020</v>
      </c>
      <c r="P999" t="s">
        <v>3652</v>
      </c>
      <c r="T999" s="2"/>
      <c r="U999" s="2" t="s">
        <v>718</v>
      </c>
    </row>
    <row r="1000" spans="1:21" x14ac:dyDescent="0.3">
      <c r="A1000">
        <v>269308</v>
      </c>
      <c r="B1000" t="s">
        <v>46</v>
      </c>
      <c r="C1000" t="s">
        <v>198</v>
      </c>
      <c r="D1000" t="s">
        <v>61</v>
      </c>
      <c r="E1000" s="1" t="s">
        <v>3653</v>
      </c>
      <c r="F1000">
        <v>24770001</v>
      </c>
      <c r="G1000" t="s">
        <v>127</v>
      </c>
      <c r="H1000" s="17">
        <v>76493295000147</v>
      </c>
      <c r="I1000" s="17">
        <v>9576274000106</v>
      </c>
      <c r="J1000" t="s">
        <v>2</v>
      </c>
      <c r="K1000" s="9" t="s">
        <v>3654</v>
      </c>
      <c r="L1000" t="s">
        <v>44</v>
      </c>
      <c r="M1000">
        <v>28503</v>
      </c>
      <c r="N1000" s="2" t="s">
        <v>584</v>
      </c>
      <c r="O1000" s="9" t="s">
        <v>3654</v>
      </c>
      <c r="P1000" t="s">
        <v>3655</v>
      </c>
      <c r="T1000" s="2"/>
      <c r="U1000" s="2" t="s">
        <v>718</v>
      </c>
    </row>
    <row r="1001" spans="1:21" x14ac:dyDescent="0.3">
      <c r="A1001">
        <v>269308</v>
      </c>
      <c r="B1001" t="s">
        <v>46</v>
      </c>
      <c r="C1001" t="s">
        <v>563</v>
      </c>
      <c r="D1001" t="s">
        <v>25</v>
      </c>
      <c r="E1001" s="1" t="s">
        <v>3656</v>
      </c>
      <c r="F1001">
        <v>24769996</v>
      </c>
      <c r="G1001" t="s">
        <v>236</v>
      </c>
      <c r="H1001" s="17">
        <v>17084739000121</v>
      </c>
      <c r="I1001" s="17">
        <v>90739624001866</v>
      </c>
      <c r="J1001" t="s">
        <v>2</v>
      </c>
      <c r="K1001" s="9" t="s">
        <v>3657</v>
      </c>
      <c r="L1001" t="s">
        <v>44</v>
      </c>
      <c r="M1001">
        <v>342056</v>
      </c>
      <c r="N1001" s="2" t="s">
        <v>584</v>
      </c>
      <c r="O1001" s="9" t="s">
        <v>3657</v>
      </c>
      <c r="P1001" t="s">
        <v>3658</v>
      </c>
      <c r="T1001" s="2"/>
      <c r="U1001" s="2" t="s">
        <v>718</v>
      </c>
    </row>
    <row r="1002" spans="1:21" x14ac:dyDescent="0.3">
      <c r="A1002">
        <v>269308</v>
      </c>
      <c r="B1002" t="s">
        <v>46</v>
      </c>
      <c r="C1002" t="s">
        <v>598</v>
      </c>
      <c r="D1002" t="s">
        <v>100</v>
      </c>
      <c r="E1002" s="1" t="s">
        <v>3659</v>
      </c>
      <c r="F1002">
        <v>24769656</v>
      </c>
      <c r="G1002" t="s">
        <v>230</v>
      </c>
      <c r="H1002" s="17">
        <v>19770285000178</v>
      </c>
      <c r="I1002" s="17">
        <v>90739624001866</v>
      </c>
      <c r="J1002" t="s">
        <v>2</v>
      </c>
      <c r="K1002" s="9" t="s">
        <v>3660</v>
      </c>
      <c r="L1002" t="s">
        <v>44</v>
      </c>
      <c r="M1002">
        <v>154069</v>
      </c>
      <c r="N1002" s="2" t="s">
        <v>584</v>
      </c>
      <c r="O1002" s="9" t="s">
        <v>3661</v>
      </c>
      <c r="P1002" t="s">
        <v>3662</v>
      </c>
      <c r="T1002" s="2"/>
      <c r="U1002" s="2" t="s">
        <v>718</v>
      </c>
    </row>
    <row r="1003" spans="1:21" x14ac:dyDescent="0.3">
      <c r="A1003">
        <v>269308</v>
      </c>
      <c r="B1003" t="s">
        <v>46</v>
      </c>
      <c r="C1003" t="s">
        <v>317</v>
      </c>
      <c r="D1003" t="s">
        <v>49</v>
      </c>
      <c r="E1003" s="1" t="s">
        <v>3663</v>
      </c>
      <c r="F1003">
        <v>24769602</v>
      </c>
      <c r="G1003" t="s">
        <v>51</v>
      </c>
      <c r="H1003" s="17">
        <v>2763612000161</v>
      </c>
      <c r="I1003" s="17">
        <v>90739624003133</v>
      </c>
      <c r="J1003" t="s">
        <v>2</v>
      </c>
      <c r="K1003" s="9" t="s">
        <v>3664</v>
      </c>
      <c r="L1003" t="s">
        <v>44</v>
      </c>
      <c r="M1003">
        <v>162799</v>
      </c>
      <c r="N1003" s="2" t="s">
        <v>584</v>
      </c>
      <c r="O1003" s="9" t="s">
        <v>3664</v>
      </c>
      <c r="P1003" t="s">
        <v>3665</v>
      </c>
      <c r="T1003" s="2"/>
      <c r="U1003" s="2" t="s">
        <v>718</v>
      </c>
    </row>
    <row r="1004" spans="1:21" x14ac:dyDescent="0.3">
      <c r="A1004">
        <v>269308</v>
      </c>
      <c r="B1004" t="s">
        <v>46</v>
      </c>
      <c r="C1004" t="s">
        <v>286</v>
      </c>
      <c r="D1004" t="s">
        <v>174</v>
      </c>
      <c r="E1004" s="1" t="s">
        <v>3666</v>
      </c>
      <c r="F1004">
        <v>24769545</v>
      </c>
      <c r="G1004" t="s">
        <v>268</v>
      </c>
      <c r="H1004" s="17">
        <v>4985282000184</v>
      </c>
      <c r="I1004" s="17">
        <v>90739624000118</v>
      </c>
      <c r="J1004" t="s">
        <v>2</v>
      </c>
      <c r="K1004" s="9" t="s">
        <v>690</v>
      </c>
      <c r="L1004" t="s">
        <v>44</v>
      </c>
      <c r="M1004">
        <v>5564</v>
      </c>
      <c r="N1004" s="2" t="s">
        <v>584</v>
      </c>
      <c r="O1004" s="9" t="s">
        <v>690</v>
      </c>
      <c r="P1004" t="s">
        <v>3667</v>
      </c>
      <c r="T1004" s="2"/>
      <c r="U1004" s="2" t="s">
        <v>718</v>
      </c>
    </row>
    <row r="1005" spans="1:21" x14ac:dyDescent="0.3">
      <c r="A1005">
        <v>269308</v>
      </c>
      <c r="B1005" t="s">
        <v>46</v>
      </c>
      <c r="C1005" t="s">
        <v>220</v>
      </c>
      <c r="D1005" t="s">
        <v>8</v>
      </c>
      <c r="E1005" s="1" t="s">
        <v>3668</v>
      </c>
      <c r="F1005">
        <v>24769493</v>
      </c>
      <c r="G1005" t="s">
        <v>221</v>
      </c>
      <c r="H1005" s="17">
        <v>8810726000100</v>
      </c>
      <c r="I1005" s="17">
        <v>9576274000106</v>
      </c>
      <c r="J1005" t="s">
        <v>2</v>
      </c>
      <c r="K1005" s="9" t="s">
        <v>3669</v>
      </c>
      <c r="L1005" t="s">
        <v>44</v>
      </c>
      <c r="M1005">
        <v>6313</v>
      </c>
      <c r="N1005" s="2" t="s">
        <v>584</v>
      </c>
      <c r="O1005" s="9" t="s">
        <v>3669</v>
      </c>
      <c r="P1005" t="s">
        <v>3670</v>
      </c>
      <c r="T1005" s="2"/>
      <c r="U1005" s="2" t="s">
        <v>718</v>
      </c>
    </row>
    <row r="1006" spans="1:21" x14ac:dyDescent="0.3">
      <c r="A1006">
        <v>269308</v>
      </c>
      <c r="B1006" t="s">
        <v>46</v>
      </c>
      <c r="C1006" t="s">
        <v>297</v>
      </c>
      <c r="D1006" t="s">
        <v>8</v>
      </c>
      <c r="E1006" s="1" t="s">
        <v>3671</v>
      </c>
      <c r="F1006">
        <v>24769408</v>
      </c>
      <c r="G1006" t="s">
        <v>10</v>
      </c>
      <c r="H1006" s="17">
        <v>33286065000102</v>
      </c>
      <c r="I1006" s="17">
        <v>9576274000106</v>
      </c>
      <c r="J1006" t="s">
        <v>2</v>
      </c>
      <c r="K1006" s="9" t="s">
        <v>3672</v>
      </c>
      <c r="L1006" t="s">
        <v>44</v>
      </c>
      <c r="M1006">
        <v>10345</v>
      </c>
      <c r="N1006" s="2" t="s">
        <v>584</v>
      </c>
      <c r="O1006" s="9" t="s">
        <v>3672</v>
      </c>
      <c r="P1006" t="s">
        <v>3673</v>
      </c>
      <c r="T1006" s="2"/>
      <c r="U1006" s="2" t="s">
        <v>718</v>
      </c>
    </row>
    <row r="1007" spans="1:21" x14ac:dyDescent="0.3">
      <c r="A1007">
        <v>269308</v>
      </c>
      <c r="B1007" t="s">
        <v>46</v>
      </c>
      <c r="C1007" t="s">
        <v>297</v>
      </c>
      <c r="D1007" t="s">
        <v>8</v>
      </c>
      <c r="E1007" s="1" t="s">
        <v>3674</v>
      </c>
      <c r="F1007">
        <v>24769374</v>
      </c>
      <c r="G1007" t="s">
        <v>10</v>
      </c>
      <c r="H1007" s="17">
        <v>33286065000102</v>
      </c>
      <c r="I1007" s="17">
        <v>9576274000106</v>
      </c>
      <c r="J1007" t="s">
        <v>17</v>
      </c>
      <c r="K1007" s="9" t="s">
        <v>3675</v>
      </c>
      <c r="L1007" t="s">
        <v>44</v>
      </c>
      <c r="M1007">
        <v>10346</v>
      </c>
      <c r="N1007" s="2" t="s">
        <v>584</v>
      </c>
      <c r="O1007" s="9" t="s">
        <v>3675</v>
      </c>
      <c r="P1007" t="s">
        <v>3676</v>
      </c>
      <c r="T1007" s="2"/>
      <c r="U1007" s="2" t="s">
        <v>718</v>
      </c>
    </row>
    <row r="1008" spans="1:21" x14ac:dyDescent="0.3">
      <c r="A1008">
        <v>269308</v>
      </c>
      <c r="B1008" t="s">
        <v>46</v>
      </c>
      <c r="C1008" t="s">
        <v>224</v>
      </c>
      <c r="D1008" t="s">
        <v>28</v>
      </c>
      <c r="E1008" s="1" t="s">
        <v>3677</v>
      </c>
      <c r="F1008">
        <v>24769365</v>
      </c>
      <c r="G1008" t="s">
        <v>48</v>
      </c>
      <c r="H1008" s="17">
        <v>1272434001002</v>
      </c>
      <c r="I1008" s="17">
        <v>90739624001947</v>
      </c>
      <c r="J1008" t="s">
        <v>2</v>
      </c>
      <c r="K1008" s="9" t="s">
        <v>3678</v>
      </c>
      <c r="L1008" t="s">
        <v>44</v>
      </c>
      <c r="M1008">
        <v>81149</v>
      </c>
      <c r="N1008" s="2" t="s">
        <v>584</v>
      </c>
      <c r="O1008" s="9" t="s">
        <v>3678</v>
      </c>
      <c r="P1008" t="s">
        <v>3679</v>
      </c>
      <c r="T1008" s="2"/>
      <c r="U1008" s="2" t="s">
        <v>718</v>
      </c>
    </row>
    <row r="1009" spans="1:21" x14ac:dyDescent="0.3">
      <c r="A1009">
        <v>269308</v>
      </c>
      <c r="B1009" t="s">
        <v>46</v>
      </c>
      <c r="C1009" t="s">
        <v>216</v>
      </c>
      <c r="D1009" t="s">
        <v>49</v>
      </c>
      <c r="E1009" s="1" t="s">
        <v>3680</v>
      </c>
      <c r="F1009">
        <v>24769236</v>
      </c>
      <c r="G1009" t="s">
        <v>51</v>
      </c>
      <c r="H1009" s="17">
        <v>2763612000161</v>
      </c>
      <c r="I1009" s="17">
        <v>90739624003133</v>
      </c>
      <c r="J1009" t="s">
        <v>2</v>
      </c>
      <c r="K1009" s="9" t="s">
        <v>3681</v>
      </c>
      <c r="L1009" t="s">
        <v>44</v>
      </c>
      <c r="M1009">
        <v>162796</v>
      </c>
      <c r="N1009" s="2" t="s">
        <v>584</v>
      </c>
      <c r="O1009" s="9" t="s">
        <v>3681</v>
      </c>
      <c r="P1009" t="s">
        <v>3682</v>
      </c>
      <c r="T1009" s="2"/>
      <c r="U1009" s="2" t="s">
        <v>718</v>
      </c>
    </row>
    <row r="1010" spans="1:21" x14ac:dyDescent="0.3">
      <c r="A1010">
        <v>269308</v>
      </c>
      <c r="B1010" t="s">
        <v>46</v>
      </c>
      <c r="C1010" t="s">
        <v>97</v>
      </c>
      <c r="D1010" t="s">
        <v>28</v>
      </c>
      <c r="E1010" s="1" t="s">
        <v>3683</v>
      </c>
      <c r="F1010">
        <v>24769174</v>
      </c>
      <c r="G1010" t="s">
        <v>48</v>
      </c>
      <c r="H1010" s="17">
        <v>1272434001002</v>
      </c>
      <c r="I1010" s="17">
        <v>90739624001947</v>
      </c>
      <c r="J1010" t="s">
        <v>2</v>
      </c>
      <c r="K1010" s="9" t="s">
        <v>3684</v>
      </c>
      <c r="L1010" t="s">
        <v>44</v>
      </c>
      <c r="M1010">
        <v>81147</v>
      </c>
      <c r="N1010" s="2" t="s">
        <v>584</v>
      </c>
      <c r="O1010" s="9" t="s">
        <v>3684</v>
      </c>
      <c r="P1010" t="s">
        <v>3685</v>
      </c>
      <c r="T1010" s="2"/>
      <c r="U1010" s="2" t="s">
        <v>718</v>
      </c>
    </row>
    <row r="1011" spans="1:21" x14ac:dyDescent="0.3">
      <c r="A1011">
        <v>269308</v>
      </c>
      <c r="B1011" t="s">
        <v>46</v>
      </c>
      <c r="C1011" t="s">
        <v>188</v>
      </c>
      <c r="D1011" t="s">
        <v>100</v>
      </c>
      <c r="E1011" s="1" t="s">
        <v>3686</v>
      </c>
      <c r="F1011">
        <v>24769173</v>
      </c>
      <c r="G1011" t="s">
        <v>189</v>
      </c>
      <c r="H1011" s="17">
        <v>50128357000551</v>
      </c>
      <c r="I1011" s="17">
        <v>90739624001866</v>
      </c>
      <c r="J1011" t="s">
        <v>2</v>
      </c>
      <c r="K1011" s="9" t="s">
        <v>3687</v>
      </c>
      <c r="L1011" t="s">
        <v>44</v>
      </c>
      <c r="M1011">
        <v>10170</v>
      </c>
      <c r="N1011" s="2" t="s">
        <v>584</v>
      </c>
      <c r="O1011" s="9" t="s">
        <v>3687</v>
      </c>
      <c r="P1011" t="s">
        <v>3688</v>
      </c>
      <c r="T1011" s="2"/>
      <c r="U1011" s="2" t="s">
        <v>718</v>
      </c>
    </row>
    <row r="1012" spans="1:21" x14ac:dyDescent="0.3">
      <c r="A1012">
        <v>269308</v>
      </c>
      <c r="B1012" t="s">
        <v>46</v>
      </c>
      <c r="C1012" t="s">
        <v>316</v>
      </c>
      <c r="D1012" t="s">
        <v>49</v>
      </c>
      <c r="E1012" s="1" t="s">
        <v>3689</v>
      </c>
      <c r="F1012">
        <v>24768984</v>
      </c>
      <c r="G1012" t="s">
        <v>51</v>
      </c>
      <c r="H1012" s="17">
        <v>2763612000161</v>
      </c>
      <c r="I1012" s="17">
        <v>90739624003133</v>
      </c>
      <c r="J1012" t="s">
        <v>2</v>
      </c>
      <c r="K1012" s="9" t="s">
        <v>3690</v>
      </c>
      <c r="L1012" t="s">
        <v>44</v>
      </c>
      <c r="M1012">
        <v>162791</v>
      </c>
      <c r="N1012" s="2" t="s">
        <v>584</v>
      </c>
      <c r="O1012" s="9" t="s">
        <v>3690</v>
      </c>
      <c r="P1012" t="s">
        <v>3691</v>
      </c>
      <c r="T1012" s="2"/>
      <c r="U1012" s="2" t="s">
        <v>718</v>
      </c>
    </row>
    <row r="1013" spans="1:21" x14ac:dyDescent="0.3">
      <c r="A1013">
        <v>269308</v>
      </c>
      <c r="B1013" t="s">
        <v>46</v>
      </c>
      <c r="C1013" t="s">
        <v>91</v>
      </c>
      <c r="D1013" t="s">
        <v>28</v>
      </c>
      <c r="E1013" s="1" t="s">
        <v>3692</v>
      </c>
      <c r="F1013">
        <v>24768734</v>
      </c>
      <c r="G1013" t="s">
        <v>254</v>
      </c>
      <c r="H1013" s="17">
        <v>13759928000104</v>
      </c>
      <c r="I1013" s="17">
        <v>90739624001947</v>
      </c>
      <c r="J1013" t="s">
        <v>2</v>
      </c>
      <c r="K1013" s="9" t="s">
        <v>3693</v>
      </c>
      <c r="L1013" t="s">
        <v>44</v>
      </c>
      <c r="M1013">
        <v>22193</v>
      </c>
      <c r="N1013" s="2" t="s">
        <v>792</v>
      </c>
      <c r="O1013" s="9" t="s">
        <v>3693</v>
      </c>
      <c r="P1013" t="s">
        <v>3694</v>
      </c>
      <c r="T1013" s="2"/>
      <c r="U1013" s="2" t="s">
        <v>718</v>
      </c>
    </row>
    <row r="1014" spans="1:21" x14ac:dyDescent="0.3">
      <c r="A1014">
        <v>269308</v>
      </c>
      <c r="B1014" t="s">
        <v>46</v>
      </c>
      <c r="C1014" t="s">
        <v>154</v>
      </c>
      <c r="D1014" t="s">
        <v>8</v>
      </c>
      <c r="E1014" s="1" t="s">
        <v>3695</v>
      </c>
      <c r="F1014">
        <v>24768729</v>
      </c>
      <c r="G1014" t="s">
        <v>144</v>
      </c>
      <c r="H1014" s="17">
        <v>37607755000169</v>
      </c>
      <c r="I1014" s="17">
        <v>9576274000106</v>
      </c>
      <c r="J1014" t="s">
        <v>2</v>
      </c>
      <c r="K1014" s="9" t="s">
        <v>3696</v>
      </c>
      <c r="L1014" t="s">
        <v>44</v>
      </c>
      <c r="M1014">
        <v>10505</v>
      </c>
      <c r="N1014" s="2" t="s">
        <v>584</v>
      </c>
      <c r="O1014" s="9" t="s">
        <v>3696</v>
      </c>
      <c r="P1014" t="s">
        <v>3697</v>
      </c>
      <c r="T1014" s="2"/>
      <c r="U1014" s="2" t="s">
        <v>718</v>
      </c>
    </row>
    <row r="1015" spans="1:21" x14ac:dyDescent="0.3">
      <c r="A1015">
        <v>269308</v>
      </c>
      <c r="B1015" t="s">
        <v>46</v>
      </c>
      <c r="C1015" t="s">
        <v>483</v>
      </c>
      <c r="D1015" t="s">
        <v>28</v>
      </c>
      <c r="E1015" s="1" t="s">
        <v>3698</v>
      </c>
      <c r="F1015">
        <v>24768718</v>
      </c>
      <c r="G1015" t="s">
        <v>48</v>
      </c>
      <c r="H1015" s="17">
        <v>1272434001002</v>
      </c>
      <c r="I1015" s="17">
        <v>90739624001947</v>
      </c>
      <c r="J1015" t="s">
        <v>2</v>
      </c>
      <c r="K1015" s="9" t="s">
        <v>3699</v>
      </c>
      <c r="L1015" t="s">
        <v>44</v>
      </c>
      <c r="M1015">
        <v>81145</v>
      </c>
      <c r="N1015" s="2" t="s">
        <v>584</v>
      </c>
      <c r="O1015" s="9" t="s">
        <v>3699</v>
      </c>
      <c r="P1015" t="s">
        <v>3700</v>
      </c>
      <c r="T1015" s="2"/>
      <c r="U1015" s="2" t="s">
        <v>718</v>
      </c>
    </row>
    <row r="1016" spans="1:21" x14ac:dyDescent="0.3">
      <c r="A1016">
        <v>269308</v>
      </c>
      <c r="B1016" t="s">
        <v>46</v>
      </c>
      <c r="C1016" t="s">
        <v>229</v>
      </c>
      <c r="D1016" t="s">
        <v>100</v>
      </c>
      <c r="E1016" s="1" t="s">
        <v>3701</v>
      </c>
      <c r="F1016">
        <v>24768716</v>
      </c>
      <c r="G1016" t="s">
        <v>152</v>
      </c>
      <c r="H1016" s="17">
        <v>23891404000118</v>
      </c>
      <c r="I1016" s="17">
        <v>90739624001866</v>
      </c>
      <c r="J1016" t="s">
        <v>2</v>
      </c>
      <c r="K1016" s="9" t="s">
        <v>3702</v>
      </c>
      <c r="L1016" t="s">
        <v>44</v>
      </c>
      <c r="M1016">
        <v>131360</v>
      </c>
      <c r="N1016" s="2" t="s">
        <v>584</v>
      </c>
      <c r="O1016" s="9" t="s">
        <v>3702</v>
      </c>
      <c r="P1016" t="s">
        <v>3703</v>
      </c>
      <c r="T1016" s="2"/>
      <c r="U1016" s="2" t="s">
        <v>718</v>
      </c>
    </row>
    <row r="1017" spans="1:21" x14ac:dyDescent="0.3">
      <c r="A1017">
        <v>269308</v>
      </c>
      <c r="B1017" t="s">
        <v>46</v>
      </c>
      <c r="C1017" t="s">
        <v>129</v>
      </c>
      <c r="D1017" t="s">
        <v>25</v>
      </c>
      <c r="E1017" s="1" t="s">
        <v>3704</v>
      </c>
      <c r="F1017">
        <v>24768674</v>
      </c>
      <c r="G1017" t="s">
        <v>258</v>
      </c>
      <c r="H1017" s="17">
        <v>26602128000119</v>
      </c>
      <c r="I1017" s="17">
        <v>90739624001866</v>
      </c>
      <c r="J1017" t="s">
        <v>2</v>
      </c>
      <c r="K1017" s="9" t="s">
        <v>3705</v>
      </c>
      <c r="L1017" t="s">
        <v>44</v>
      </c>
      <c r="M1017">
        <v>136046</v>
      </c>
      <c r="N1017" s="2" t="s">
        <v>584</v>
      </c>
      <c r="O1017" s="9" t="s">
        <v>3705</v>
      </c>
      <c r="P1017" t="s">
        <v>3706</v>
      </c>
      <c r="T1017" s="2"/>
      <c r="U1017" s="2" t="s">
        <v>718</v>
      </c>
    </row>
    <row r="1018" spans="1:21" x14ac:dyDescent="0.3">
      <c r="A1018">
        <v>269308</v>
      </c>
      <c r="B1018" t="s">
        <v>46</v>
      </c>
      <c r="C1018" t="s">
        <v>158</v>
      </c>
      <c r="D1018" t="s">
        <v>61</v>
      </c>
      <c r="E1018" s="1" t="s">
        <v>3707</v>
      </c>
      <c r="F1018">
        <v>24768522</v>
      </c>
      <c r="G1018" t="s">
        <v>62</v>
      </c>
      <c r="H1018" s="17">
        <v>79964177000591</v>
      </c>
      <c r="I1018" s="17">
        <v>9576274000106</v>
      </c>
      <c r="J1018" t="s">
        <v>2</v>
      </c>
      <c r="K1018" s="9" t="s">
        <v>3708</v>
      </c>
      <c r="L1018" t="s">
        <v>44</v>
      </c>
      <c r="M1018">
        <v>819803</v>
      </c>
      <c r="N1018" s="2" t="s">
        <v>584</v>
      </c>
      <c r="O1018" s="9" t="s">
        <v>3708</v>
      </c>
      <c r="P1018" t="s">
        <v>3709</v>
      </c>
      <c r="T1018" s="2"/>
      <c r="U1018" s="2" t="s">
        <v>718</v>
      </c>
    </row>
    <row r="1019" spans="1:21" x14ac:dyDescent="0.3">
      <c r="A1019">
        <v>269308</v>
      </c>
      <c r="B1019" t="s">
        <v>46</v>
      </c>
      <c r="C1019" t="s">
        <v>225</v>
      </c>
      <c r="D1019" t="s">
        <v>49</v>
      </c>
      <c r="E1019" s="1" t="s">
        <v>3710</v>
      </c>
      <c r="F1019">
        <v>24768516</v>
      </c>
      <c r="G1019" t="s">
        <v>51</v>
      </c>
      <c r="H1019" s="17">
        <v>2763612000161</v>
      </c>
      <c r="I1019" s="17">
        <v>90739624003133</v>
      </c>
      <c r="J1019" t="s">
        <v>2</v>
      </c>
      <c r="K1019" s="9" t="s">
        <v>3711</v>
      </c>
      <c r="L1019" t="s">
        <v>44</v>
      </c>
      <c r="M1019">
        <v>162788</v>
      </c>
      <c r="N1019" s="2" t="s">
        <v>584</v>
      </c>
      <c r="O1019" s="9" t="s">
        <v>3711</v>
      </c>
      <c r="P1019" t="s">
        <v>3712</v>
      </c>
      <c r="T1019" s="2"/>
      <c r="U1019" s="2" t="s">
        <v>718</v>
      </c>
    </row>
    <row r="1020" spans="1:21" x14ac:dyDescent="0.3">
      <c r="A1020">
        <v>269308</v>
      </c>
      <c r="B1020" t="s">
        <v>46</v>
      </c>
      <c r="C1020" t="s">
        <v>141</v>
      </c>
      <c r="D1020" t="s">
        <v>61</v>
      </c>
      <c r="E1020" s="1" t="s">
        <v>3713</v>
      </c>
      <c r="F1020">
        <v>24768291</v>
      </c>
      <c r="G1020" t="s">
        <v>507</v>
      </c>
      <c r="H1020" s="17">
        <v>3626094001330</v>
      </c>
      <c r="I1020" s="17">
        <v>9576274000106</v>
      </c>
      <c r="J1020" t="s">
        <v>17</v>
      </c>
      <c r="K1020" s="9" t="s">
        <v>3714</v>
      </c>
      <c r="L1020" t="s">
        <v>44</v>
      </c>
      <c r="M1020">
        <v>50475</v>
      </c>
      <c r="N1020" s="2" t="s">
        <v>585</v>
      </c>
      <c r="O1020" s="9" t="s">
        <v>3714</v>
      </c>
      <c r="P1020" t="s">
        <v>3715</v>
      </c>
      <c r="T1020" s="2"/>
      <c r="U1020" s="2" t="s">
        <v>718</v>
      </c>
    </row>
    <row r="1021" spans="1:21" x14ac:dyDescent="0.3">
      <c r="A1021">
        <v>269308</v>
      </c>
      <c r="B1021" t="s">
        <v>46</v>
      </c>
      <c r="C1021" t="s">
        <v>141</v>
      </c>
      <c r="D1021" t="s">
        <v>61</v>
      </c>
      <c r="E1021" s="1" t="s">
        <v>3716</v>
      </c>
      <c r="F1021">
        <v>24768280</v>
      </c>
      <c r="G1021" t="s">
        <v>507</v>
      </c>
      <c r="H1021" s="17">
        <v>3626094001330</v>
      </c>
      <c r="I1021" s="17">
        <v>9576274000106</v>
      </c>
      <c r="J1021" t="s">
        <v>2</v>
      </c>
      <c r="K1021" s="9" t="s">
        <v>3717</v>
      </c>
      <c r="L1021" t="s">
        <v>44</v>
      </c>
      <c r="M1021">
        <v>50474</v>
      </c>
      <c r="N1021" s="2" t="s">
        <v>585</v>
      </c>
      <c r="O1021" s="9" t="s">
        <v>3717</v>
      </c>
      <c r="P1021" t="s">
        <v>3718</v>
      </c>
      <c r="T1021" s="2"/>
      <c r="U1021" s="2" t="s">
        <v>718</v>
      </c>
    </row>
    <row r="1022" spans="1:21" x14ac:dyDescent="0.3">
      <c r="A1022">
        <v>269308</v>
      </c>
      <c r="B1022" t="s">
        <v>46</v>
      </c>
      <c r="C1022" t="s">
        <v>687</v>
      </c>
      <c r="D1022" t="s">
        <v>58</v>
      </c>
      <c r="E1022" s="1" t="s">
        <v>3719</v>
      </c>
      <c r="F1022">
        <v>24768241</v>
      </c>
      <c r="G1022" t="s">
        <v>3720</v>
      </c>
      <c r="H1022" s="17">
        <v>7473735022070</v>
      </c>
      <c r="I1022" s="17">
        <v>90739624002323</v>
      </c>
      <c r="J1022" t="s">
        <v>2</v>
      </c>
      <c r="K1022" s="9" t="s">
        <v>3721</v>
      </c>
      <c r="L1022" t="s">
        <v>44</v>
      </c>
      <c r="M1022">
        <v>3894</v>
      </c>
      <c r="N1022" s="2" t="s">
        <v>584</v>
      </c>
      <c r="O1022" s="9" t="s">
        <v>3721</v>
      </c>
      <c r="P1022" t="s">
        <v>3722</v>
      </c>
      <c r="T1022" s="2"/>
      <c r="U1022" s="2" t="s">
        <v>718</v>
      </c>
    </row>
    <row r="1023" spans="1:21" x14ac:dyDescent="0.3">
      <c r="A1023">
        <v>269308</v>
      </c>
      <c r="B1023" t="s">
        <v>46</v>
      </c>
      <c r="C1023" t="s">
        <v>597</v>
      </c>
      <c r="D1023" t="s">
        <v>49</v>
      </c>
      <c r="E1023" s="1" t="s">
        <v>3723</v>
      </c>
      <c r="F1023">
        <v>24768162</v>
      </c>
      <c r="G1023" t="s">
        <v>51</v>
      </c>
      <c r="H1023" s="17">
        <v>2763612000161</v>
      </c>
      <c r="I1023" s="17">
        <v>90739624003133</v>
      </c>
      <c r="J1023" t="s">
        <v>2</v>
      </c>
      <c r="K1023" s="9" t="s">
        <v>3724</v>
      </c>
      <c r="L1023" t="s">
        <v>44</v>
      </c>
      <c r="M1023">
        <v>162782</v>
      </c>
      <c r="N1023" s="2" t="s">
        <v>584</v>
      </c>
      <c r="O1023" s="9" t="s">
        <v>3724</v>
      </c>
      <c r="P1023" t="s">
        <v>3725</v>
      </c>
      <c r="T1023" s="2"/>
      <c r="U1023" s="2" t="s">
        <v>718</v>
      </c>
    </row>
    <row r="1024" spans="1:21" x14ac:dyDescent="0.3">
      <c r="A1024">
        <v>269308</v>
      </c>
      <c r="B1024" t="s">
        <v>46</v>
      </c>
      <c r="C1024" t="s">
        <v>460</v>
      </c>
      <c r="D1024" t="s">
        <v>25</v>
      </c>
      <c r="E1024" s="1" t="s">
        <v>3726</v>
      </c>
      <c r="F1024">
        <v>24768161</v>
      </c>
      <c r="G1024" t="s">
        <v>80</v>
      </c>
      <c r="H1024" s="17">
        <v>8603562001103</v>
      </c>
      <c r="I1024" s="17">
        <v>90739624001866</v>
      </c>
      <c r="J1024" t="s">
        <v>2</v>
      </c>
      <c r="K1024" s="9" t="s">
        <v>3727</v>
      </c>
      <c r="L1024" t="s">
        <v>44</v>
      </c>
      <c r="M1024">
        <v>1807</v>
      </c>
      <c r="N1024" s="2" t="s">
        <v>585</v>
      </c>
      <c r="O1024" s="9" t="s">
        <v>3727</v>
      </c>
      <c r="P1024" t="s">
        <v>3728</v>
      </c>
      <c r="T1024" s="2"/>
      <c r="U1024" s="2" t="s">
        <v>718</v>
      </c>
    </row>
    <row r="1025" spans="1:21" x14ac:dyDescent="0.3">
      <c r="A1025">
        <v>269308</v>
      </c>
      <c r="B1025" t="s">
        <v>46</v>
      </c>
      <c r="C1025" t="s">
        <v>321</v>
      </c>
      <c r="D1025" t="s">
        <v>40</v>
      </c>
      <c r="E1025" s="1" t="s">
        <v>3729</v>
      </c>
      <c r="F1025">
        <v>24768147</v>
      </c>
      <c r="G1025" t="s">
        <v>42</v>
      </c>
      <c r="H1025" s="17">
        <v>82156977000248</v>
      </c>
      <c r="I1025" s="17">
        <v>90739624001432</v>
      </c>
      <c r="J1025" t="s">
        <v>2</v>
      </c>
      <c r="K1025" s="9" t="s">
        <v>3730</v>
      </c>
      <c r="L1025" t="s">
        <v>44</v>
      </c>
      <c r="M1025">
        <v>168160</v>
      </c>
      <c r="N1025" s="2" t="s">
        <v>584</v>
      </c>
      <c r="O1025" s="9" t="s">
        <v>3730</v>
      </c>
      <c r="P1025" t="s">
        <v>3731</v>
      </c>
      <c r="T1025" s="2"/>
      <c r="U1025" s="2" t="s">
        <v>718</v>
      </c>
    </row>
    <row r="1026" spans="1:21" x14ac:dyDescent="0.3">
      <c r="A1026">
        <v>269308</v>
      </c>
      <c r="B1026" t="s">
        <v>46</v>
      </c>
      <c r="C1026" t="s">
        <v>76</v>
      </c>
      <c r="D1026" t="s">
        <v>8</v>
      </c>
      <c r="E1026" s="1" t="s">
        <v>3732</v>
      </c>
      <c r="F1026">
        <v>24768125</v>
      </c>
      <c r="G1026" t="s">
        <v>467</v>
      </c>
      <c r="H1026" s="17">
        <v>84923127000172</v>
      </c>
      <c r="I1026" s="17">
        <v>90739624003133</v>
      </c>
      <c r="J1026" t="s">
        <v>17</v>
      </c>
      <c r="K1026" s="9" t="s">
        <v>3733</v>
      </c>
      <c r="L1026" t="s">
        <v>44</v>
      </c>
      <c r="M1026">
        <v>296722</v>
      </c>
      <c r="N1026" s="2" t="s">
        <v>584</v>
      </c>
      <c r="O1026" s="9" t="s">
        <v>3733</v>
      </c>
      <c r="P1026" t="s">
        <v>3734</v>
      </c>
      <c r="T1026" s="2"/>
      <c r="U1026" s="2" t="s">
        <v>718</v>
      </c>
    </row>
    <row r="1027" spans="1:21" x14ac:dyDescent="0.3">
      <c r="A1027">
        <v>269308</v>
      </c>
      <c r="B1027" t="s">
        <v>46</v>
      </c>
      <c r="C1027" t="s">
        <v>76</v>
      </c>
      <c r="D1027" t="s">
        <v>8</v>
      </c>
      <c r="E1027" s="1" t="s">
        <v>3735</v>
      </c>
      <c r="F1027">
        <v>24768030</v>
      </c>
      <c r="G1027" t="s">
        <v>467</v>
      </c>
      <c r="H1027" s="17">
        <v>84923127000172</v>
      </c>
      <c r="I1027" s="17">
        <v>90739624003133</v>
      </c>
      <c r="J1027" t="s">
        <v>2</v>
      </c>
      <c r="K1027" s="9" t="s">
        <v>3736</v>
      </c>
      <c r="L1027" t="s">
        <v>44</v>
      </c>
      <c r="M1027">
        <v>296721</v>
      </c>
      <c r="N1027" s="2" t="s">
        <v>584</v>
      </c>
      <c r="O1027" s="9" t="s">
        <v>3736</v>
      </c>
      <c r="P1027" t="s">
        <v>3737</v>
      </c>
      <c r="T1027" s="2"/>
      <c r="U1027" s="2" t="s">
        <v>718</v>
      </c>
    </row>
    <row r="1028" spans="1:21" x14ac:dyDescent="0.3">
      <c r="A1028">
        <v>269308</v>
      </c>
      <c r="B1028" t="s">
        <v>46</v>
      </c>
      <c r="C1028" t="s">
        <v>187</v>
      </c>
      <c r="D1028" t="s">
        <v>52</v>
      </c>
      <c r="E1028" s="1" t="s">
        <v>3738</v>
      </c>
      <c r="F1028">
        <v>24768009</v>
      </c>
      <c r="G1028" t="s">
        <v>545</v>
      </c>
      <c r="H1028" s="17">
        <v>30429333000282</v>
      </c>
      <c r="I1028" s="17">
        <v>9576274000106</v>
      </c>
      <c r="J1028" t="s">
        <v>2</v>
      </c>
      <c r="K1028" s="9" t="s">
        <v>3739</v>
      </c>
      <c r="L1028" t="s">
        <v>44</v>
      </c>
      <c r="M1028">
        <v>40606</v>
      </c>
      <c r="N1028" s="2" t="s">
        <v>584</v>
      </c>
      <c r="O1028" s="9" t="s">
        <v>3739</v>
      </c>
      <c r="P1028" t="s">
        <v>3740</v>
      </c>
      <c r="T1028" s="2"/>
      <c r="U1028" s="2" t="s">
        <v>718</v>
      </c>
    </row>
    <row r="1029" spans="1:21" x14ac:dyDescent="0.3">
      <c r="A1029">
        <v>269308</v>
      </c>
      <c r="B1029" t="s">
        <v>46</v>
      </c>
      <c r="C1029" t="s">
        <v>219</v>
      </c>
      <c r="D1029" t="s">
        <v>28</v>
      </c>
      <c r="E1029" s="1" t="s">
        <v>3741</v>
      </c>
      <c r="F1029">
        <v>24767809</v>
      </c>
      <c r="G1029" t="s">
        <v>209</v>
      </c>
      <c r="H1029" s="17">
        <v>33360405000190</v>
      </c>
      <c r="I1029" s="17">
        <v>90739624001947</v>
      </c>
      <c r="J1029" t="s">
        <v>2</v>
      </c>
      <c r="K1029" s="9" t="s">
        <v>3742</v>
      </c>
      <c r="L1029" t="s">
        <v>44</v>
      </c>
      <c r="M1029">
        <v>38298</v>
      </c>
      <c r="N1029" s="2" t="s">
        <v>584</v>
      </c>
      <c r="O1029" s="9" t="s">
        <v>3742</v>
      </c>
      <c r="P1029" t="s">
        <v>3743</v>
      </c>
      <c r="T1029" s="2"/>
      <c r="U1029" s="2" t="s">
        <v>718</v>
      </c>
    </row>
    <row r="1030" spans="1:21" x14ac:dyDescent="0.3">
      <c r="A1030">
        <v>269308</v>
      </c>
      <c r="B1030" t="s">
        <v>46</v>
      </c>
      <c r="C1030" t="s">
        <v>217</v>
      </c>
      <c r="D1030" t="s">
        <v>40</v>
      </c>
      <c r="E1030" s="1" t="s">
        <v>3744</v>
      </c>
      <c r="F1030">
        <v>24767760</v>
      </c>
      <c r="G1030" t="s">
        <v>42</v>
      </c>
      <c r="H1030" s="17">
        <v>82156977000248</v>
      </c>
      <c r="I1030" s="17">
        <v>90739624001432</v>
      </c>
      <c r="J1030" t="s">
        <v>2</v>
      </c>
      <c r="K1030" s="9" t="s">
        <v>3745</v>
      </c>
      <c r="L1030" t="s">
        <v>44</v>
      </c>
      <c r="M1030">
        <v>168159</v>
      </c>
      <c r="N1030" s="2" t="s">
        <v>584</v>
      </c>
      <c r="O1030" s="9" t="s">
        <v>3745</v>
      </c>
      <c r="P1030" t="s">
        <v>3746</v>
      </c>
      <c r="T1030" s="2"/>
      <c r="U1030" s="2" t="s">
        <v>718</v>
      </c>
    </row>
    <row r="1031" spans="1:21" x14ac:dyDescent="0.3">
      <c r="A1031">
        <v>269308</v>
      </c>
      <c r="B1031" t="s">
        <v>46</v>
      </c>
      <c r="C1031" t="s">
        <v>523</v>
      </c>
      <c r="D1031" t="s">
        <v>49</v>
      </c>
      <c r="E1031" s="1" t="s">
        <v>3747</v>
      </c>
      <c r="F1031">
        <v>24767528</v>
      </c>
      <c r="G1031" t="s">
        <v>51</v>
      </c>
      <c r="H1031" s="17">
        <v>2763612000161</v>
      </c>
      <c r="I1031" s="17">
        <v>90739624003133</v>
      </c>
      <c r="J1031" t="s">
        <v>2</v>
      </c>
      <c r="K1031" s="9" t="s">
        <v>3748</v>
      </c>
      <c r="L1031" t="s">
        <v>44</v>
      </c>
      <c r="M1031">
        <v>162778</v>
      </c>
      <c r="N1031" s="2" t="s">
        <v>584</v>
      </c>
      <c r="O1031" s="9" t="s">
        <v>3748</v>
      </c>
      <c r="P1031" t="s">
        <v>3749</v>
      </c>
      <c r="T1031" s="2"/>
      <c r="U1031" s="2" t="s">
        <v>718</v>
      </c>
    </row>
    <row r="1032" spans="1:21" x14ac:dyDescent="0.3">
      <c r="A1032">
        <v>269308</v>
      </c>
      <c r="B1032" t="s">
        <v>46</v>
      </c>
      <c r="C1032" t="s">
        <v>361</v>
      </c>
      <c r="D1032" t="s">
        <v>58</v>
      </c>
      <c r="E1032" s="1" t="s">
        <v>3750</v>
      </c>
      <c r="F1032">
        <v>24767354</v>
      </c>
      <c r="G1032" t="s">
        <v>640</v>
      </c>
      <c r="H1032" s="17">
        <v>7473735015294</v>
      </c>
      <c r="I1032" s="17">
        <v>90739624002323</v>
      </c>
      <c r="J1032" t="s">
        <v>2</v>
      </c>
      <c r="K1032" s="9" t="s">
        <v>642</v>
      </c>
      <c r="L1032" t="s">
        <v>44</v>
      </c>
      <c r="M1032">
        <v>150548</v>
      </c>
      <c r="N1032" s="2" t="s">
        <v>584</v>
      </c>
      <c r="O1032" s="9" t="s">
        <v>642</v>
      </c>
      <c r="P1032" t="s">
        <v>3751</v>
      </c>
      <c r="T1032" s="2"/>
      <c r="U1032" s="2" t="s">
        <v>718</v>
      </c>
    </row>
    <row r="1033" spans="1:21" x14ac:dyDescent="0.3">
      <c r="A1033">
        <v>269308</v>
      </c>
      <c r="B1033" t="s">
        <v>46</v>
      </c>
      <c r="C1033" t="s">
        <v>251</v>
      </c>
      <c r="D1033" t="s">
        <v>8</v>
      </c>
      <c r="E1033" s="1" t="s">
        <v>3752</v>
      </c>
      <c r="F1033">
        <v>24767350</v>
      </c>
      <c r="G1033" t="s">
        <v>239</v>
      </c>
      <c r="H1033" s="17">
        <v>5291412000141</v>
      </c>
      <c r="I1033" s="17">
        <v>9576274000106</v>
      </c>
      <c r="J1033" t="s">
        <v>2</v>
      </c>
      <c r="K1033" s="9" t="s">
        <v>3753</v>
      </c>
      <c r="L1033" t="s">
        <v>44</v>
      </c>
      <c r="M1033">
        <v>20814</v>
      </c>
      <c r="N1033" s="2" t="s">
        <v>584</v>
      </c>
      <c r="O1033" s="9" t="s">
        <v>3753</v>
      </c>
      <c r="P1033" t="s">
        <v>3754</v>
      </c>
      <c r="T1033" s="2"/>
      <c r="U1033" s="2" t="s">
        <v>718</v>
      </c>
    </row>
    <row r="1034" spans="1:21" x14ac:dyDescent="0.3">
      <c r="A1034">
        <v>269308</v>
      </c>
      <c r="B1034" t="s">
        <v>46</v>
      </c>
      <c r="C1034" t="s">
        <v>101</v>
      </c>
      <c r="D1034" t="s">
        <v>100</v>
      </c>
      <c r="E1034" s="1" t="s">
        <v>3755</v>
      </c>
      <c r="F1034">
        <v>24767279</v>
      </c>
      <c r="G1034" t="s">
        <v>486</v>
      </c>
      <c r="H1034" s="17">
        <v>58446194000133</v>
      </c>
      <c r="I1034" s="17">
        <v>90739624001947</v>
      </c>
      <c r="J1034" t="s">
        <v>2</v>
      </c>
      <c r="K1034" s="9" t="s">
        <v>3756</v>
      </c>
      <c r="L1034" t="s">
        <v>44</v>
      </c>
      <c r="M1034">
        <v>52707</v>
      </c>
      <c r="N1034" s="2" t="s">
        <v>584</v>
      </c>
      <c r="O1034" s="9" t="s">
        <v>3756</v>
      </c>
      <c r="P1034" t="s">
        <v>3757</v>
      </c>
      <c r="T1034" s="2"/>
      <c r="U1034" s="2" t="s">
        <v>718</v>
      </c>
    </row>
    <row r="1035" spans="1:21" x14ac:dyDescent="0.3">
      <c r="A1035">
        <v>269308</v>
      </c>
      <c r="B1035" t="s">
        <v>46</v>
      </c>
      <c r="C1035" t="s">
        <v>41</v>
      </c>
      <c r="D1035" t="s">
        <v>40</v>
      </c>
      <c r="E1035" s="1" t="s">
        <v>3758</v>
      </c>
      <c r="F1035">
        <v>24766252</v>
      </c>
      <c r="G1035" t="s">
        <v>42</v>
      </c>
      <c r="H1035" s="17">
        <v>82156977000248</v>
      </c>
      <c r="I1035" s="17">
        <v>90739624001432</v>
      </c>
      <c r="J1035" t="s">
        <v>2</v>
      </c>
      <c r="K1035" s="9" t="s">
        <v>3759</v>
      </c>
      <c r="L1035" t="s">
        <v>44</v>
      </c>
      <c r="M1035">
        <v>168154</v>
      </c>
      <c r="N1035" s="2" t="s">
        <v>584</v>
      </c>
      <c r="O1035" s="9" t="s">
        <v>3759</v>
      </c>
      <c r="P1035" t="s">
        <v>3760</v>
      </c>
      <c r="T1035" s="2"/>
      <c r="U1035" s="2" t="s">
        <v>718</v>
      </c>
    </row>
    <row r="1036" spans="1:21" x14ac:dyDescent="0.3">
      <c r="A1036">
        <v>269308</v>
      </c>
      <c r="B1036" t="s">
        <v>46</v>
      </c>
      <c r="C1036" t="s">
        <v>484</v>
      </c>
      <c r="D1036" t="s">
        <v>61</v>
      </c>
      <c r="E1036" s="1" t="s">
        <v>3761</v>
      </c>
      <c r="F1036">
        <v>24764936</v>
      </c>
      <c r="G1036" t="s">
        <v>85</v>
      </c>
      <c r="H1036" s="17">
        <v>1975878000105</v>
      </c>
      <c r="I1036" s="17">
        <v>9576274000106</v>
      </c>
      <c r="J1036" t="s">
        <v>2</v>
      </c>
      <c r="K1036" s="9" t="s">
        <v>3762</v>
      </c>
      <c r="L1036" t="s">
        <v>44</v>
      </c>
      <c r="M1036">
        <v>2491</v>
      </c>
      <c r="N1036" s="2" t="s">
        <v>584</v>
      </c>
      <c r="O1036" s="9" t="s">
        <v>3762</v>
      </c>
      <c r="P1036" t="s">
        <v>3763</v>
      </c>
      <c r="T1036" s="2"/>
      <c r="U1036" s="2" t="s">
        <v>718</v>
      </c>
    </row>
    <row r="1037" spans="1:21" x14ac:dyDescent="0.3">
      <c r="A1037">
        <v>269308</v>
      </c>
      <c r="B1037" t="s">
        <v>46</v>
      </c>
      <c r="C1037" t="s">
        <v>347</v>
      </c>
      <c r="D1037" t="s">
        <v>73</v>
      </c>
      <c r="E1037" s="1" t="s">
        <v>3764</v>
      </c>
      <c r="F1037">
        <v>24764197</v>
      </c>
      <c r="G1037" t="s">
        <v>262</v>
      </c>
      <c r="H1037" s="17">
        <v>7473735001587</v>
      </c>
      <c r="I1037" s="17">
        <v>90739624002323</v>
      </c>
      <c r="J1037" t="s">
        <v>2</v>
      </c>
      <c r="K1037" s="9" t="s">
        <v>3765</v>
      </c>
      <c r="L1037" t="s">
        <v>44</v>
      </c>
      <c r="M1037">
        <v>8804</v>
      </c>
      <c r="N1037" s="2" t="s">
        <v>584</v>
      </c>
      <c r="O1037" s="9" t="s">
        <v>3765</v>
      </c>
      <c r="P1037" t="s">
        <v>3766</v>
      </c>
      <c r="T1037" s="2"/>
      <c r="U1037" s="2" t="s">
        <v>718</v>
      </c>
    </row>
    <row r="1038" spans="1:21" x14ac:dyDescent="0.3">
      <c r="A1038">
        <v>269308</v>
      </c>
      <c r="B1038" t="s">
        <v>46</v>
      </c>
      <c r="C1038" t="s">
        <v>53</v>
      </c>
      <c r="D1038" t="s">
        <v>52</v>
      </c>
      <c r="E1038" s="1" t="s">
        <v>3767</v>
      </c>
      <c r="F1038">
        <v>24764023</v>
      </c>
      <c r="G1038" t="s">
        <v>54</v>
      </c>
      <c r="H1038" s="17">
        <v>79130647000198</v>
      </c>
      <c r="I1038" s="17">
        <v>9576274000106</v>
      </c>
      <c r="J1038" t="s">
        <v>2</v>
      </c>
      <c r="K1038" s="9" t="s">
        <v>3768</v>
      </c>
      <c r="L1038" t="s">
        <v>44</v>
      </c>
      <c r="M1038">
        <v>20201</v>
      </c>
      <c r="N1038" s="2" t="s">
        <v>584</v>
      </c>
      <c r="O1038" s="9" t="s">
        <v>3769</v>
      </c>
      <c r="P1038" t="s">
        <v>3770</v>
      </c>
      <c r="T1038" s="2"/>
      <c r="U1038" s="2" t="s">
        <v>718</v>
      </c>
    </row>
    <row r="1039" spans="1:21" x14ac:dyDescent="0.3">
      <c r="A1039">
        <v>269308</v>
      </c>
      <c r="B1039" t="s">
        <v>46</v>
      </c>
      <c r="C1039" t="s">
        <v>511</v>
      </c>
      <c r="D1039" t="s">
        <v>28</v>
      </c>
      <c r="E1039" s="1" t="s">
        <v>3771</v>
      </c>
      <c r="F1039">
        <v>24763279</v>
      </c>
      <c r="G1039" t="s">
        <v>29</v>
      </c>
      <c r="H1039" s="17">
        <v>47377960000139</v>
      </c>
      <c r="I1039" s="17">
        <v>90739624001947</v>
      </c>
      <c r="J1039" t="s">
        <v>2</v>
      </c>
      <c r="K1039" s="9" t="s">
        <v>3772</v>
      </c>
      <c r="L1039" t="s">
        <v>44</v>
      </c>
      <c r="M1039">
        <v>112816</v>
      </c>
      <c r="N1039" s="2" t="s">
        <v>584</v>
      </c>
      <c r="O1039" s="9" t="s">
        <v>3772</v>
      </c>
      <c r="P1039" t="s">
        <v>3773</v>
      </c>
      <c r="T1039" s="2"/>
      <c r="U1039" s="2" t="s">
        <v>718</v>
      </c>
    </row>
    <row r="1040" spans="1:21" x14ac:dyDescent="0.3">
      <c r="A1040">
        <v>269308</v>
      </c>
      <c r="B1040" t="s">
        <v>46</v>
      </c>
      <c r="C1040" t="s">
        <v>182</v>
      </c>
      <c r="D1040" t="s">
        <v>181</v>
      </c>
      <c r="E1040" s="1" t="s">
        <v>3774</v>
      </c>
      <c r="F1040">
        <v>24763140</v>
      </c>
      <c r="G1040" t="s">
        <v>183</v>
      </c>
      <c r="H1040" s="17">
        <v>84711084000161</v>
      </c>
      <c r="I1040" s="17">
        <v>90739624001432</v>
      </c>
      <c r="J1040" t="s">
        <v>2</v>
      </c>
      <c r="K1040" s="9" t="s">
        <v>3775</v>
      </c>
      <c r="L1040" t="s">
        <v>44</v>
      </c>
      <c r="M1040">
        <v>118422</v>
      </c>
      <c r="N1040" s="2" t="s">
        <v>584</v>
      </c>
      <c r="O1040" s="9" t="s">
        <v>3775</v>
      </c>
      <c r="P1040" t="s">
        <v>3776</v>
      </c>
      <c r="T1040" s="2"/>
      <c r="U1040" s="2" t="s">
        <v>718</v>
      </c>
    </row>
    <row r="1041" spans="1:21" x14ac:dyDescent="0.3">
      <c r="A1041">
        <v>269308</v>
      </c>
      <c r="B1041" t="s">
        <v>46</v>
      </c>
      <c r="C1041" t="s">
        <v>34</v>
      </c>
      <c r="D1041" t="s">
        <v>33</v>
      </c>
      <c r="E1041" s="1" t="s">
        <v>3777</v>
      </c>
      <c r="F1041">
        <v>24763131</v>
      </c>
      <c r="G1041" t="s">
        <v>35</v>
      </c>
      <c r="H1041" s="17">
        <v>27933025000102</v>
      </c>
      <c r="I1041" s="17">
        <v>9576274000106</v>
      </c>
      <c r="J1041" t="s">
        <v>2</v>
      </c>
      <c r="K1041" s="9" t="s">
        <v>3778</v>
      </c>
      <c r="L1041" t="s">
        <v>44</v>
      </c>
      <c r="M1041">
        <v>1124</v>
      </c>
      <c r="N1041" s="2" t="s">
        <v>583</v>
      </c>
      <c r="O1041" s="9" t="s">
        <v>3778</v>
      </c>
      <c r="P1041" t="s">
        <v>3779</v>
      </c>
      <c r="T1041" s="2"/>
      <c r="U1041" s="2" t="s">
        <v>718</v>
      </c>
    </row>
    <row r="1042" spans="1:21" x14ac:dyDescent="0.3">
      <c r="A1042">
        <v>269308</v>
      </c>
      <c r="B1042" t="s">
        <v>46</v>
      </c>
      <c r="C1042" t="s">
        <v>228</v>
      </c>
      <c r="D1042" t="s">
        <v>63</v>
      </c>
      <c r="E1042" s="1" t="s">
        <v>3780</v>
      </c>
      <c r="F1042">
        <v>24762905</v>
      </c>
      <c r="G1042" t="s">
        <v>64</v>
      </c>
      <c r="H1042" s="17">
        <v>23448964001921</v>
      </c>
      <c r="I1042" s="17">
        <v>90739624001432</v>
      </c>
      <c r="J1042" t="s">
        <v>2</v>
      </c>
      <c r="K1042" s="9" t="s">
        <v>3781</v>
      </c>
      <c r="L1042" t="s">
        <v>44</v>
      </c>
      <c r="M1042">
        <v>178661</v>
      </c>
      <c r="N1042" s="2" t="s">
        <v>584</v>
      </c>
      <c r="O1042" s="9" t="s">
        <v>3781</v>
      </c>
      <c r="P1042" t="s">
        <v>3782</v>
      </c>
      <c r="T1042" s="2"/>
      <c r="U1042" s="2" t="s">
        <v>718</v>
      </c>
    </row>
    <row r="1043" spans="1:21" x14ac:dyDescent="0.3">
      <c r="A1043">
        <v>269308</v>
      </c>
      <c r="B1043" t="s">
        <v>46</v>
      </c>
      <c r="C1043" t="s">
        <v>474</v>
      </c>
      <c r="D1043" t="s">
        <v>99</v>
      </c>
      <c r="E1043" s="1" t="s">
        <v>3783</v>
      </c>
      <c r="F1043">
        <v>24762431</v>
      </c>
      <c r="G1043" t="s">
        <v>507</v>
      </c>
      <c r="H1043" s="17">
        <v>3626094001330</v>
      </c>
      <c r="I1043" s="17">
        <v>9576274000106</v>
      </c>
      <c r="J1043" t="s">
        <v>2</v>
      </c>
      <c r="K1043" s="9" t="s">
        <v>3784</v>
      </c>
      <c r="L1043" t="s">
        <v>44</v>
      </c>
      <c r="M1043">
        <v>50473</v>
      </c>
      <c r="N1043" s="2" t="s">
        <v>585</v>
      </c>
      <c r="O1043" s="9" t="s">
        <v>3784</v>
      </c>
      <c r="P1043" t="s">
        <v>3785</v>
      </c>
      <c r="T1043" s="2"/>
      <c r="U1043" s="2" t="s">
        <v>718</v>
      </c>
    </row>
    <row r="1044" spans="1:21" x14ac:dyDescent="0.3">
      <c r="A1044">
        <v>269308</v>
      </c>
      <c r="B1044" t="s">
        <v>46</v>
      </c>
      <c r="C1044" t="s">
        <v>118</v>
      </c>
      <c r="D1044" t="s">
        <v>31</v>
      </c>
      <c r="E1044" s="1" t="s">
        <v>3786</v>
      </c>
      <c r="F1044">
        <v>24762377</v>
      </c>
      <c r="G1044" t="s">
        <v>233</v>
      </c>
      <c r="H1044" s="17">
        <v>22611652000103</v>
      </c>
      <c r="I1044" s="17">
        <v>90739624001866</v>
      </c>
      <c r="J1044" t="s">
        <v>2</v>
      </c>
      <c r="K1044" s="9" t="s">
        <v>3787</v>
      </c>
      <c r="L1044" t="s">
        <v>44</v>
      </c>
      <c r="M1044">
        <v>171487</v>
      </c>
      <c r="N1044" s="2" t="s">
        <v>584</v>
      </c>
      <c r="O1044" s="9" t="s">
        <v>3787</v>
      </c>
      <c r="P1044" t="s">
        <v>3788</v>
      </c>
      <c r="T1044" s="2"/>
      <c r="U1044" s="2" t="s">
        <v>718</v>
      </c>
    </row>
    <row r="1045" spans="1:21" x14ac:dyDescent="0.3">
      <c r="A1045">
        <v>269308</v>
      </c>
      <c r="B1045" t="s">
        <v>46</v>
      </c>
      <c r="C1045" t="s">
        <v>124</v>
      </c>
      <c r="D1045" t="s">
        <v>40</v>
      </c>
      <c r="E1045" s="1" t="s">
        <v>3789</v>
      </c>
      <c r="F1045">
        <v>24762372</v>
      </c>
      <c r="G1045" t="s">
        <v>42</v>
      </c>
      <c r="H1045" s="17">
        <v>82156977000248</v>
      </c>
      <c r="I1045" s="17">
        <v>90739624001432</v>
      </c>
      <c r="J1045" t="s">
        <v>2</v>
      </c>
      <c r="K1045" s="9" t="s">
        <v>3790</v>
      </c>
      <c r="L1045" t="s">
        <v>44</v>
      </c>
      <c r="M1045">
        <v>168150</v>
      </c>
      <c r="N1045" s="2" t="s">
        <v>584</v>
      </c>
      <c r="O1045" s="9" t="s">
        <v>3790</v>
      </c>
      <c r="P1045" t="s">
        <v>3791</v>
      </c>
      <c r="T1045" s="2"/>
      <c r="U1045" s="2" t="s">
        <v>718</v>
      </c>
    </row>
    <row r="1046" spans="1:21" x14ac:dyDescent="0.3">
      <c r="A1046">
        <v>269308</v>
      </c>
      <c r="B1046" t="s">
        <v>46</v>
      </c>
      <c r="C1046" t="s">
        <v>491</v>
      </c>
      <c r="D1046" t="s">
        <v>40</v>
      </c>
      <c r="E1046" s="1" t="s">
        <v>3792</v>
      </c>
      <c r="F1046">
        <v>24762186</v>
      </c>
      <c r="G1046" t="s">
        <v>42</v>
      </c>
      <c r="H1046" s="17">
        <v>82156977000248</v>
      </c>
      <c r="I1046" s="17">
        <v>90739624001432</v>
      </c>
      <c r="J1046" t="s">
        <v>2</v>
      </c>
      <c r="K1046" s="9" t="s">
        <v>3793</v>
      </c>
      <c r="L1046" t="s">
        <v>44</v>
      </c>
      <c r="M1046">
        <v>168149</v>
      </c>
      <c r="N1046" s="2" t="s">
        <v>584</v>
      </c>
      <c r="O1046" s="9" t="s">
        <v>3793</v>
      </c>
      <c r="P1046" t="s">
        <v>3794</v>
      </c>
      <c r="T1046" s="2"/>
      <c r="U1046" s="2" t="s">
        <v>718</v>
      </c>
    </row>
    <row r="1047" spans="1:21" x14ac:dyDescent="0.3">
      <c r="A1047">
        <v>269308</v>
      </c>
      <c r="B1047" t="s">
        <v>46</v>
      </c>
      <c r="C1047" t="s">
        <v>267</v>
      </c>
      <c r="D1047" t="s">
        <v>174</v>
      </c>
      <c r="E1047" s="1" t="s">
        <v>3795</v>
      </c>
      <c r="F1047">
        <v>24762141</v>
      </c>
      <c r="G1047" t="s">
        <v>268</v>
      </c>
      <c r="H1047" s="17">
        <v>4985282000184</v>
      </c>
      <c r="I1047" s="17">
        <v>90739624000118</v>
      </c>
      <c r="J1047" t="s">
        <v>2</v>
      </c>
      <c r="K1047" s="9" t="s">
        <v>3796</v>
      </c>
      <c r="L1047" t="s">
        <v>44</v>
      </c>
      <c r="M1047">
        <v>5563</v>
      </c>
      <c r="N1047" s="2" t="s">
        <v>584</v>
      </c>
      <c r="O1047" s="9" t="s">
        <v>3796</v>
      </c>
      <c r="P1047" t="s">
        <v>3797</v>
      </c>
      <c r="T1047" s="2"/>
      <c r="U1047" s="2" t="s">
        <v>718</v>
      </c>
    </row>
    <row r="1048" spans="1:21" x14ac:dyDescent="0.3">
      <c r="A1048">
        <v>269308</v>
      </c>
      <c r="B1048" t="s">
        <v>46</v>
      </c>
      <c r="C1048" t="s">
        <v>107</v>
      </c>
      <c r="D1048" t="s">
        <v>65</v>
      </c>
      <c r="E1048" s="1" t="s">
        <v>3798</v>
      </c>
      <c r="F1048">
        <v>24762047</v>
      </c>
      <c r="G1048" t="s">
        <v>67</v>
      </c>
      <c r="H1048" s="17">
        <v>7473735006031</v>
      </c>
      <c r="I1048" s="17">
        <v>90739624002323</v>
      </c>
      <c r="J1048" t="s">
        <v>2</v>
      </c>
      <c r="K1048" s="9" t="s">
        <v>3799</v>
      </c>
      <c r="L1048" t="s">
        <v>44</v>
      </c>
      <c r="M1048">
        <v>75074</v>
      </c>
      <c r="N1048" s="2" t="s">
        <v>584</v>
      </c>
      <c r="O1048" s="9" t="s">
        <v>3799</v>
      </c>
      <c r="P1048" t="s">
        <v>3800</v>
      </c>
      <c r="T1048" s="2"/>
      <c r="U1048" s="2" t="s">
        <v>718</v>
      </c>
    </row>
    <row r="1049" spans="1:21" x14ac:dyDescent="0.3">
      <c r="A1049">
        <v>269308</v>
      </c>
      <c r="B1049" t="s">
        <v>46</v>
      </c>
      <c r="C1049" t="s">
        <v>543</v>
      </c>
      <c r="D1049" t="s">
        <v>174</v>
      </c>
      <c r="E1049" s="1" t="s">
        <v>3801</v>
      </c>
      <c r="F1049">
        <v>24761981</v>
      </c>
      <c r="G1049" t="s">
        <v>176</v>
      </c>
      <c r="H1049" s="17">
        <v>4219621000111</v>
      </c>
      <c r="I1049" s="17">
        <v>90739624000118</v>
      </c>
      <c r="J1049" t="s">
        <v>2</v>
      </c>
      <c r="K1049" s="9" t="s">
        <v>3802</v>
      </c>
      <c r="L1049" t="s">
        <v>44</v>
      </c>
      <c r="M1049">
        <v>98999</v>
      </c>
      <c r="N1049" s="2" t="s">
        <v>585</v>
      </c>
      <c r="O1049" s="9" t="s">
        <v>3802</v>
      </c>
      <c r="P1049" t="s">
        <v>3803</v>
      </c>
      <c r="T1049" s="2"/>
      <c r="U1049" s="2" t="s">
        <v>718</v>
      </c>
    </row>
    <row r="1050" spans="1:21" x14ac:dyDescent="0.3">
      <c r="A1050">
        <v>269308</v>
      </c>
      <c r="B1050" t="s">
        <v>46</v>
      </c>
      <c r="C1050" t="s">
        <v>320</v>
      </c>
      <c r="D1050" t="s">
        <v>33</v>
      </c>
      <c r="E1050" s="1" t="s">
        <v>3804</v>
      </c>
      <c r="F1050">
        <v>24761940</v>
      </c>
      <c r="G1050" t="s">
        <v>35</v>
      </c>
      <c r="H1050" s="17">
        <v>27933025000102</v>
      </c>
      <c r="I1050" s="17">
        <v>9576274000106</v>
      </c>
      <c r="J1050" t="s">
        <v>2</v>
      </c>
      <c r="K1050" s="9" t="s">
        <v>3805</v>
      </c>
      <c r="L1050" t="s">
        <v>44</v>
      </c>
      <c r="M1050">
        <v>1123</v>
      </c>
      <c r="N1050" s="2" t="s">
        <v>583</v>
      </c>
      <c r="O1050" s="9" t="s">
        <v>3805</v>
      </c>
      <c r="P1050" t="s">
        <v>3806</v>
      </c>
      <c r="T1050" s="2"/>
      <c r="U1050" s="2" t="s">
        <v>718</v>
      </c>
    </row>
    <row r="1051" spans="1:21" x14ac:dyDescent="0.3">
      <c r="A1051">
        <v>269308</v>
      </c>
      <c r="B1051" t="s">
        <v>46</v>
      </c>
      <c r="C1051" t="s">
        <v>146</v>
      </c>
      <c r="D1051" t="s">
        <v>33</v>
      </c>
      <c r="E1051" s="1" t="s">
        <v>3807</v>
      </c>
      <c r="F1051">
        <v>24761724</v>
      </c>
      <c r="G1051" t="s">
        <v>35</v>
      </c>
      <c r="H1051" s="17">
        <v>27933025000102</v>
      </c>
      <c r="I1051" s="17">
        <v>9576274000106</v>
      </c>
      <c r="J1051" t="s">
        <v>2</v>
      </c>
      <c r="K1051" s="9" t="s">
        <v>3808</v>
      </c>
      <c r="L1051" t="s">
        <v>44</v>
      </c>
      <c r="M1051">
        <v>1122</v>
      </c>
      <c r="N1051" s="2" t="s">
        <v>583</v>
      </c>
      <c r="O1051" s="9" t="s">
        <v>3808</v>
      </c>
      <c r="P1051" t="s">
        <v>3809</v>
      </c>
      <c r="T1051" s="2"/>
      <c r="U1051" s="2" t="s">
        <v>718</v>
      </c>
    </row>
    <row r="1052" spans="1:21" x14ac:dyDescent="0.3">
      <c r="A1052">
        <v>269308</v>
      </c>
      <c r="B1052" t="s">
        <v>46</v>
      </c>
      <c r="C1052" t="s">
        <v>270</v>
      </c>
      <c r="D1052" t="s">
        <v>63</v>
      </c>
      <c r="E1052" s="1" t="s">
        <v>3810</v>
      </c>
      <c r="F1052">
        <v>24761589</v>
      </c>
      <c r="G1052" t="s">
        <v>64</v>
      </c>
      <c r="H1052" s="17">
        <v>23448964001921</v>
      </c>
      <c r="I1052" s="17">
        <v>90739624001432</v>
      </c>
      <c r="J1052" t="s">
        <v>2</v>
      </c>
      <c r="K1052" s="9" t="s">
        <v>3811</v>
      </c>
      <c r="L1052" t="s">
        <v>44</v>
      </c>
      <c r="M1052">
        <v>178656</v>
      </c>
      <c r="N1052" s="2" t="s">
        <v>584</v>
      </c>
      <c r="O1052" s="9" t="s">
        <v>3811</v>
      </c>
      <c r="P1052" t="s">
        <v>3812</v>
      </c>
      <c r="T1052" s="2"/>
      <c r="U1052" s="2" t="s">
        <v>718</v>
      </c>
    </row>
    <row r="1053" spans="1:21" x14ac:dyDescent="0.3">
      <c r="A1053">
        <v>269308</v>
      </c>
      <c r="B1053" t="s">
        <v>46</v>
      </c>
      <c r="C1053" t="s">
        <v>245</v>
      </c>
      <c r="D1053" t="s">
        <v>52</v>
      </c>
      <c r="E1053" s="1" t="s">
        <v>3813</v>
      </c>
      <c r="F1053">
        <v>24761546</v>
      </c>
      <c r="G1053" t="s">
        <v>545</v>
      </c>
      <c r="H1053" s="17">
        <v>30429333000282</v>
      </c>
      <c r="I1053" s="17">
        <v>9576274000106</v>
      </c>
      <c r="J1053" t="s">
        <v>2</v>
      </c>
      <c r="K1053" s="9" t="s">
        <v>3814</v>
      </c>
      <c r="L1053" t="s">
        <v>44</v>
      </c>
      <c r="M1053">
        <v>40604</v>
      </c>
      <c r="N1053" s="2" t="s">
        <v>584</v>
      </c>
      <c r="O1053" s="9" t="s">
        <v>3814</v>
      </c>
      <c r="P1053" t="s">
        <v>3815</v>
      </c>
      <c r="T1053" s="2"/>
      <c r="U1053" s="2" t="s">
        <v>718</v>
      </c>
    </row>
    <row r="1054" spans="1:21" x14ac:dyDescent="0.3">
      <c r="A1054">
        <v>269308</v>
      </c>
      <c r="B1054" t="s">
        <v>46</v>
      </c>
      <c r="C1054" t="s">
        <v>260</v>
      </c>
      <c r="D1054" t="s">
        <v>70</v>
      </c>
      <c r="E1054" s="1" t="s">
        <v>3816</v>
      </c>
      <c r="F1054">
        <v>24761512</v>
      </c>
      <c r="G1054" t="s">
        <v>72</v>
      </c>
      <c r="H1054" s="17">
        <v>79964177000168</v>
      </c>
      <c r="I1054" s="17">
        <v>9576274000106</v>
      </c>
      <c r="J1054" t="s">
        <v>2</v>
      </c>
      <c r="K1054" s="9" t="s">
        <v>3817</v>
      </c>
      <c r="L1054" t="s">
        <v>44</v>
      </c>
      <c r="M1054">
        <v>256958</v>
      </c>
      <c r="N1054" s="2" t="s">
        <v>584</v>
      </c>
      <c r="O1054" s="9" t="s">
        <v>3817</v>
      </c>
      <c r="P1054" t="s">
        <v>3818</v>
      </c>
      <c r="T1054" s="2"/>
      <c r="U1054" s="2" t="s">
        <v>718</v>
      </c>
    </row>
    <row r="1055" spans="1:21" x14ac:dyDescent="0.3">
      <c r="A1055">
        <v>269308</v>
      </c>
      <c r="B1055" t="s">
        <v>46</v>
      </c>
      <c r="C1055" t="s">
        <v>263</v>
      </c>
      <c r="D1055" t="s">
        <v>28</v>
      </c>
      <c r="E1055" s="1" t="s">
        <v>3819</v>
      </c>
      <c r="F1055">
        <v>24761335</v>
      </c>
      <c r="G1055" t="s">
        <v>209</v>
      </c>
      <c r="H1055" s="17">
        <v>33360405000190</v>
      </c>
      <c r="I1055" s="17">
        <v>90739624001947</v>
      </c>
      <c r="J1055" t="s">
        <v>2</v>
      </c>
      <c r="K1055" s="9" t="s">
        <v>3820</v>
      </c>
      <c r="L1055" t="s">
        <v>44</v>
      </c>
      <c r="M1055">
        <v>38296</v>
      </c>
      <c r="N1055" s="2" t="s">
        <v>584</v>
      </c>
      <c r="O1055" s="9" t="s">
        <v>3820</v>
      </c>
      <c r="P1055" t="s">
        <v>3821</v>
      </c>
      <c r="T1055" s="2"/>
      <c r="U1055" s="2" t="s">
        <v>718</v>
      </c>
    </row>
    <row r="1056" spans="1:21" x14ac:dyDescent="0.3">
      <c r="A1056">
        <v>269308</v>
      </c>
      <c r="B1056" t="s">
        <v>46</v>
      </c>
      <c r="C1056" t="s">
        <v>456</v>
      </c>
      <c r="D1056" t="s">
        <v>70</v>
      </c>
      <c r="E1056" s="1" t="s">
        <v>3822</v>
      </c>
      <c r="F1056">
        <v>24761329</v>
      </c>
      <c r="G1056" t="s">
        <v>72</v>
      </c>
      <c r="H1056" s="17">
        <v>79964177000168</v>
      </c>
      <c r="I1056" s="17">
        <v>9576274000106</v>
      </c>
      <c r="J1056" t="s">
        <v>2</v>
      </c>
      <c r="K1056" s="9" t="s">
        <v>3823</v>
      </c>
      <c r="L1056" t="s">
        <v>44</v>
      </c>
      <c r="M1056">
        <v>256957</v>
      </c>
      <c r="N1056" s="2" t="s">
        <v>584</v>
      </c>
      <c r="O1056" s="9" t="s">
        <v>3823</v>
      </c>
      <c r="P1056" t="s">
        <v>3824</v>
      </c>
      <c r="T1056" s="2"/>
      <c r="U1056" s="2" t="s">
        <v>718</v>
      </c>
    </row>
    <row r="1057" spans="1:21" x14ac:dyDescent="0.3">
      <c r="A1057">
        <v>269308</v>
      </c>
      <c r="B1057" t="s">
        <v>46</v>
      </c>
      <c r="C1057" t="s">
        <v>96</v>
      </c>
      <c r="D1057" t="s">
        <v>70</v>
      </c>
      <c r="E1057" s="1" t="s">
        <v>3825</v>
      </c>
      <c r="F1057">
        <v>24761036</v>
      </c>
      <c r="G1057" t="s">
        <v>72</v>
      </c>
      <c r="H1057" s="17">
        <v>79964177000168</v>
      </c>
      <c r="I1057" s="17">
        <v>9576274000106</v>
      </c>
      <c r="J1057" t="s">
        <v>2</v>
      </c>
      <c r="K1057" s="9" t="s">
        <v>3826</v>
      </c>
      <c r="L1057" t="s">
        <v>44</v>
      </c>
      <c r="M1057">
        <v>256956</v>
      </c>
      <c r="N1057" s="2" t="s">
        <v>584</v>
      </c>
      <c r="O1057" s="9" t="s">
        <v>3826</v>
      </c>
      <c r="P1057" t="s">
        <v>3827</v>
      </c>
      <c r="T1057" s="2"/>
      <c r="U1057" s="2" t="s">
        <v>718</v>
      </c>
    </row>
    <row r="1058" spans="1:21" x14ac:dyDescent="0.3">
      <c r="A1058">
        <v>269308</v>
      </c>
      <c r="B1058" t="s">
        <v>46</v>
      </c>
      <c r="C1058" t="s">
        <v>137</v>
      </c>
      <c r="D1058" t="s">
        <v>52</v>
      </c>
      <c r="E1058" s="1" t="s">
        <v>3828</v>
      </c>
      <c r="F1058">
        <v>24761034</v>
      </c>
      <c r="G1058" t="s">
        <v>54</v>
      </c>
      <c r="H1058" s="17">
        <v>79130647000198</v>
      </c>
      <c r="I1058" s="17">
        <v>9576274000106</v>
      </c>
      <c r="J1058" t="s">
        <v>2</v>
      </c>
      <c r="K1058" s="9" t="s">
        <v>3829</v>
      </c>
      <c r="L1058" t="s">
        <v>44</v>
      </c>
      <c r="M1058">
        <v>16774</v>
      </c>
      <c r="N1058" s="2" t="s">
        <v>584</v>
      </c>
      <c r="O1058" s="9" t="s">
        <v>3829</v>
      </c>
      <c r="P1058" t="s">
        <v>3830</v>
      </c>
      <c r="T1058" s="2"/>
      <c r="U1058" s="2" t="s">
        <v>718</v>
      </c>
    </row>
    <row r="1059" spans="1:21" x14ac:dyDescent="0.3">
      <c r="A1059">
        <v>269308</v>
      </c>
      <c r="B1059" t="s">
        <v>46</v>
      </c>
      <c r="C1059" t="s">
        <v>112</v>
      </c>
      <c r="D1059" t="s">
        <v>100</v>
      </c>
      <c r="E1059" s="1" t="s">
        <v>3831</v>
      </c>
      <c r="F1059">
        <v>24760939</v>
      </c>
      <c r="G1059" t="s">
        <v>248</v>
      </c>
      <c r="H1059" s="17">
        <v>3623054000282</v>
      </c>
      <c r="I1059" s="17">
        <v>90739624001866</v>
      </c>
      <c r="J1059" t="s">
        <v>2</v>
      </c>
      <c r="K1059" s="9" t="s">
        <v>3832</v>
      </c>
      <c r="L1059" t="s">
        <v>44</v>
      </c>
      <c r="M1059">
        <v>3382601</v>
      </c>
      <c r="N1059" s="2" t="s">
        <v>584</v>
      </c>
      <c r="O1059" s="9" t="s">
        <v>3832</v>
      </c>
      <c r="P1059" t="s">
        <v>3833</v>
      </c>
      <c r="T1059" s="2"/>
      <c r="U1059" s="2" t="s">
        <v>718</v>
      </c>
    </row>
    <row r="1060" spans="1:21" x14ac:dyDescent="0.3">
      <c r="A1060">
        <v>269308</v>
      </c>
      <c r="B1060" t="s">
        <v>46</v>
      </c>
      <c r="C1060" t="s">
        <v>55</v>
      </c>
      <c r="D1060" t="s">
        <v>31</v>
      </c>
      <c r="E1060" s="1" t="s">
        <v>3834</v>
      </c>
      <c r="F1060">
        <v>24760929</v>
      </c>
      <c r="G1060" t="s">
        <v>56</v>
      </c>
      <c r="H1060" s="17">
        <v>8603562000212</v>
      </c>
      <c r="I1060" s="17">
        <v>90739624001866</v>
      </c>
      <c r="J1060" t="s">
        <v>2</v>
      </c>
      <c r="K1060" s="9" t="s">
        <v>3835</v>
      </c>
      <c r="L1060" t="s">
        <v>44</v>
      </c>
      <c r="M1060">
        <v>54571</v>
      </c>
      <c r="N1060" s="2" t="s">
        <v>584</v>
      </c>
      <c r="O1060" s="9" t="s">
        <v>3835</v>
      </c>
      <c r="P1060" t="s">
        <v>3836</v>
      </c>
      <c r="T1060" s="2"/>
      <c r="U1060" s="2" t="s">
        <v>718</v>
      </c>
    </row>
    <row r="1061" spans="1:21" x14ac:dyDescent="0.3">
      <c r="A1061">
        <v>269308</v>
      </c>
      <c r="B1061" t="s">
        <v>46</v>
      </c>
      <c r="C1061" t="s">
        <v>512</v>
      </c>
      <c r="D1061" t="s">
        <v>8</v>
      </c>
      <c r="E1061" s="1" t="s">
        <v>3837</v>
      </c>
      <c r="F1061">
        <v>24760889</v>
      </c>
      <c r="G1061" t="s">
        <v>10</v>
      </c>
      <c r="H1061" s="17">
        <v>33286065000102</v>
      </c>
      <c r="I1061" s="17">
        <v>9576274000106</v>
      </c>
      <c r="J1061" t="s">
        <v>2</v>
      </c>
      <c r="K1061" s="9" t="s">
        <v>3838</v>
      </c>
      <c r="L1061" t="s">
        <v>44</v>
      </c>
      <c r="M1061">
        <v>10337</v>
      </c>
      <c r="N1061" s="2" t="s">
        <v>584</v>
      </c>
      <c r="O1061" s="9" t="s">
        <v>3838</v>
      </c>
      <c r="P1061" t="s">
        <v>3839</v>
      </c>
      <c r="T1061" s="2"/>
      <c r="U1061" s="2" t="s">
        <v>718</v>
      </c>
    </row>
    <row r="1062" spans="1:21" x14ac:dyDescent="0.3">
      <c r="A1062">
        <v>269308</v>
      </c>
      <c r="B1062" t="s">
        <v>46</v>
      </c>
      <c r="C1062" t="s">
        <v>286</v>
      </c>
      <c r="D1062" t="s">
        <v>174</v>
      </c>
      <c r="E1062" s="1" t="s">
        <v>3840</v>
      </c>
      <c r="F1062">
        <v>24760347</v>
      </c>
      <c r="G1062" t="s">
        <v>287</v>
      </c>
      <c r="H1062" s="17">
        <v>38132296000177</v>
      </c>
      <c r="I1062" s="17">
        <v>90739624000118</v>
      </c>
      <c r="J1062" t="s">
        <v>2</v>
      </c>
      <c r="K1062" s="9" t="s">
        <v>3841</v>
      </c>
      <c r="L1062" t="s">
        <v>44</v>
      </c>
      <c r="M1062">
        <v>6203</v>
      </c>
      <c r="N1062" s="2" t="s">
        <v>584</v>
      </c>
      <c r="O1062" s="9" t="s">
        <v>3841</v>
      </c>
      <c r="P1062" t="s">
        <v>3842</v>
      </c>
      <c r="T1062" s="2"/>
      <c r="U1062" s="2" t="s">
        <v>718</v>
      </c>
    </row>
    <row r="1063" spans="1:21" x14ac:dyDescent="0.3">
      <c r="A1063">
        <v>269308</v>
      </c>
      <c r="B1063" t="s">
        <v>46</v>
      </c>
      <c r="C1063" t="s">
        <v>246</v>
      </c>
      <c r="D1063" t="s">
        <v>40</v>
      </c>
      <c r="E1063" s="1" t="s">
        <v>3843</v>
      </c>
      <c r="F1063">
        <v>24760314</v>
      </c>
      <c r="G1063" t="s">
        <v>42</v>
      </c>
      <c r="H1063" s="17">
        <v>82156977000248</v>
      </c>
      <c r="I1063" s="17">
        <v>90739624001432</v>
      </c>
      <c r="J1063" t="s">
        <v>2</v>
      </c>
      <c r="K1063" s="9" t="s">
        <v>3844</v>
      </c>
      <c r="L1063" t="s">
        <v>44</v>
      </c>
      <c r="M1063">
        <v>168142</v>
      </c>
      <c r="N1063" s="2" t="s">
        <v>584</v>
      </c>
      <c r="O1063" s="9" t="s">
        <v>3844</v>
      </c>
      <c r="P1063" t="s">
        <v>3845</v>
      </c>
      <c r="T1063" s="2"/>
      <c r="U1063" s="2" t="s">
        <v>718</v>
      </c>
    </row>
    <row r="1064" spans="1:21" x14ac:dyDescent="0.3">
      <c r="A1064">
        <v>269308</v>
      </c>
      <c r="B1064" t="s">
        <v>46</v>
      </c>
      <c r="C1064" t="s">
        <v>3846</v>
      </c>
      <c r="D1064" t="s">
        <v>61</v>
      </c>
      <c r="E1064" s="1" t="s">
        <v>3847</v>
      </c>
      <c r="F1064">
        <v>24760170</v>
      </c>
      <c r="G1064" t="s">
        <v>85</v>
      </c>
      <c r="H1064" s="17">
        <v>1975878000105</v>
      </c>
      <c r="I1064" s="17">
        <v>9576274000106</v>
      </c>
      <c r="J1064" t="s">
        <v>2</v>
      </c>
      <c r="K1064" s="9" t="s">
        <v>3848</v>
      </c>
      <c r="L1064" t="s">
        <v>44</v>
      </c>
      <c r="M1064">
        <v>2490</v>
      </c>
      <c r="N1064" s="2" t="s">
        <v>584</v>
      </c>
      <c r="O1064" s="9" t="s">
        <v>3848</v>
      </c>
      <c r="P1064" t="s">
        <v>3849</v>
      </c>
      <c r="T1064" s="2"/>
      <c r="U1064" s="2" t="s">
        <v>718</v>
      </c>
    </row>
    <row r="1065" spans="1:21" x14ac:dyDescent="0.3">
      <c r="A1065">
        <v>269308</v>
      </c>
      <c r="B1065" t="s">
        <v>46</v>
      </c>
      <c r="C1065" t="s">
        <v>281</v>
      </c>
      <c r="D1065" t="s">
        <v>170</v>
      </c>
      <c r="E1065" s="1" t="s">
        <v>3850</v>
      </c>
      <c r="F1065">
        <v>24760162</v>
      </c>
      <c r="G1065" t="s">
        <v>178</v>
      </c>
      <c r="H1065" s="17">
        <v>83392050000199</v>
      </c>
      <c r="I1065" s="17">
        <v>90739624001432</v>
      </c>
      <c r="J1065" t="s">
        <v>2</v>
      </c>
      <c r="K1065" s="9" t="s">
        <v>3851</v>
      </c>
      <c r="L1065" t="s">
        <v>44</v>
      </c>
      <c r="M1065">
        <v>128979</v>
      </c>
      <c r="N1065" s="2" t="s">
        <v>584</v>
      </c>
      <c r="O1065" s="9" t="s">
        <v>3851</v>
      </c>
      <c r="P1065" t="s">
        <v>3852</v>
      </c>
      <c r="T1065" s="2"/>
      <c r="U1065" s="2" t="s">
        <v>718</v>
      </c>
    </row>
    <row r="1066" spans="1:21" x14ac:dyDescent="0.3">
      <c r="A1066">
        <v>269308</v>
      </c>
      <c r="B1066" t="s">
        <v>46</v>
      </c>
      <c r="C1066" t="s">
        <v>572</v>
      </c>
      <c r="D1066" t="s">
        <v>13</v>
      </c>
      <c r="E1066" s="1" t="s">
        <v>3853</v>
      </c>
      <c r="F1066">
        <v>24760135</v>
      </c>
      <c r="G1066" t="s">
        <v>15</v>
      </c>
      <c r="H1066" s="17">
        <v>30432373000100</v>
      </c>
      <c r="I1066" s="17">
        <v>90739624001190</v>
      </c>
      <c r="J1066" t="s">
        <v>2</v>
      </c>
      <c r="K1066" s="9" t="s">
        <v>3854</v>
      </c>
      <c r="L1066" t="s">
        <v>44</v>
      </c>
      <c r="M1066">
        <v>23961</v>
      </c>
      <c r="N1066" s="2" t="s">
        <v>584</v>
      </c>
      <c r="O1066" s="9" t="s">
        <v>3854</v>
      </c>
      <c r="P1066" t="s">
        <v>3855</v>
      </c>
      <c r="T1066" s="2"/>
      <c r="U1066" s="2" t="s">
        <v>718</v>
      </c>
    </row>
    <row r="1067" spans="1:21" x14ac:dyDescent="0.3">
      <c r="A1067">
        <v>269308</v>
      </c>
      <c r="B1067" t="s">
        <v>88</v>
      </c>
      <c r="C1067" t="s">
        <v>575</v>
      </c>
      <c r="D1067" t="s">
        <v>73</v>
      </c>
      <c r="E1067" s="1" t="s">
        <v>3856</v>
      </c>
      <c r="F1067">
        <v>24760065</v>
      </c>
      <c r="G1067" t="s">
        <v>464</v>
      </c>
      <c r="H1067" s="17">
        <v>7473735012350</v>
      </c>
      <c r="I1067" s="17"/>
      <c r="J1067" t="s">
        <v>2</v>
      </c>
      <c r="K1067" s="9" t="s">
        <v>3857</v>
      </c>
      <c r="L1067" t="s">
        <v>87</v>
      </c>
      <c r="N1067" s="2"/>
      <c r="O1067" s="9"/>
      <c r="T1067" s="2"/>
      <c r="U1067" s="2" t="s">
        <v>718</v>
      </c>
    </row>
    <row r="1068" spans="1:21" x14ac:dyDescent="0.3">
      <c r="A1068">
        <v>269308</v>
      </c>
      <c r="B1068" t="s">
        <v>46</v>
      </c>
      <c r="C1068" t="s">
        <v>102</v>
      </c>
      <c r="D1068" t="s">
        <v>58</v>
      </c>
      <c r="E1068" s="1" t="s">
        <v>3858</v>
      </c>
      <c r="F1068">
        <v>24759991</v>
      </c>
      <c r="G1068" t="s">
        <v>103</v>
      </c>
      <c r="H1068" s="17">
        <v>7473735021421</v>
      </c>
      <c r="I1068" s="17">
        <v>90739624002323</v>
      </c>
      <c r="J1068" t="s">
        <v>2</v>
      </c>
      <c r="K1068" s="9" t="s">
        <v>3859</v>
      </c>
      <c r="L1068" t="s">
        <v>44</v>
      </c>
      <c r="M1068">
        <v>9006</v>
      </c>
      <c r="N1068" s="2" t="s">
        <v>584</v>
      </c>
      <c r="O1068" s="9" t="s">
        <v>3859</v>
      </c>
      <c r="P1068" t="s">
        <v>3860</v>
      </c>
      <c r="T1068" s="2"/>
      <c r="U1068" s="2" t="s">
        <v>718</v>
      </c>
    </row>
    <row r="1069" spans="1:21" x14ac:dyDescent="0.3">
      <c r="A1069">
        <v>269308</v>
      </c>
      <c r="B1069" t="s">
        <v>46</v>
      </c>
      <c r="C1069" t="s">
        <v>249</v>
      </c>
      <c r="D1069" t="s">
        <v>52</v>
      </c>
      <c r="E1069" s="1" t="s">
        <v>3861</v>
      </c>
      <c r="F1069">
        <v>24759988</v>
      </c>
      <c r="G1069" t="s">
        <v>545</v>
      </c>
      <c r="H1069" s="17">
        <v>30429333000282</v>
      </c>
      <c r="I1069" s="17">
        <v>9576274000106</v>
      </c>
      <c r="J1069" t="s">
        <v>2</v>
      </c>
      <c r="K1069" s="9" t="s">
        <v>3862</v>
      </c>
      <c r="L1069" t="s">
        <v>44</v>
      </c>
      <c r="M1069">
        <v>40512</v>
      </c>
      <c r="N1069" s="2" t="s">
        <v>584</v>
      </c>
      <c r="O1069" s="9" t="s">
        <v>3862</v>
      </c>
      <c r="P1069" t="s">
        <v>3863</v>
      </c>
      <c r="T1069" s="2"/>
      <c r="U1069" s="2" t="s">
        <v>718</v>
      </c>
    </row>
    <row r="1070" spans="1:21" x14ac:dyDescent="0.3">
      <c r="A1070">
        <v>269308</v>
      </c>
      <c r="B1070" t="s">
        <v>46</v>
      </c>
      <c r="C1070" t="s">
        <v>256</v>
      </c>
      <c r="D1070" t="s">
        <v>174</v>
      </c>
      <c r="E1070" s="1" t="s">
        <v>3864</v>
      </c>
      <c r="F1070">
        <v>24759970</v>
      </c>
      <c r="G1070" t="s">
        <v>257</v>
      </c>
      <c r="H1070" s="17">
        <v>16823762000128</v>
      </c>
      <c r="I1070" s="17">
        <v>90739624000118</v>
      </c>
      <c r="J1070" t="s">
        <v>2</v>
      </c>
      <c r="K1070" s="9" t="s">
        <v>3865</v>
      </c>
      <c r="L1070" t="s">
        <v>44</v>
      </c>
      <c r="M1070">
        <v>696126</v>
      </c>
      <c r="N1070" s="2" t="s">
        <v>584</v>
      </c>
      <c r="O1070" s="9" t="s">
        <v>3865</v>
      </c>
      <c r="P1070" t="s">
        <v>3866</v>
      </c>
      <c r="T1070" s="2"/>
      <c r="U1070" s="2" t="s">
        <v>718</v>
      </c>
    </row>
    <row r="1071" spans="1:21" x14ac:dyDescent="0.3">
      <c r="A1071">
        <v>269308</v>
      </c>
      <c r="B1071" t="s">
        <v>46</v>
      </c>
      <c r="C1071" t="s">
        <v>368</v>
      </c>
      <c r="D1071" t="s">
        <v>31</v>
      </c>
      <c r="E1071" s="1" t="s">
        <v>3867</v>
      </c>
      <c r="F1071">
        <v>24759954</v>
      </c>
      <c r="G1071" t="s">
        <v>56</v>
      </c>
      <c r="H1071" s="17">
        <v>8603562000212</v>
      </c>
      <c r="I1071" s="17">
        <v>90739624001866</v>
      </c>
      <c r="J1071" t="s">
        <v>2</v>
      </c>
      <c r="K1071" s="9" t="s">
        <v>3868</v>
      </c>
      <c r="L1071" t="s">
        <v>44</v>
      </c>
      <c r="M1071">
        <v>54561</v>
      </c>
      <c r="N1071" s="2" t="s">
        <v>584</v>
      </c>
      <c r="O1071" s="9" t="s">
        <v>3868</v>
      </c>
      <c r="P1071" t="s">
        <v>3869</v>
      </c>
      <c r="T1071" s="2"/>
      <c r="U1071" s="2" t="s">
        <v>718</v>
      </c>
    </row>
    <row r="1072" spans="1:21" x14ac:dyDescent="0.3">
      <c r="A1072">
        <v>269308</v>
      </c>
      <c r="B1072" t="s">
        <v>46</v>
      </c>
      <c r="C1072" t="s">
        <v>586</v>
      </c>
      <c r="D1072" t="s">
        <v>25</v>
      </c>
      <c r="E1072" s="1" t="s">
        <v>3870</v>
      </c>
      <c r="F1072">
        <v>24759952</v>
      </c>
      <c r="G1072" t="s">
        <v>255</v>
      </c>
      <c r="H1072" s="17">
        <v>8512459000690</v>
      </c>
      <c r="I1072" s="17">
        <v>90739624001866</v>
      </c>
      <c r="J1072" t="s">
        <v>2</v>
      </c>
      <c r="K1072" s="9" t="s">
        <v>3871</v>
      </c>
      <c r="L1072" t="s">
        <v>44</v>
      </c>
      <c r="M1072">
        <v>10425</v>
      </c>
      <c r="N1072" s="2" t="s">
        <v>584</v>
      </c>
      <c r="O1072" s="9" t="s">
        <v>3871</v>
      </c>
      <c r="P1072" t="s">
        <v>3872</v>
      </c>
      <c r="T1072" s="2"/>
      <c r="U1072" s="2" t="s">
        <v>718</v>
      </c>
    </row>
    <row r="1073" spans="1:21" x14ac:dyDescent="0.3">
      <c r="A1073">
        <v>269308</v>
      </c>
      <c r="B1073" t="s">
        <v>46</v>
      </c>
      <c r="C1073" t="s">
        <v>38</v>
      </c>
      <c r="D1073" t="s">
        <v>33</v>
      </c>
      <c r="E1073" s="1" t="s">
        <v>3873</v>
      </c>
      <c r="F1073">
        <v>24759941</v>
      </c>
      <c r="G1073" t="s">
        <v>35</v>
      </c>
      <c r="H1073" s="17">
        <v>27933025000102</v>
      </c>
      <c r="I1073" s="17">
        <v>9576274000106</v>
      </c>
      <c r="J1073" t="s">
        <v>2</v>
      </c>
      <c r="K1073" s="9" t="s">
        <v>3874</v>
      </c>
      <c r="L1073" t="s">
        <v>44</v>
      </c>
      <c r="M1073">
        <v>1121</v>
      </c>
      <c r="N1073" s="2" t="s">
        <v>583</v>
      </c>
      <c r="O1073" s="9" t="s">
        <v>3874</v>
      </c>
      <c r="P1073" t="s">
        <v>3875</v>
      </c>
      <c r="T1073" s="2"/>
      <c r="U1073" s="2" t="s">
        <v>718</v>
      </c>
    </row>
    <row r="1074" spans="1:21" x14ac:dyDescent="0.3">
      <c r="A1074">
        <v>269308</v>
      </c>
      <c r="B1074" t="s">
        <v>46</v>
      </c>
      <c r="C1074" t="s">
        <v>284</v>
      </c>
      <c r="D1074" t="s">
        <v>0</v>
      </c>
      <c r="E1074" s="1" t="s">
        <v>3876</v>
      </c>
      <c r="F1074">
        <v>24759912</v>
      </c>
      <c r="G1074" t="s">
        <v>1026</v>
      </c>
      <c r="H1074" s="17">
        <v>81326258001407</v>
      </c>
      <c r="I1074" s="17">
        <v>90739624001432</v>
      </c>
      <c r="J1074" t="s">
        <v>17</v>
      </c>
      <c r="K1074" s="9" t="s">
        <v>3877</v>
      </c>
      <c r="L1074" t="s">
        <v>44</v>
      </c>
      <c r="M1074">
        <v>28105</v>
      </c>
      <c r="N1074" s="2" t="s">
        <v>584</v>
      </c>
      <c r="O1074" s="9" t="s">
        <v>3878</v>
      </c>
      <c r="P1074" t="s">
        <v>3879</v>
      </c>
      <c r="T1074" s="2"/>
      <c r="U1074" s="2" t="s">
        <v>718</v>
      </c>
    </row>
    <row r="1075" spans="1:21" x14ac:dyDescent="0.3">
      <c r="A1075">
        <v>269308</v>
      </c>
      <c r="B1075" t="s">
        <v>46</v>
      </c>
      <c r="C1075" t="s">
        <v>557</v>
      </c>
      <c r="D1075" t="s">
        <v>61</v>
      </c>
      <c r="E1075" s="1" t="s">
        <v>3880</v>
      </c>
      <c r="F1075">
        <v>24759897</v>
      </c>
      <c r="G1075" t="s">
        <v>85</v>
      </c>
      <c r="H1075" s="17">
        <v>1975878000105</v>
      </c>
      <c r="I1075" s="17">
        <v>9576274000106</v>
      </c>
      <c r="J1075" t="s">
        <v>2</v>
      </c>
      <c r="K1075" s="9" t="s">
        <v>3881</v>
      </c>
      <c r="L1075" t="s">
        <v>44</v>
      </c>
      <c r="M1075">
        <v>2489</v>
      </c>
      <c r="N1075" s="2" t="s">
        <v>584</v>
      </c>
      <c r="O1075" s="9" t="s">
        <v>3881</v>
      </c>
      <c r="P1075" t="s">
        <v>3882</v>
      </c>
      <c r="T1075" s="2"/>
      <c r="U1075" s="2" t="s">
        <v>718</v>
      </c>
    </row>
    <row r="1076" spans="1:21" x14ac:dyDescent="0.3">
      <c r="A1076">
        <v>269308</v>
      </c>
      <c r="B1076" t="s">
        <v>46</v>
      </c>
      <c r="C1076" t="s">
        <v>284</v>
      </c>
      <c r="D1076" t="s">
        <v>0</v>
      </c>
      <c r="E1076" s="1" t="s">
        <v>3883</v>
      </c>
      <c r="F1076">
        <v>24759826</v>
      </c>
      <c r="G1076" t="s">
        <v>1026</v>
      </c>
      <c r="H1076" s="17">
        <v>81326258001407</v>
      </c>
      <c r="I1076" s="17">
        <v>90739624001432</v>
      </c>
      <c r="J1076" t="s">
        <v>2</v>
      </c>
      <c r="K1076" s="9" t="s">
        <v>3884</v>
      </c>
      <c r="L1076" t="s">
        <v>44</v>
      </c>
      <c r="M1076">
        <v>28104</v>
      </c>
      <c r="N1076" s="2" t="s">
        <v>584</v>
      </c>
      <c r="O1076" s="9" t="s">
        <v>3884</v>
      </c>
      <c r="P1076" t="s">
        <v>3885</v>
      </c>
      <c r="T1076" s="2"/>
      <c r="U1076" s="2" t="s">
        <v>718</v>
      </c>
    </row>
    <row r="1077" spans="1:21" x14ac:dyDescent="0.3">
      <c r="A1077">
        <v>269308</v>
      </c>
      <c r="B1077" t="s">
        <v>46</v>
      </c>
      <c r="C1077" t="s">
        <v>110</v>
      </c>
      <c r="D1077" t="s">
        <v>31</v>
      </c>
      <c r="E1077" s="1" t="s">
        <v>3886</v>
      </c>
      <c r="F1077">
        <v>24759815</v>
      </c>
      <c r="G1077" t="s">
        <v>277</v>
      </c>
      <c r="H1077" s="17">
        <v>15361488000150</v>
      </c>
      <c r="I1077" s="17">
        <v>90739624001866</v>
      </c>
      <c r="J1077" t="s">
        <v>2</v>
      </c>
      <c r="K1077" s="9" t="s">
        <v>3887</v>
      </c>
      <c r="L1077" t="s">
        <v>44</v>
      </c>
      <c r="M1077">
        <v>69008</v>
      </c>
      <c r="N1077" s="2" t="s">
        <v>584</v>
      </c>
      <c r="O1077" s="9" t="s">
        <v>3887</v>
      </c>
      <c r="P1077" t="s">
        <v>3888</v>
      </c>
      <c r="T1077" s="2"/>
      <c r="U1077" s="2" t="s">
        <v>718</v>
      </c>
    </row>
    <row r="1078" spans="1:21" x14ac:dyDescent="0.3">
      <c r="A1078">
        <v>269308</v>
      </c>
      <c r="B1078" t="s">
        <v>46</v>
      </c>
      <c r="C1078" t="s">
        <v>261</v>
      </c>
      <c r="D1078" t="s">
        <v>73</v>
      </c>
      <c r="E1078" s="1" t="s">
        <v>3889</v>
      </c>
      <c r="F1078">
        <v>24759808</v>
      </c>
      <c r="G1078" t="s">
        <v>237</v>
      </c>
      <c r="H1078" s="17">
        <v>7473735006112</v>
      </c>
      <c r="I1078" s="17">
        <v>90739624002323</v>
      </c>
      <c r="J1078" t="s">
        <v>17</v>
      </c>
      <c r="K1078" s="9" t="s">
        <v>3890</v>
      </c>
      <c r="L1078" t="s">
        <v>44</v>
      </c>
      <c r="M1078">
        <v>21534</v>
      </c>
      <c r="N1078" s="2" t="s">
        <v>584</v>
      </c>
      <c r="O1078" s="9" t="s">
        <v>3890</v>
      </c>
      <c r="P1078" t="s">
        <v>3891</v>
      </c>
      <c r="T1078" s="2"/>
      <c r="U1078" s="2" t="s">
        <v>718</v>
      </c>
    </row>
    <row r="1079" spans="1:21" x14ac:dyDescent="0.3">
      <c r="A1079">
        <v>269308</v>
      </c>
      <c r="B1079" t="s">
        <v>46</v>
      </c>
      <c r="C1079" t="s">
        <v>172</v>
      </c>
      <c r="D1079" t="s">
        <v>31</v>
      </c>
      <c r="E1079" s="1" t="s">
        <v>3892</v>
      </c>
      <c r="F1079">
        <v>24759794</v>
      </c>
      <c r="G1079" t="s">
        <v>56</v>
      </c>
      <c r="H1079" s="17">
        <v>8603562000212</v>
      </c>
      <c r="I1079" s="17">
        <v>90739624001866</v>
      </c>
      <c r="J1079" t="s">
        <v>2</v>
      </c>
      <c r="K1079" s="9" t="s">
        <v>3893</v>
      </c>
      <c r="L1079" t="s">
        <v>44</v>
      </c>
      <c r="M1079">
        <v>54559</v>
      </c>
      <c r="N1079" s="2" t="s">
        <v>584</v>
      </c>
      <c r="O1079" s="9" t="s">
        <v>3893</v>
      </c>
      <c r="P1079" t="s">
        <v>3894</v>
      </c>
      <c r="T1079" s="2"/>
      <c r="U1079" s="2" t="s">
        <v>718</v>
      </c>
    </row>
    <row r="1080" spans="1:21" x14ac:dyDescent="0.3">
      <c r="A1080">
        <v>269308</v>
      </c>
      <c r="B1080" t="s">
        <v>46</v>
      </c>
      <c r="C1080" t="s">
        <v>476</v>
      </c>
      <c r="D1080" t="s">
        <v>170</v>
      </c>
      <c r="E1080" s="1" t="s">
        <v>3895</v>
      </c>
      <c r="F1080">
        <v>24759734</v>
      </c>
      <c r="G1080" t="s">
        <v>171</v>
      </c>
      <c r="H1080" s="17">
        <v>14631967000186</v>
      </c>
      <c r="I1080" s="17">
        <v>90739624001432</v>
      </c>
      <c r="J1080" t="s">
        <v>2</v>
      </c>
      <c r="K1080" s="9" t="s">
        <v>3896</v>
      </c>
      <c r="L1080" t="s">
        <v>44</v>
      </c>
      <c r="M1080">
        <v>47345</v>
      </c>
      <c r="N1080" s="2" t="s">
        <v>584</v>
      </c>
      <c r="O1080" s="9" t="s">
        <v>3896</v>
      </c>
      <c r="P1080" t="s">
        <v>3897</v>
      </c>
      <c r="T1080" s="2"/>
      <c r="U1080" s="2" t="s">
        <v>718</v>
      </c>
    </row>
    <row r="1081" spans="1:21" x14ac:dyDescent="0.3">
      <c r="A1081">
        <v>269308</v>
      </c>
      <c r="B1081" t="s">
        <v>46</v>
      </c>
      <c r="C1081" t="s">
        <v>261</v>
      </c>
      <c r="D1081" t="s">
        <v>73</v>
      </c>
      <c r="E1081" s="1" t="s">
        <v>3898</v>
      </c>
      <c r="F1081">
        <v>24759679</v>
      </c>
      <c r="G1081" t="s">
        <v>237</v>
      </c>
      <c r="H1081" s="17">
        <v>7473735006112</v>
      </c>
      <c r="I1081" s="17">
        <v>90739624002323</v>
      </c>
      <c r="J1081" t="s">
        <v>2</v>
      </c>
      <c r="K1081" s="9" t="s">
        <v>3899</v>
      </c>
      <c r="L1081" t="s">
        <v>44</v>
      </c>
      <c r="M1081">
        <v>21533</v>
      </c>
      <c r="N1081" s="2" t="s">
        <v>584</v>
      </c>
      <c r="O1081" s="9" t="s">
        <v>3899</v>
      </c>
      <c r="P1081" t="s">
        <v>3900</v>
      </c>
      <c r="T1081" s="2"/>
      <c r="U1081" s="2" t="s">
        <v>718</v>
      </c>
    </row>
    <row r="1082" spans="1:21" x14ac:dyDescent="0.3">
      <c r="A1082">
        <v>269308</v>
      </c>
      <c r="B1082" t="s">
        <v>46</v>
      </c>
      <c r="C1082" t="s">
        <v>555</v>
      </c>
      <c r="D1082" t="s">
        <v>58</v>
      </c>
      <c r="E1082" s="1" t="s">
        <v>3901</v>
      </c>
      <c r="F1082">
        <v>24759613</v>
      </c>
      <c r="G1082" t="s">
        <v>106</v>
      </c>
      <c r="H1082" s="17">
        <v>7473735015103</v>
      </c>
      <c r="I1082" s="17">
        <v>90739624002323</v>
      </c>
      <c r="J1082" t="s">
        <v>17</v>
      </c>
      <c r="K1082" s="9" t="s">
        <v>3902</v>
      </c>
      <c r="L1082" t="s">
        <v>44</v>
      </c>
      <c r="M1082">
        <v>110627</v>
      </c>
      <c r="N1082" s="2" t="s">
        <v>584</v>
      </c>
      <c r="O1082" s="9" t="s">
        <v>3902</v>
      </c>
      <c r="P1082" t="s">
        <v>3903</v>
      </c>
      <c r="T1082" s="2"/>
      <c r="U1082" s="2" t="s">
        <v>718</v>
      </c>
    </row>
    <row r="1083" spans="1:21" x14ac:dyDescent="0.3">
      <c r="A1083">
        <v>269308</v>
      </c>
      <c r="B1083" t="s">
        <v>46</v>
      </c>
      <c r="C1083" t="s">
        <v>555</v>
      </c>
      <c r="D1083" t="s">
        <v>58</v>
      </c>
      <c r="E1083" s="1" t="s">
        <v>3904</v>
      </c>
      <c r="F1083">
        <v>24759566</v>
      </c>
      <c r="G1083" t="s">
        <v>106</v>
      </c>
      <c r="H1083" s="17">
        <v>7473735015103</v>
      </c>
      <c r="I1083" s="17">
        <v>90739624002323</v>
      </c>
      <c r="J1083" t="s">
        <v>2</v>
      </c>
      <c r="K1083" s="9" t="s">
        <v>3905</v>
      </c>
      <c r="L1083" t="s">
        <v>44</v>
      </c>
      <c r="M1083">
        <v>110625</v>
      </c>
      <c r="N1083" s="2" t="s">
        <v>584</v>
      </c>
      <c r="O1083" s="9" t="s">
        <v>3905</v>
      </c>
      <c r="P1083" t="s">
        <v>3906</v>
      </c>
      <c r="T1083" s="2"/>
      <c r="U1083" s="2" t="s">
        <v>718</v>
      </c>
    </row>
    <row r="1084" spans="1:21" x14ac:dyDescent="0.3">
      <c r="A1084">
        <v>269308</v>
      </c>
      <c r="B1084" t="s">
        <v>46</v>
      </c>
      <c r="C1084" t="s">
        <v>675</v>
      </c>
      <c r="D1084" t="s">
        <v>13</v>
      </c>
      <c r="E1084" s="1" t="s">
        <v>3907</v>
      </c>
      <c r="F1084">
        <v>24759547</v>
      </c>
      <c r="G1084" t="s">
        <v>315</v>
      </c>
      <c r="H1084" s="17">
        <v>2322969000104</v>
      </c>
      <c r="I1084" s="17">
        <v>90739624001190</v>
      </c>
      <c r="J1084" t="s">
        <v>2</v>
      </c>
      <c r="K1084" s="9" t="s">
        <v>3908</v>
      </c>
      <c r="L1084" t="s">
        <v>44</v>
      </c>
      <c r="M1084">
        <v>15781</v>
      </c>
      <c r="N1084" s="2" t="s">
        <v>584</v>
      </c>
      <c r="O1084" s="9" t="s">
        <v>3908</v>
      </c>
      <c r="P1084" t="s">
        <v>3909</v>
      </c>
      <c r="T1084" s="2"/>
      <c r="U1084" s="2" t="s">
        <v>718</v>
      </c>
    </row>
    <row r="1085" spans="1:21" x14ac:dyDescent="0.3">
      <c r="A1085">
        <v>269308</v>
      </c>
      <c r="B1085" t="s">
        <v>46</v>
      </c>
      <c r="C1085" t="s">
        <v>280</v>
      </c>
      <c r="D1085" t="s">
        <v>31</v>
      </c>
      <c r="E1085" s="1" t="s">
        <v>3910</v>
      </c>
      <c r="F1085">
        <v>24759499</v>
      </c>
      <c r="G1085" t="s">
        <v>56</v>
      </c>
      <c r="H1085" s="17">
        <v>8603562000212</v>
      </c>
      <c r="I1085" s="17">
        <v>90739624001866</v>
      </c>
      <c r="J1085" t="s">
        <v>2</v>
      </c>
      <c r="K1085" s="9" t="s">
        <v>3911</v>
      </c>
      <c r="L1085" t="s">
        <v>44</v>
      </c>
      <c r="M1085">
        <v>54558</v>
      </c>
      <c r="N1085" s="2" t="s">
        <v>584</v>
      </c>
      <c r="O1085" s="9" t="s">
        <v>3911</v>
      </c>
      <c r="P1085" t="s">
        <v>3912</v>
      </c>
      <c r="T1085" s="2"/>
      <c r="U1085" s="2" t="s">
        <v>718</v>
      </c>
    </row>
    <row r="1086" spans="1:21" x14ac:dyDescent="0.3">
      <c r="A1086">
        <v>269308</v>
      </c>
      <c r="B1086" t="s">
        <v>46</v>
      </c>
      <c r="C1086" t="s">
        <v>12</v>
      </c>
      <c r="D1086" t="s">
        <v>11</v>
      </c>
      <c r="E1086" s="1" t="s">
        <v>3913</v>
      </c>
      <c r="F1086">
        <v>24759256</v>
      </c>
      <c r="G1086" t="s">
        <v>1032</v>
      </c>
      <c r="H1086" s="17">
        <v>9427958000138</v>
      </c>
      <c r="I1086" s="17">
        <v>90739624001947</v>
      </c>
      <c r="J1086" t="s">
        <v>2</v>
      </c>
      <c r="K1086" s="9" t="s">
        <v>3914</v>
      </c>
      <c r="L1086" t="s">
        <v>44</v>
      </c>
      <c r="M1086">
        <v>97776</v>
      </c>
      <c r="N1086" s="2" t="s">
        <v>584</v>
      </c>
      <c r="O1086" s="9" t="s">
        <v>3914</v>
      </c>
      <c r="P1086" t="s">
        <v>3915</v>
      </c>
      <c r="T1086" s="2"/>
      <c r="U1086" s="2" t="s">
        <v>718</v>
      </c>
    </row>
    <row r="1087" spans="1:21" x14ac:dyDescent="0.3">
      <c r="A1087">
        <v>269308</v>
      </c>
      <c r="B1087" t="s">
        <v>46</v>
      </c>
      <c r="C1087" t="s">
        <v>276</v>
      </c>
      <c r="D1087" t="s">
        <v>63</v>
      </c>
      <c r="E1087" s="1" t="s">
        <v>3916</v>
      </c>
      <c r="F1087">
        <v>24759234</v>
      </c>
      <c r="G1087" t="s">
        <v>64</v>
      </c>
      <c r="H1087" s="17">
        <v>23448964001921</v>
      </c>
      <c r="I1087" s="17">
        <v>90739624001432</v>
      </c>
      <c r="J1087" t="s">
        <v>2</v>
      </c>
      <c r="K1087" s="9" t="s">
        <v>3917</v>
      </c>
      <c r="L1087" t="s">
        <v>44</v>
      </c>
      <c r="M1087">
        <v>178641</v>
      </c>
      <c r="N1087" s="2" t="s">
        <v>584</v>
      </c>
      <c r="O1087" s="9" t="s">
        <v>3917</v>
      </c>
      <c r="P1087" t="s">
        <v>3918</v>
      </c>
      <c r="T1087" s="2"/>
      <c r="U1087" s="2" t="s">
        <v>718</v>
      </c>
    </row>
    <row r="1088" spans="1:21" x14ac:dyDescent="0.3">
      <c r="A1088">
        <v>269308</v>
      </c>
      <c r="B1088" t="s">
        <v>46</v>
      </c>
      <c r="C1088" t="s">
        <v>304</v>
      </c>
      <c r="D1088" t="s">
        <v>61</v>
      </c>
      <c r="E1088" s="1" t="s">
        <v>3919</v>
      </c>
      <c r="F1088">
        <v>24759025</v>
      </c>
      <c r="G1088" t="s">
        <v>79</v>
      </c>
      <c r="H1088" s="17">
        <v>7473735000777</v>
      </c>
      <c r="I1088" s="17">
        <v>90739624002323</v>
      </c>
      <c r="J1088" t="s">
        <v>2</v>
      </c>
      <c r="K1088" s="9" t="s">
        <v>3920</v>
      </c>
      <c r="L1088" t="s">
        <v>44</v>
      </c>
      <c r="M1088">
        <v>32010</v>
      </c>
      <c r="N1088" s="2" t="s">
        <v>584</v>
      </c>
      <c r="O1088" s="9" t="s">
        <v>3920</v>
      </c>
      <c r="P1088" t="s">
        <v>3921</v>
      </c>
      <c r="T1088" s="2"/>
      <c r="U1088" s="2" t="s">
        <v>718</v>
      </c>
    </row>
    <row r="1089" spans="1:21" x14ac:dyDescent="0.3">
      <c r="A1089">
        <v>269308</v>
      </c>
      <c r="B1089" t="s">
        <v>46</v>
      </c>
      <c r="C1089" t="s">
        <v>232</v>
      </c>
      <c r="D1089" t="s">
        <v>40</v>
      </c>
      <c r="E1089" s="1" t="s">
        <v>3922</v>
      </c>
      <c r="F1089">
        <v>24758949</v>
      </c>
      <c r="G1089" t="s">
        <v>42</v>
      </c>
      <c r="H1089" s="17">
        <v>82156977000248</v>
      </c>
      <c r="I1089" s="17">
        <v>90739624001432</v>
      </c>
      <c r="J1089" t="s">
        <v>2</v>
      </c>
      <c r="K1089" s="9" t="s">
        <v>3923</v>
      </c>
      <c r="L1089" t="s">
        <v>44</v>
      </c>
      <c r="M1089">
        <v>168133</v>
      </c>
      <c r="N1089" s="2" t="s">
        <v>584</v>
      </c>
      <c r="O1089" s="9" t="s">
        <v>3923</v>
      </c>
      <c r="P1089" t="s">
        <v>3924</v>
      </c>
      <c r="T1089" s="2"/>
      <c r="U1089" s="2" t="s">
        <v>718</v>
      </c>
    </row>
    <row r="1090" spans="1:21" x14ac:dyDescent="0.3">
      <c r="A1090">
        <v>269308</v>
      </c>
      <c r="B1090" t="s">
        <v>46</v>
      </c>
      <c r="C1090" t="s">
        <v>273</v>
      </c>
      <c r="D1090" t="s">
        <v>31</v>
      </c>
      <c r="E1090" s="1" t="s">
        <v>3925</v>
      </c>
      <c r="F1090">
        <v>24758708</v>
      </c>
      <c r="G1090" t="s">
        <v>504</v>
      </c>
      <c r="H1090" s="17">
        <v>8603562002002</v>
      </c>
      <c r="I1090" s="17">
        <v>90739624001866</v>
      </c>
      <c r="J1090" t="s">
        <v>2</v>
      </c>
      <c r="K1090" s="9" t="s">
        <v>3926</v>
      </c>
      <c r="L1090" t="s">
        <v>44</v>
      </c>
      <c r="M1090">
        <v>55778</v>
      </c>
      <c r="N1090" s="2" t="s">
        <v>584</v>
      </c>
      <c r="O1090" s="9" t="s">
        <v>3926</v>
      </c>
      <c r="P1090" t="s">
        <v>3927</v>
      </c>
      <c r="T1090" s="2"/>
      <c r="U1090" s="2" t="s">
        <v>718</v>
      </c>
    </row>
    <row r="1091" spans="1:21" x14ac:dyDescent="0.3">
      <c r="A1091">
        <v>269308</v>
      </c>
      <c r="B1091" t="s">
        <v>46</v>
      </c>
      <c r="C1091" t="s">
        <v>278</v>
      </c>
      <c r="D1091" t="s">
        <v>65</v>
      </c>
      <c r="E1091" s="1" t="s">
        <v>3928</v>
      </c>
      <c r="F1091">
        <v>24758371</v>
      </c>
      <c r="G1091" t="s">
        <v>279</v>
      </c>
      <c r="H1091" s="17">
        <v>7473735014646</v>
      </c>
      <c r="I1091" s="17">
        <v>90739624002323</v>
      </c>
      <c r="J1091" t="s">
        <v>2</v>
      </c>
      <c r="K1091" s="9" t="s">
        <v>3929</v>
      </c>
      <c r="L1091" t="s">
        <v>44</v>
      </c>
      <c r="M1091">
        <v>76218</v>
      </c>
      <c r="N1091" s="2" t="s">
        <v>584</v>
      </c>
      <c r="O1091" s="9" t="s">
        <v>3929</v>
      </c>
      <c r="P1091" t="s">
        <v>3930</v>
      </c>
      <c r="T1091" s="2"/>
      <c r="U1091" s="2" t="s">
        <v>718</v>
      </c>
    </row>
    <row r="1092" spans="1:21" x14ac:dyDescent="0.3">
      <c r="A1092">
        <v>269308</v>
      </c>
      <c r="B1092" t="s">
        <v>46</v>
      </c>
      <c r="C1092" t="s">
        <v>3931</v>
      </c>
      <c r="D1092" t="s">
        <v>126</v>
      </c>
      <c r="E1092" s="1" t="s">
        <v>3932</v>
      </c>
      <c r="F1092">
        <v>24758366</v>
      </c>
      <c r="G1092" t="s">
        <v>127</v>
      </c>
      <c r="H1092" s="17">
        <v>76493295000147</v>
      </c>
      <c r="I1092" s="17">
        <v>9576274000106</v>
      </c>
      <c r="J1092" t="s">
        <v>2</v>
      </c>
      <c r="K1092" s="9" t="s">
        <v>3933</v>
      </c>
      <c r="L1092" t="s">
        <v>44</v>
      </c>
      <c r="M1092">
        <v>28467</v>
      </c>
      <c r="N1092" s="2" t="s">
        <v>584</v>
      </c>
      <c r="O1092" s="9" t="s">
        <v>3933</v>
      </c>
      <c r="P1092" t="s">
        <v>3934</v>
      </c>
      <c r="T1092" s="2"/>
      <c r="U1092" s="2" t="s">
        <v>718</v>
      </c>
    </row>
    <row r="1093" spans="1:21" x14ac:dyDescent="0.3">
      <c r="A1093">
        <v>269308</v>
      </c>
      <c r="B1093" t="s">
        <v>46</v>
      </c>
      <c r="C1093" t="s">
        <v>510</v>
      </c>
      <c r="D1093" t="s">
        <v>36</v>
      </c>
      <c r="E1093" s="1" t="s">
        <v>3935</v>
      </c>
      <c r="F1093">
        <v>24758264</v>
      </c>
      <c r="G1093" t="s">
        <v>186</v>
      </c>
      <c r="H1093" s="17">
        <v>7822636000168</v>
      </c>
      <c r="I1093" s="17">
        <v>90739624004458</v>
      </c>
      <c r="J1093" t="s">
        <v>2</v>
      </c>
      <c r="K1093" s="9" t="s">
        <v>3936</v>
      </c>
      <c r="L1093" t="s">
        <v>44</v>
      </c>
      <c r="M1093">
        <v>4104</v>
      </c>
      <c r="N1093" s="2" t="s">
        <v>584</v>
      </c>
      <c r="O1093" s="9" t="s">
        <v>3936</v>
      </c>
      <c r="P1093" t="s">
        <v>3937</v>
      </c>
      <c r="T1093" s="2"/>
      <c r="U1093" s="2" t="s">
        <v>718</v>
      </c>
    </row>
    <row r="1094" spans="1:21" x14ac:dyDescent="0.3">
      <c r="A1094">
        <v>269308</v>
      </c>
      <c r="B1094" t="s">
        <v>46</v>
      </c>
      <c r="C1094" t="s">
        <v>93</v>
      </c>
      <c r="D1094" t="s">
        <v>25</v>
      </c>
      <c r="E1094" s="1" t="s">
        <v>3938</v>
      </c>
      <c r="F1094">
        <v>24758030</v>
      </c>
      <c r="G1094" t="s">
        <v>132</v>
      </c>
      <c r="H1094" s="17">
        <v>10588554000105</v>
      </c>
      <c r="I1094" s="17">
        <v>90739624003486</v>
      </c>
      <c r="J1094" t="s">
        <v>2</v>
      </c>
      <c r="K1094" s="9" t="s">
        <v>3939</v>
      </c>
      <c r="L1094" t="s">
        <v>44</v>
      </c>
      <c r="M1094">
        <v>33878</v>
      </c>
      <c r="N1094" s="2" t="s">
        <v>584</v>
      </c>
      <c r="O1094" s="9" t="s">
        <v>3939</v>
      </c>
      <c r="P1094" t="s">
        <v>3940</v>
      </c>
      <c r="T1094" s="2"/>
      <c r="U1094" s="2" t="s">
        <v>718</v>
      </c>
    </row>
    <row r="1095" spans="1:21" x14ac:dyDescent="0.3">
      <c r="A1095">
        <v>269308</v>
      </c>
      <c r="B1095" t="s">
        <v>46</v>
      </c>
      <c r="C1095" t="s">
        <v>175</v>
      </c>
      <c r="D1095" t="s">
        <v>174</v>
      </c>
      <c r="E1095" s="1" t="s">
        <v>3941</v>
      </c>
      <c r="F1095">
        <v>24757943</v>
      </c>
      <c r="G1095" t="s">
        <v>268</v>
      </c>
      <c r="H1095" s="17">
        <v>4985282000184</v>
      </c>
      <c r="I1095" s="17">
        <v>90739624000118</v>
      </c>
      <c r="J1095" t="s">
        <v>2</v>
      </c>
      <c r="K1095" s="9" t="s">
        <v>3942</v>
      </c>
      <c r="L1095" t="s">
        <v>44</v>
      </c>
      <c r="M1095">
        <v>5561</v>
      </c>
      <c r="N1095" s="2" t="s">
        <v>584</v>
      </c>
      <c r="O1095" s="9" t="s">
        <v>3942</v>
      </c>
      <c r="P1095" t="s">
        <v>3943</v>
      </c>
      <c r="T1095" s="2"/>
      <c r="U1095" s="2" t="s">
        <v>718</v>
      </c>
    </row>
    <row r="1096" spans="1:21" x14ac:dyDescent="0.3">
      <c r="A1096">
        <v>269308</v>
      </c>
      <c r="B1096" t="s">
        <v>46</v>
      </c>
      <c r="C1096" t="s">
        <v>548</v>
      </c>
      <c r="D1096" t="s">
        <v>25</v>
      </c>
      <c r="E1096" s="1" t="s">
        <v>3944</v>
      </c>
      <c r="F1096">
        <v>24757941</v>
      </c>
      <c r="G1096" t="s">
        <v>132</v>
      </c>
      <c r="H1096" s="17">
        <v>10588554000105</v>
      </c>
      <c r="I1096" s="17">
        <v>90739624003486</v>
      </c>
      <c r="J1096" t="s">
        <v>2</v>
      </c>
      <c r="K1096" s="9" t="s">
        <v>3945</v>
      </c>
      <c r="L1096" t="s">
        <v>44</v>
      </c>
      <c r="M1096">
        <v>33877</v>
      </c>
      <c r="N1096" s="2" t="s">
        <v>584</v>
      </c>
      <c r="O1096" s="9" t="s">
        <v>3945</v>
      </c>
      <c r="P1096" t="s">
        <v>3946</v>
      </c>
      <c r="T1096" s="2"/>
      <c r="U1096" s="2" t="s">
        <v>718</v>
      </c>
    </row>
    <row r="1097" spans="1:21" x14ac:dyDescent="0.3">
      <c r="A1097">
        <v>269308</v>
      </c>
      <c r="B1097" t="s">
        <v>46</v>
      </c>
      <c r="C1097" t="s">
        <v>549</v>
      </c>
      <c r="D1097" t="s">
        <v>28</v>
      </c>
      <c r="E1097" s="1" t="s">
        <v>3947</v>
      </c>
      <c r="F1097">
        <v>24757929</v>
      </c>
      <c r="G1097" t="s">
        <v>48</v>
      </c>
      <c r="H1097" s="17">
        <v>1272434001002</v>
      </c>
      <c r="I1097" s="17">
        <v>90739624001947</v>
      </c>
      <c r="J1097" t="s">
        <v>2</v>
      </c>
      <c r="K1097" s="9" t="s">
        <v>620</v>
      </c>
      <c r="L1097" t="s">
        <v>44</v>
      </c>
      <c r="M1097">
        <v>81124</v>
      </c>
      <c r="N1097" s="2" t="s">
        <v>584</v>
      </c>
      <c r="O1097" s="9" t="s">
        <v>620</v>
      </c>
      <c r="P1097" t="s">
        <v>3948</v>
      </c>
      <c r="T1097" s="2"/>
      <c r="U1097" s="2" t="s">
        <v>718</v>
      </c>
    </row>
    <row r="1098" spans="1:21" x14ac:dyDescent="0.3">
      <c r="A1098">
        <v>269308</v>
      </c>
      <c r="B1098" t="s">
        <v>46</v>
      </c>
      <c r="C1098" t="s">
        <v>539</v>
      </c>
      <c r="D1098" t="s">
        <v>58</v>
      </c>
      <c r="E1098" s="1" t="s">
        <v>3949</v>
      </c>
      <c r="F1098">
        <v>24757725</v>
      </c>
      <c r="G1098" t="s">
        <v>106</v>
      </c>
      <c r="H1098" s="17">
        <v>7473735015103</v>
      </c>
      <c r="I1098" s="17">
        <v>90739624002323</v>
      </c>
      <c r="J1098" t="s">
        <v>17</v>
      </c>
      <c r="K1098" s="9" t="s">
        <v>3950</v>
      </c>
      <c r="L1098" t="s">
        <v>44</v>
      </c>
      <c r="M1098">
        <v>110619</v>
      </c>
      <c r="N1098" s="2" t="s">
        <v>584</v>
      </c>
      <c r="O1098" s="9" t="s">
        <v>3950</v>
      </c>
      <c r="P1098" t="s">
        <v>3951</v>
      </c>
      <c r="T1098" s="2"/>
      <c r="U1098" s="2" t="s">
        <v>718</v>
      </c>
    </row>
    <row r="1099" spans="1:21" x14ac:dyDescent="0.3">
      <c r="A1099">
        <v>269308</v>
      </c>
      <c r="B1099" t="s">
        <v>88</v>
      </c>
      <c r="C1099" t="s">
        <v>300</v>
      </c>
      <c r="D1099" t="s">
        <v>58</v>
      </c>
      <c r="E1099" s="1" t="s">
        <v>3952</v>
      </c>
      <c r="F1099">
        <v>24757490</v>
      </c>
      <c r="G1099" t="s">
        <v>167</v>
      </c>
      <c r="H1099" s="17">
        <v>7473735016266</v>
      </c>
      <c r="I1099" s="17"/>
      <c r="J1099" t="s">
        <v>2</v>
      </c>
      <c r="K1099" s="9" t="s">
        <v>3953</v>
      </c>
      <c r="L1099" t="s">
        <v>87</v>
      </c>
      <c r="N1099" s="2"/>
      <c r="O1099" s="9"/>
      <c r="T1099" s="2"/>
      <c r="U1099" s="2" t="s">
        <v>718</v>
      </c>
    </row>
    <row r="1100" spans="1:21" x14ac:dyDescent="0.3">
      <c r="A1100">
        <v>269308</v>
      </c>
      <c r="B1100" t="s">
        <v>46</v>
      </c>
      <c r="C1100" t="s">
        <v>68</v>
      </c>
      <c r="D1100" t="s">
        <v>58</v>
      </c>
      <c r="E1100" s="1" t="s">
        <v>3954</v>
      </c>
      <c r="F1100">
        <v>24757486</v>
      </c>
      <c r="G1100" t="s">
        <v>693</v>
      </c>
      <c r="H1100" s="17">
        <v>7473735018048</v>
      </c>
      <c r="I1100" s="17">
        <v>90739624002323</v>
      </c>
      <c r="J1100" t="s">
        <v>17</v>
      </c>
      <c r="K1100" s="9" t="s">
        <v>3955</v>
      </c>
      <c r="L1100" t="s">
        <v>44</v>
      </c>
      <c r="M1100">
        <v>77671</v>
      </c>
      <c r="N1100" s="2" t="s">
        <v>584</v>
      </c>
      <c r="O1100" s="9" t="s">
        <v>3955</v>
      </c>
      <c r="P1100" t="s">
        <v>3956</v>
      </c>
      <c r="T1100" s="2"/>
      <c r="U1100" s="2" t="s">
        <v>718</v>
      </c>
    </row>
    <row r="1101" spans="1:21" x14ac:dyDescent="0.3">
      <c r="A1101">
        <v>269308</v>
      </c>
      <c r="B1101" t="s">
        <v>46</v>
      </c>
      <c r="C1101" t="s">
        <v>539</v>
      </c>
      <c r="D1101" t="s">
        <v>58</v>
      </c>
      <c r="E1101" s="1" t="s">
        <v>3957</v>
      </c>
      <c r="F1101">
        <v>24757477</v>
      </c>
      <c r="G1101" t="s">
        <v>106</v>
      </c>
      <c r="H1101" s="17">
        <v>7473735015103</v>
      </c>
      <c r="I1101" s="17">
        <v>90739624002323</v>
      </c>
      <c r="J1101" t="s">
        <v>2</v>
      </c>
      <c r="K1101" s="9" t="s">
        <v>3958</v>
      </c>
      <c r="L1101" t="s">
        <v>44</v>
      </c>
      <c r="M1101">
        <v>110617</v>
      </c>
      <c r="N1101" s="2" t="s">
        <v>584</v>
      </c>
      <c r="O1101" s="9" t="s">
        <v>3958</v>
      </c>
      <c r="P1101" t="s">
        <v>3959</v>
      </c>
      <c r="T1101" s="2"/>
      <c r="U1101" s="2" t="s">
        <v>718</v>
      </c>
    </row>
    <row r="1102" spans="1:21" x14ac:dyDescent="0.3">
      <c r="A1102">
        <v>269308</v>
      </c>
      <c r="B1102" t="s">
        <v>46</v>
      </c>
      <c r="C1102" t="s">
        <v>68</v>
      </c>
      <c r="D1102" t="s">
        <v>58</v>
      </c>
      <c r="E1102" s="1" t="s">
        <v>3960</v>
      </c>
      <c r="F1102">
        <v>24757458</v>
      </c>
      <c r="G1102" t="s">
        <v>693</v>
      </c>
      <c r="H1102" s="17">
        <v>7473735018048</v>
      </c>
      <c r="I1102" s="17">
        <v>90739624002323</v>
      </c>
      <c r="J1102" t="s">
        <v>2</v>
      </c>
      <c r="K1102" s="9" t="s">
        <v>3961</v>
      </c>
      <c r="L1102" t="s">
        <v>44</v>
      </c>
      <c r="M1102">
        <v>77669</v>
      </c>
      <c r="N1102" s="2" t="s">
        <v>584</v>
      </c>
      <c r="O1102" s="9" t="s">
        <v>3961</v>
      </c>
      <c r="P1102" t="s">
        <v>3962</v>
      </c>
      <c r="T1102" s="2"/>
      <c r="U1102" s="2" t="s">
        <v>718</v>
      </c>
    </row>
    <row r="1103" spans="1:21" x14ac:dyDescent="0.3">
      <c r="A1103">
        <v>269308</v>
      </c>
      <c r="B1103" t="s">
        <v>46</v>
      </c>
      <c r="C1103" t="s">
        <v>266</v>
      </c>
      <c r="D1103" t="s">
        <v>99</v>
      </c>
      <c r="E1103" s="1" t="s">
        <v>3963</v>
      </c>
      <c r="F1103">
        <v>24757429</v>
      </c>
      <c r="G1103" t="s">
        <v>507</v>
      </c>
      <c r="H1103" s="17">
        <v>3626094001330</v>
      </c>
      <c r="I1103" s="17">
        <v>9576274000106</v>
      </c>
      <c r="J1103" t="s">
        <v>17</v>
      </c>
      <c r="K1103" s="9" t="s">
        <v>3964</v>
      </c>
      <c r="L1103" t="s">
        <v>44</v>
      </c>
      <c r="M1103">
        <v>50462</v>
      </c>
      <c r="N1103" s="2" t="s">
        <v>584</v>
      </c>
      <c r="O1103" s="9" t="s">
        <v>3964</v>
      </c>
      <c r="P1103" t="s">
        <v>3965</v>
      </c>
      <c r="T1103" s="2"/>
      <c r="U1103" s="2" t="s">
        <v>718</v>
      </c>
    </row>
    <row r="1104" spans="1:21" x14ac:dyDescent="0.3">
      <c r="A1104">
        <v>269308</v>
      </c>
      <c r="B1104" t="s">
        <v>46</v>
      </c>
      <c r="C1104" t="s">
        <v>266</v>
      </c>
      <c r="D1104" t="s">
        <v>99</v>
      </c>
      <c r="E1104" s="1" t="s">
        <v>3966</v>
      </c>
      <c r="F1104">
        <v>24757416</v>
      </c>
      <c r="G1104" t="s">
        <v>507</v>
      </c>
      <c r="H1104" s="17">
        <v>3626094001330</v>
      </c>
      <c r="I1104" s="17">
        <v>9576274000106</v>
      </c>
      <c r="J1104" t="s">
        <v>2</v>
      </c>
      <c r="K1104" s="9" t="s">
        <v>3967</v>
      </c>
      <c r="L1104" t="s">
        <v>44</v>
      </c>
      <c r="M1104">
        <v>50461</v>
      </c>
      <c r="N1104" s="2" t="s">
        <v>584</v>
      </c>
      <c r="O1104" s="9" t="s">
        <v>3967</v>
      </c>
      <c r="P1104" t="s">
        <v>3968</v>
      </c>
      <c r="T1104" s="2"/>
      <c r="U1104" s="2" t="s">
        <v>718</v>
      </c>
    </row>
    <row r="1105" spans="1:21" x14ac:dyDescent="0.3">
      <c r="A1105">
        <v>269308</v>
      </c>
      <c r="B1105" t="s">
        <v>46</v>
      </c>
      <c r="C1105" t="s">
        <v>26</v>
      </c>
      <c r="D1105" t="s">
        <v>11</v>
      </c>
      <c r="E1105" s="1" t="s">
        <v>3969</v>
      </c>
      <c r="F1105">
        <v>24757144</v>
      </c>
      <c r="G1105" t="s">
        <v>486</v>
      </c>
      <c r="H1105" s="17">
        <v>58446194000133</v>
      </c>
      <c r="I1105" s="17">
        <v>90739624001947</v>
      </c>
      <c r="J1105" t="s">
        <v>2</v>
      </c>
      <c r="K1105" s="9" t="s">
        <v>3970</v>
      </c>
      <c r="L1105" t="s">
        <v>44</v>
      </c>
      <c r="M1105">
        <v>52675</v>
      </c>
      <c r="N1105" s="2" t="s">
        <v>584</v>
      </c>
      <c r="O1105" s="9" t="s">
        <v>3970</v>
      </c>
      <c r="P1105" t="s">
        <v>3971</v>
      </c>
      <c r="T1105" s="2"/>
      <c r="U1105" s="2" t="s">
        <v>718</v>
      </c>
    </row>
    <row r="1106" spans="1:21" x14ac:dyDescent="0.3">
      <c r="A1106">
        <v>269308</v>
      </c>
      <c r="B1106" t="s">
        <v>46</v>
      </c>
      <c r="C1106" t="s">
        <v>214</v>
      </c>
      <c r="D1106" t="s">
        <v>28</v>
      </c>
      <c r="E1106" s="1" t="s">
        <v>3972</v>
      </c>
      <c r="F1106">
        <v>24757109</v>
      </c>
      <c r="G1106" t="s">
        <v>92</v>
      </c>
      <c r="H1106" s="17">
        <v>2310460000141</v>
      </c>
      <c r="I1106" s="17">
        <v>90739624001947</v>
      </c>
      <c r="J1106" t="s">
        <v>2</v>
      </c>
      <c r="K1106" s="9" t="s">
        <v>3973</v>
      </c>
      <c r="L1106" t="s">
        <v>44</v>
      </c>
      <c r="M1106">
        <v>53661</v>
      </c>
      <c r="N1106" s="2" t="s">
        <v>584</v>
      </c>
      <c r="O1106" s="9" t="s">
        <v>3973</v>
      </c>
      <c r="P1106" t="s">
        <v>3974</v>
      </c>
      <c r="T1106" s="2"/>
      <c r="U1106" s="2" t="s">
        <v>718</v>
      </c>
    </row>
    <row r="1107" spans="1:21" x14ac:dyDescent="0.3">
      <c r="A1107">
        <v>269308</v>
      </c>
      <c r="B1107" t="s">
        <v>46</v>
      </c>
      <c r="C1107" t="s">
        <v>19</v>
      </c>
      <c r="D1107" t="s">
        <v>18</v>
      </c>
      <c r="E1107" s="1" t="s">
        <v>3975</v>
      </c>
      <c r="F1107">
        <v>24757104</v>
      </c>
      <c r="G1107" t="s">
        <v>54</v>
      </c>
      <c r="H1107" s="17">
        <v>79130647000198</v>
      </c>
      <c r="I1107" s="17">
        <v>9576274000106</v>
      </c>
      <c r="J1107" t="s">
        <v>2</v>
      </c>
      <c r="K1107" s="9" t="s">
        <v>3976</v>
      </c>
      <c r="L1107" t="s">
        <v>44</v>
      </c>
      <c r="M1107">
        <v>20198</v>
      </c>
      <c r="N1107" s="2" t="s">
        <v>584</v>
      </c>
      <c r="O1107" s="9" t="s">
        <v>3976</v>
      </c>
      <c r="P1107" t="s">
        <v>3977</v>
      </c>
      <c r="T1107" s="2"/>
      <c r="U1107" s="2" t="s">
        <v>718</v>
      </c>
    </row>
    <row r="1108" spans="1:21" x14ac:dyDescent="0.3">
      <c r="A1108">
        <v>269308</v>
      </c>
      <c r="B1108" t="s">
        <v>46</v>
      </c>
      <c r="C1108" t="s">
        <v>702</v>
      </c>
      <c r="D1108" t="s">
        <v>18</v>
      </c>
      <c r="E1108" s="1" t="s">
        <v>3978</v>
      </c>
      <c r="F1108">
        <v>24756902</v>
      </c>
      <c r="G1108" t="s">
        <v>57</v>
      </c>
      <c r="H1108" s="17">
        <v>50206655000199</v>
      </c>
      <c r="I1108" s="17">
        <v>90739624000380</v>
      </c>
      <c r="J1108" t="s">
        <v>2</v>
      </c>
      <c r="K1108" s="9" t="s">
        <v>3979</v>
      </c>
      <c r="L1108" t="s">
        <v>44</v>
      </c>
      <c r="M1108">
        <v>15522</v>
      </c>
      <c r="N1108" s="2" t="s">
        <v>581</v>
      </c>
      <c r="O1108" s="9" t="s">
        <v>3979</v>
      </c>
      <c r="P1108" t="s">
        <v>3980</v>
      </c>
      <c r="T1108" s="2"/>
      <c r="U1108" s="2" t="s">
        <v>718</v>
      </c>
    </row>
    <row r="1109" spans="1:21" x14ac:dyDescent="0.3">
      <c r="A1109">
        <v>269308</v>
      </c>
      <c r="B1109" t="s">
        <v>46</v>
      </c>
      <c r="C1109" t="s">
        <v>3981</v>
      </c>
      <c r="D1109" t="s">
        <v>28</v>
      </c>
      <c r="E1109" s="1" t="s">
        <v>3982</v>
      </c>
      <c r="F1109">
        <v>24756420</v>
      </c>
      <c r="G1109" t="s">
        <v>48</v>
      </c>
      <c r="H1109" s="17">
        <v>1272434001002</v>
      </c>
      <c r="I1109" s="17">
        <v>90739624001947</v>
      </c>
      <c r="J1109" t="s">
        <v>2</v>
      </c>
      <c r="K1109" s="9" t="s">
        <v>3983</v>
      </c>
      <c r="L1109" t="s">
        <v>44</v>
      </c>
      <c r="M1109">
        <v>81120</v>
      </c>
      <c r="N1109" s="2" t="s">
        <v>584</v>
      </c>
      <c r="O1109" s="9" t="s">
        <v>3983</v>
      </c>
      <c r="P1109" t="s">
        <v>3984</v>
      </c>
      <c r="T1109" s="2"/>
      <c r="U1109" s="2" t="s">
        <v>718</v>
      </c>
    </row>
    <row r="1110" spans="1:21" x14ac:dyDescent="0.3">
      <c r="A1110">
        <v>269308</v>
      </c>
      <c r="B1110" t="s">
        <v>46</v>
      </c>
      <c r="C1110" t="s">
        <v>250</v>
      </c>
      <c r="D1110" t="s">
        <v>8</v>
      </c>
      <c r="E1110" s="1" t="s">
        <v>3985</v>
      </c>
      <c r="F1110">
        <v>24756356</v>
      </c>
      <c r="G1110" t="s">
        <v>221</v>
      </c>
      <c r="H1110" s="17">
        <v>8810726000100</v>
      </c>
      <c r="I1110" s="17">
        <v>9576274000106</v>
      </c>
      <c r="J1110" t="s">
        <v>2</v>
      </c>
      <c r="K1110" s="9" t="s">
        <v>3986</v>
      </c>
      <c r="L1110" t="s">
        <v>44</v>
      </c>
      <c r="M1110">
        <v>6302</v>
      </c>
      <c r="N1110" s="2" t="s">
        <v>584</v>
      </c>
      <c r="O1110" s="9" t="s">
        <v>3986</v>
      </c>
      <c r="P1110" t="s">
        <v>3987</v>
      </c>
      <c r="T1110" s="2"/>
      <c r="U1110" s="2" t="s">
        <v>718</v>
      </c>
    </row>
    <row r="1111" spans="1:21" x14ac:dyDescent="0.3">
      <c r="A1111">
        <v>269308</v>
      </c>
      <c r="B1111" t="s">
        <v>46</v>
      </c>
      <c r="C1111" t="s">
        <v>14</v>
      </c>
      <c r="D1111" t="s">
        <v>13</v>
      </c>
      <c r="E1111" s="1" t="s">
        <v>3988</v>
      </c>
      <c r="F1111">
        <v>24756354</v>
      </c>
      <c r="G1111" t="s">
        <v>337</v>
      </c>
      <c r="H1111" s="17">
        <v>6068493000188</v>
      </c>
      <c r="I1111" s="17">
        <v>90739624000380</v>
      </c>
      <c r="J1111" t="s">
        <v>17</v>
      </c>
      <c r="K1111" s="9" t="s">
        <v>3989</v>
      </c>
      <c r="L1111" t="s">
        <v>44</v>
      </c>
      <c r="M1111">
        <v>263778</v>
      </c>
      <c r="N1111" s="2" t="s">
        <v>585</v>
      </c>
      <c r="O1111" s="9" t="s">
        <v>3990</v>
      </c>
      <c r="P1111" t="s">
        <v>3991</v>
      </c>
      <c r="T1111" s="2"/>
      <c r="U1111" s="2" t="s">
        <v>718</v>
      </c>
    </row>
    <row r="1112" spans="1:21" x14ac:dyDescent="0.3">
      <c r="A1112">
        <v>269308</v>
      </c>
      <c r="B1112" t="s">
        <v>46</v>
      </c>
      <c r="C1112" t="s">
        <v>14</v>
      </c>
      <c r="D1112" t="s">
        <v>13</v>
      </c>
      <c r="E1112" s="1" t="s">
        <v>3992</v>
      </c>
      <c r="F1112">
        <v>24756346</v>
      </c>
      <c r="G1112" t="s">
        <v>337</v>
      </c>
      <c r="H1112" s="17">
        <v>6068493000188</v>
      </c>
      <c r="I1112" s="17">
        <v>90739624000380</v>
      </c>
      <c r="J1112" t="s">
        <v>2</v>
      </c>
      <c r="K1112" s="9" t="s">
        <v>3993</v>
      </c>
      <c r="L1112" t="s">
        <v>44</v>
      </c>
      <c r="M1112">
        <v>263778</v>
      </c>
      <c r="N1112" s="2" t="s">
        <v>585</v>
      </c>
      <c r="O1112" s="9" t="s">
        <v>3990</v>
      </c>
      <c r="P1112" t="s">
        <v>3991</v>
      </c>
      <c r="T1112" s="2"/>
      <c r="U1112" s="2" t="s">
        <v>718</v>
      </c>
    </row>
    <row r="1113" spans="1:21" x14ac:dyDescent="0.3">
      <c r="A1113">
        <v>269308</v>
      </c>
      <c r="B1113" t="s">
        <v>46</v>
      </c>
      <c r="C1113" t="s">
        <v>506</v>
      </c>
      <c r="D1113" t="s">
        <v>73</v>
      </c>
      <c r="E1113" s="1" t="s">
        <v>3994</v>
      </c>
      <c r="F1113">
        <v>24756172</v>
      </c>
      <c r="G1113" t="s">
        <v>3995</v>
      </c>
      <c r="H1113" s="17">
        <v>7473735012600</v>
      </c>
      <c r="I1113" s="17">
        <v>90739624002323</v>
      </c>
      <c r="J1113" t="s">
        <v>2</v>
      </c>
      <c r="K1113" s="9" t="s">
        <v>3996</v>
      </c>
      <c r="L1113" t="s">
        <v>44</v>
      </c>
      <c r="M1113">
        <v>39110</v>
      </c>
      <c r="N1113" s="2" t="s">
        <v>584</v>
      </c>
      <c r="O1113" s="9" t="s">
        <v>3996</v>
      </c>
      <c r="P1113" t="s">
        <v>3997</v>
      </c>
      <c r="T1113" s="2"/>
      <c r="U1113" s="2" t="s">
        <v>718</v>
      </c>
    </row>
    <row r="1114" spans="1:21" x14ac:dyDescent="0.3">
      <c r="A1114">
        <v>269308</v>
      </c>
      <c r="B1114" t="s">
        <v>46</v>
      </c>
      <c r="C1114" t="s">
        <v>526</v>
      </c>
      <c r="D1114" t="s">
        <v>73</v>
      </c>
      <c r="E1114" s="1" t="s">
        <v>3998</v>
      </c>
      <c r="F1114">
        <v>24754903</v>
      </c>
      <c r="G1114" t="s">
        <v>3999</v>
      </c>
      <c r="H1114" s="17">
        <v>7473735022908</v>
      </c>
      <c r="I1114" s="17">
        <v>90739624002323</v>
      </c>
      <c r="J1114" t="s">
        <v>2</v>
      </c>
      <c r="K1114" s="9" t="s">
        <v>4000</v>
      </c>
      <c r="L1114" t="s">
        <v>44</v>
      </c>
      <c r="M1114">
        <v>7647</v>
      </c>
      <c r="N1114" s="2" t="s">
        <v>584</v>
      </c>
      <c r="O1114" s="9" t="s">
        <v>4000</v>
      </c>
      <c r="P1114" t="s">
        <v>4001</v>
      </c>
      <c r="T1114" s="2"/>
      <c r="U1114" s="2" t="s">
        <v>718</v>
      </c>
    </row>
    <row r="1115" spans="1:21" x14ac:dyDescent="0.3">
      <c r="A1115">
        <v>269308</v>
      </c>
      <c r="B1115" t="s">
        <v>88</v>
      </c>
      <c r="C1115" t="s">
        <v>74</v>
      </c>
      <c r="D1115" t="s">
        <v>73</v>
      </c>
      <c r="E1115" s="1" t="s">
        <v>4002</v>
      </c>
      <c r="F1115">
        <v>24754879</v>
      </c>
      <c r="G1115" t="s">
        <v>75</v>
      </c>
      <c r="H1115" s="17">
        <v>7473735000858</v>
      </c>
      <c r="I1115" s="17"/>
      <c r="J1115" t="s">
        <v>2</v>
      </c>
      <c r="K1115" s="9" t="s">
        <v>4003</v>
      </c>
      <c r="L1115" t="s">
        <v>87</v>
      </c>
      <c r="N1115" s="2"/>
      <c r="O1115" s="9"/>
      <c r="T1115" s="2"/>
      <c r="U1115" s="2" t="s">
        <v>718</v>
      </c>
    </row>
    <row r="1116" spans="1:21" x14ac:dyDescent="0.3">
      <c r="A1116">
        <v>269308</v>
      </c>
      <c r="B1116" t="s">
        <v>46</v>
      </c>
      <c r="C1116" t="s">
        <v>511</v>
      </c>
      <c r="D1116" t="s">
        <v>28</v>
      </c>
      <c r="E1116" s="1" t="s">
        <v>4004</v>
      </c>
      <c r="F1116">
        <v>24750772</v>
      </c>
      <c r="G1116" t="s">
        <v>366</v>
      </c>
      <c r="H1116" s="17">
        <v>27098262000197</v>
      </c>
      <c r="I1116" s="17">
        <v>90739624001947</v>
      </c>
      <c r="J1116" t="s">
        <v>2</v>
      </c>
      <c r="K1116" s="9" t="s">
        <v>4005</v>
      </c>
      <c r="L1116" t="s">
        <v>44</v>
      </c>
      <c r="M1116">
        <v>73597</v>
      </c>
      <c r="N1116" s="2" t="s">
        <v>584</v>
      </c>
      <c r="O1116" s="9" t="s">
        <v>4005</v>
      </c>
      <c r="P1116" t="s">
        <v>4006</v>
      </c>
      <c r="T1116" s="2"/>
      <c r="U1116" s="2" t="s">
        <v>718</v>
      </c>
    </row>
    <row r="1117" spans="1:21" x14ac:dyDescent="0.3">
      <c r="A1117">
        <v>269308</v>
      </c>
      <c r="B1117" t="s">
        <v>88</v>
      </c>
      <c r="C1117" t="s">
        <v>489</v>
      </c>
      <c r="D1117" t="s">
        <v>126</v>
      </c>
      <c r="E1117" s="1" t="s">
        <v>4007</v>
      </c>
      <c r="F1117">
        <v>24750729</v>
      </c>
      <c r="G1117" t="s">
        <v>285</v>
      </c>
      <c r="H1117" s="17">
        <v>7473735012198</v>
      </c>
      <c r="I1117" s="17"/>
      <c r="J1117" t="s">
        <v>2</v>
      </c>
      <c r="K1117" s="9" t="s">
        <v>3497</v>
      </c>
      <c r="L1117" t="s">
        <v>87</v>
      </c>
      <c r="N1117" s="2"/>
      <c r="O1117" s="9"/>
      <c r="T1117" s="2"/>
      <c r="U1117" s="2" t="s">
        <v>718</v>
      </c>
    </row>
    <row r="1118" spans="1:21" x14ac:dyDescent="0.3">
      <c r="A1118">
        <v>269308</v>
      </c>
      <c r="B1118" t="s">
        <v>46</v>
      </c>
      <c r="C1118" t="s">
        <v>388</v>
      </c>
      <c r="D1118" t="s">
        <v>58</v>
      </c>
      <c r="E1118" s="1" t="s">
        <v>4008</v>
      </c>
      <c r="F1118">
        <v>24750702</v>
      </c>
      <c r="G1118" t="s">
        <v>106</v>
      </c>
      <c r="H1118" s="17">
        <v>7473735015103</v>
      </c>
      <c r="I1118" s="17">
        <v>90739624002323</v>
      </c>
      <c r="J1118" t="s">
        <v>2</v>
      </c>
      <c r="K1118" s="9" t="s">
        <v>4009</v>
      </c>
      <c r="L1118" t="s">
        <v>44</v>
      </c>
      <c r="M1118">
        <v>110598</v>
      </c>
      <c r="N1118" s="2" t="s">
        <v>584</v>
      </c>
      <c r="O1118" s="9" t="s">
        <v>4009</v>
      </c>
      <c r="P1118" t="s">
        <v>4010</v>
      </c>
      <c r="T1118" s="2"/>
      <c r="U1118" s="2" t="s">
        <v>718</v>
      </c>
    </row>
    <row r="1119" spans="1:21" x14ac:dyDescent="0.3">
      <c r="A1119">
        <v>269308</v>
      </c>
      <c r="B1119" t="s">
        <v>88</v>
      </c>
      <c r="C1119" t="s">
        <v>335</v>
      </c>
      <c r="D1119" t="s">
        <v>65</v>
      </c>
      <c r="E1119" s="1" t="s">
        <v>4011</v>
      </c>
      <c r="F1119">
        <v>24750602</v>
      </c>
      <c r="G1119" t="s">
        <v>67</v>
      </c>
      <c r="H1119" s="17">
        <v>7473735006031</v>
      </c>
      <c r="I1119" s="17"/>
      <c r="J1119" t="s">
        <v>2</v>
      </c>
      <c r="K1119" s="9" t="s">
        <v>4012</v>
      </c>
      <c r="L1119" t="s">
        <v>87</v>
      </c>
      <c r="N1119" s="2"/>
      <c r="O1119" s="9"/>
      <c r="T1119" s="2"/>
      <c r="U1119" s="2" t="s">
        <v>718</v>
      </c>
    </row>
    <row r="1120" spans="1:21" x14ac:dyDescent="0.3">
      <c r="A1120">
        <v>269308</v>
      </c>
      <c r="B1120" t="s">
        <v>88</v>
      </c>
      <c r="C1120" t="s">
        <v>468</v>
      </c>
      <c r="D1120" t="s">
        <v>25</v>
      </c>
      <c r="E1120" s="1" t="s">
        <v>4013</v>
      </c>
      <c r="F1120">
        <v>24750497</v>
      </c>
      <c r="G1120" t="s">
        <v>32</v>
      </c>
      <c r="H1120" s="17">
        <v>9001879002619</v>
      </c>
      <c r="I1120" s="17"/>
      <c r="J1120" t="s">
        <v>2</v>
      </c>
      <c r="K1120" s="9" t="s">
        <v>4014</v>
      </c>
      <c r="L1120" t="s">
        <v>87</v>
      </c>
      <c r="N1120" s="2"/>
      <c r="O1120" s="9"/>
      <c r="T1120" s="2"/>
      <c r="U1120" s="2" t="s">
        <v>718</v>
      </c>
    </row>
    <row r="1121" spans="1:21" x14ac:dyDescent="0.3">
      <c r="A1121">
        <v>269308</v>
      </c>
      <c r="B1121" t="s">
        <v>46</v>
      </c>
      <c r="C1121" t="s">
        <v>389</v>
      </c>
      <c r="D1121" t="s">
        <v>58</v>
      </c>
      <c r="E1121" s="1" t="s">
        <v>4015</v>
      </c>
      <c r="F1121">
        <v>24750303</v>
      </c>
      <c r="G1121" t="s">
        <v>106</v>
      </c>
      <c r="H1121" s="17">
        <v>7473735015103</v>
      </c>
      <c r="I1121" s="17">
        <v>90739624002323</v>
      </c>
      <c r="J1121" t="s">
        <v>17</v>
      </c>
      <c r="K1121" s="9" t="s">
        <v>4016</v>
      </c>
      <c r="L1121" t="s">
        <v>44</v>
      </c>
      <c r="M1121">
        <v>110597</v>
      </c>
      <c r="N1121" s="2" t="s">
        <v>584</v>
      </c>
      <c r="O1121" s="9" t="s">
        <v>4016</v>
      </c>
      <c r="P1121" t="s">
        <v>4017</v>
      </c>
      <c r="T1121" s="2"/>
      <c r="U1121" s="2" t="s">
        <v>718</v>
      </c>
    </row>
    <row r="1122" spans="1:21" x14ac:dyDescent="0.3">
      <c r="A1122">
        <v>269308</v>
      </c>
      <c r="B1122" t="s">
        <v>46</v>
      </c>
      <c r="C1122" t="s">
        <v>389</v>
      </c>
      <c r="D1122" t="s">
        <v>58</v>
      </c>
      <c r="E1122" s="1" t="s">
        <v>4018</v>
      </c>
      <c r="F1122">
        <v>24750271</v>
      </c>
      <c r="G1122" t="s">
        <v>106</v>
      </c>
      <c r="H1122" s="17">
        <v>7473735015103</v>
      </c>
      <c r="I1122" s="17">
        <v>90739624002323</v>
      </c>
      <c r="J1122" t="s">
        <v>2</v>
      </c>
      <c r="K1122" s="9" t="s">
        <v>4019</v>
      </c>
      <c r="L1122" t="s">
        <v>44</v>
      </c>
      <c r="M1122">
        <v>110595</v>
      </c>
      <c r="N1122" s="2" t="s">
        <v>584</v>
      </c>
      <c r="O1122" s="9" t="s">
        <v>4019</v>
      </c>
      <c r="P1122" t="s">
        <v>4020</v>
      </c>
      <c r="T1122" s="2"/>
      <c r="U1122" s="2" t="s">
        <v>718</v>
      </c>
    </row>
    <row r="1123" spans="1:21" x14ac:dyDescent="0.3">
      <c r="A1123">
        <v>269308</v>
      </c>
      <c r="B1123" t="s">
        <v>46</v>
      </c>
      <c r="C1123" t="s">
        <v>4021</v>
      </c>
      <c r="D1123" t="s">
        <v>160</v>
      </c>
      <c r="E1123" s="1" t="s">
        <v>4022</v>
      </c>
      <c r="F1123">
        <v>24749921</v>
      </c>
      <c r="G1123" t="s">
        <v>127</v>
      </c>
      <c r="H1123" s="17">
        <v>76493295000147</v>
      </c>
      <c r="I1123" s="17">
        <v>9576274000106</v>
      </c>
      <c r="J1123" t="s">
        <v>2</v>
      </c>
      <c r="K1123" s="9" t="s">
        <v>4023</v>
      </c>
      <c r="L1123" t="s">
        <v>44</v>
      </c>
      <c r="M1123">
        <v>28446</v>
      </c>
      <c r="N1123" s="2" t="s">
        <v>584</v>
      </c>
      <c r="O1123" s="9" t="s">
        <v>4023</v>
      </c>
      <c r="P1123" t="s">
        <v>4024</v>
      </c>
      <c r="T1123" s="2"/>
      <c r="U1123" s="2" t="s">
        <v>718</v>
      </c>
    </row>
    <row r="1124" spans="1:21" x14ac:dyDescent="0.3">
      <c r="A1124">
        <v>269308</v>
      </c>
      <c r="B1124" t="s">
        <v>46</v>
      </c>
      <c r="C1124" t="s">
        <v>104</v>
      </c>
      <c r="D1124" t="s">
        <v>63</v>
      </c>
      <c r="E1124" s="1" t="s">
        <v>4025</v>
      </c>
      <c r="F1124">
        <v>24749534</v>
      </c>
      <c r="G1124" t="s">
        <v>482</v>
      </c>
      <c r="H1124" s="17">
        <v>93489243007471</v>
      </c>
      <c r="I1124" s="17">
        <v>90739624002323</v>
      </c>
      <c r="J1124" t="s">
        <v>17</v>
      </c>
      <c r="K1124" s="9" t="s">
        <v>4026</v>
      </c>
      <c r="L1124" t="s">
        <v>44</v>
      </c>
      <c r="M1124">
        <v>4414</v>
      </c>
      <c r="N1124" s="2" t="s">
        <v>584</v>
      </c>
      <c r="O1124" s="9" t="s">
        <v>4026</v>
      </c>
      <c r="P1124" t="s">
        <v>4027</v>
      </c>
      <c r="T1124" s="2"/>
      <c r="U1124" s="2" t="s">
        <v>718</v>
      </c>
    </row>
    <row r="1125" spans="1:21" x14ac:dyDescent="0.3">
      <c r="A1125">
        <v>269308</v>
      </c>
      <c r="B1125" t="s">
        <v>46</v>
      </c>
      <c r="C1125" t="s">
        <v>483</v>
      </c>
      <c r="D1125" t="s">
        <v>28</v>
      </c>
      <c r="E1125" s="1" t="s">
        <v>4028</v>
      </c>
      <c r="F1125">
        <v>24749533</v>
      </c>
      <c r="G1125" t="s">
        <v>288</v>
      </c>
      <c r="H1125" s="17">
        <v>2162964000161</v>
      </c>
      <c r="I1125" s="17">
        <v>90739624001947</v>
      </c>
      <c r="J1125" t="s">
        <v>2</v>
      </c>
      <c r="K1125" s="9" t="s">
        <v>600</v>
      </c>
      <c r="L1125" t="s">
        <v>44</v>
      </c>
      <c r="M1125">
        <v>67697</v>
      </c>
      <c r="N1125" s="2" t="s">
        <v>584</v>
      </c>
      <c r="O1125" s="9" t="s">
        <v>600</v>
      </c>
      <c r="P1125" t="s">
        <v>4029</v>
      </c>
      <c r="T1125" s="2"/>
      <c r="U1125" s="2" t="s">
        <v>718</v>
      </c>
    </row>
    <row r="1126" spans="1:21" x14ac:dyDescent="0.3">
      <c r="A1126">
        <v>269308</v>
      </c>
      <c r="B1126" t="s">
        <v>46</v>
      </c>
      <c r="C1126" t="s">
        <v>104</v>
      </c>
      <c r="D1126" t="s">
        <v>63</v>
      </c>
      <c r="E1126" s="1" t="s">
        <v>4030</v>
      </c>
      <c r="F1126">
        <v>24749510</v>
      </c>
      <c r="G1126" t="s">
        <v>482</v>
      </c>
      <c r="H1126" s="17">
        <v>93489243007471</v>
      </c>
      <c r="I1126" s="17">
        <v>90739624002323</v>
      </c>
      <c r="J1126" t="s">
        <v>2</v>
      </c>
      <c r="K1126" s="9" t="s">
        <v>4031</v>
      </c>
      <c r="L1126" t="s">
        <v>44</v>
      </c>
      <c r="M1126">
        <v>4413</v>
      </c>
      <c r="N1126" s="2" t="s">
        <v>584</v>
      </c>
      <c r="O1126" s="9" t="s">
        <v>4031</v>
      </c>
      <c r="P1126" t="s">
        <v>4032</v>
      </c>
      <c r="T1126" s="2"/>
      <c r="U1126" s="2" t="s">
        <v>718</v>
      </c>
    </row>
    <row r="1127" spans="1:21" x14ac:dyDescent="0.3">
      <c r="A1127">
        <v>269308</v>
      </c>
      <c r="B1127" t="s">
        <v>46</v>
      </c>
      <c r="C1127" t="s">
        <v>652</v>
      </c>
      <c r="D1127" t="s">
        <v>120</v>
      </c>
      <c r="E1127" s="1" t="s">
        <v>4033</v>
      </c>
      <c r="F1127">
        <v>24749473</v>
      </c>
      <c r="G1127" t="s">
        <v>4034</v>
      </c>
      <c r="H1127" s="17">
        <v>10626167000388</v>
      </c>
      <c r="I1127" s="17">
        <v>90739624001432</v>
      </c>
      <c r="J1127" t="s">
        <v>2</v>
      </c>
      <c r="K1127" s="9" t="s">
        <v>4035</v>
      </c>
      <c r="L1127" t="s">
        <v>44</v>
      </c>
      <c r="M1127">
        <v>53195</v>
      </c>
      <c r="N1127" s="2" t="s">
        <v>584</v>
      </c>
      <c r="O1127" s="9" t="s">
        <v>4036</v>
      </c>
      <c r="P1127" t="s">
        <v>4037</v>
      </c>
      <c r="T1127" s="2"/>
      <c r="U1127" s="2" t="s">
        <v>718</v>
      </c>
    </row>
    <row r="1128" spans="1:21" x14ac:dyDescent="0.3">
      <c r="A1128">
        <v>269308</v>
      </c>
      <c r="B1128" t="s">
        <v>46</v>
      </c>
      <c r="C1128" t="s">
        <v>247</v>
      </c>
      <c r="D1128" t="s">
        <v>11</v>
      </c>
      <c r="E1128" s="1" t="s">
        <v>4038</v>
      </c>
      <c r="F1128">
        <v>24749450</v>
      </c>
      <c r="G1128" t="s">
        <v>608</v>
      </c>
      <c r="H1128" s="17">
        <v>42183609000193</v>
      </c>
      <c r="I1128" s="17">
        <v>90739624001947</v>
      </c>
      <c r="J1128" t="s">
        <v>2</v>
      </c>
      <c r="K1128" s="9" t="s">
        <v>4039</v>
      </c>
      <c r="L1128" t="s">
        <v>44</v>
      </c>
      <c r="M1128">
        <v>46616</v>
      </c>
      <c r="N1128" s="2" t="s">
        <v>584</v>
      </c>
      <c r="O1128" s="9" t="s">
        <v>4039</v>
      </c>
      <c r="P1128" t="s">
        <v>4040</v>
      </c>
      <c r="T1128" s="2"/>
      <c r="U1128" s="2" t="s">
        <v>718</v>
      </c>
    </row>
    <row r="1129" spans="1:21" x14ac:dyDescent="0.3">
      <c r="A1129">
        <v>269308</v>
      </c>
      <c r="B1129" t="s">
        <v>46</v>
      </c>
      <c r="C1129" t="s">
        <v>280</v>
      </c>
      <c r="D1129" t="s">
        <v>31</v>
      </c>
      <c r="E1129" s="1" t="s">
        <v>4041</v>
      </c>
      <c r="F1129">
        <v>24749357</v>
      </c>
      <c r="G1129" t="s">
        <v>142</v>
      </c>
      <c r="H1129" s="17">
        <v>54494203000100</v>
      </c>
      <c r="I1129" s="17">
        <v>90739624001866</v>
      </c>
      <c r="J1129" t="s">
        <v>2</v>
      </c>
      <c r="K1129" s="9" t="s">
        <v>4042</v>
      </c>
      <c r="L1129" t="s">
        <v>44</v>
      </c>
      <c r="M1129">
        <v>15847</v>
      </c>
      <c r="N1129" s="2" t="s">
        <v>590</v>
      </c>
      <c r="O1129" s="9" t="s">
        <v>4042</v>
      </c>
      <c r="P1129" t="s">
        <v>4043</v>
      </c>
      <c r="T1129" s="2"/>
      <c r="U1129" s="2" t="s">
        <v>718</v>
      </c>
    </row>
    <row r="1130" spans="1:21" x14ac:dyDescent="0.3">
      <c r="A1130">
        <v>269308</v>
      </c>
      <c r="B1130" t="s">
        <v>46</v>
      </c>
      <c r="C1130" t="s">
        <v>499</v>
      </c>
      <c r="D1130" t="s">
        <v>61</v>
      </c>
      <c r="E1130" s="1" t="s">
        <v>4044</v>
      </c>
      <c r="F1130">
        <v>24749350</v>
      </c>
      <c r="G1130" t="s">
        <v>62</v>
      </c>
      <c r="H1130" s="17">
        <v>79964177000591</v>
      </c>
      <c r="I1130" s="17">
        <v>9576274000106</v>
      </c>
      <c r="J1130" t="s">
        <v>2</v>
      </c>
      <c r="K1130" s="9" t="s">
        <v>4045</v>
      </c>
      <c r="L1130" t="s">
        <v>44</v>
      </c>
      <c r="M1130">
        <v>819718</v>
      </c>
      <c r="N1130" s="2" t="s">
        <v>584</v>
      </c>
      <c r="O1130" s="9" t="s">
        <v>4045</v>
      </c>
      <c r="P1130" t="s">
        <v>4046</v>
      </c>
      <c r="T1130" s="2"/>
      <c r="U1130" s="2" t="s">
        <v>718</v>
      </c>
    </row>
    <row r="1131" spans="1:21" x14ac:dyDescent="0.3">
      <c r="A1131">
        <v>269308</v>
      </c>
      <c r="B1131" t="s">
        <v>88</v>
      </c>
      <c r="C1131" t="s">
        <v>535</v>
      </c>
      <c r="D1131" t="s">
        <v>58</v>
      </c>
      <c r="E1131" s="1" t="s">
        <v>4047</v>
      </c>
      <c r="F1131">
        <v>24749347</v>
      </c>
      <c r="G1131" t="s">
        <v>508</v>
      </c>
      <c r="H1131" s="17">
        <v>7473735008409</v>
      </c>
      <c r="I1131" s="17"/>
      <c r="J1131" t="s">
        <v>2</v>
      </c>
      <c r="K1131" s="9" t="s">
        <v>4048</v>
      </c>
      <c r="L1131" t="s">
        <v>87</v>
      </c>
      <c r="N1131" s="2"/>
      <c r="O1131" s="9"/>
      <c r="T1131" s="2"/>
      <c r="U1131" s="2" t="s">
        <v>718</v>
      </c>
    </row>
    <row r="1132" spans="1:21" x14ac:dyDescent="0.3">
      <c r="A1132">
        <v>269308</v>
      </c>
      <c r="B1132" t="s">
        <v>46</v>
      </c>
      <c r="C1132" t="s">
        <v>3054</v>
      </c>
      <c r="D1132" t="s">
        <v>8</v>
      </c>
      <c r="E1132" s="1" t="s">
        <v>4049</v>
      </c>
      <c r="F1132">
        <v>24749332</v>
      </c>
      <c r="G1132" t="s">
        <v>10</v>
      </c>
      <c r="H1132" s="17">
        <v>33286065000102</v>
      </c>
      <c r="I1132" s="17">
        <v>9576274000106</v>
      </c>
      <c r="J1132" t="s">
        <v>2</v>
      </c>
      <c r="K1132" s="9" t="s">
        <v>4050</v>
      </c>
      <c r="L1132" t="s">
        <v>44</v>
      </c>
      <c r="M1132">
        <v>4174</v>
      </c>
      <c r="N1132" s="2" t="s">
        <v>584</v>
      </c>
      <c r="O1132" s="9" t="s">
        <v>4050</v>
      </c>
      <c r="P1132" t="s">
        <v>4051</v>
      </c>
      <c r="T1132" s="2"/>
      <c r="U1132" s="2" t="s">
        <v>718</v>
      </c>
    </row>
    <row r="1133" spans="1:21" x14ac:dyDescent="0.3">
      <c r="A1133">
        <v>269308</v>
      </c>
      <c r="B1133" t="s">
        <v>46</v>
      </c>
      <c r="C1133" t="s">
        <v>510</v>
      </c>
      <c r="D1133" t="s">
        <v>36</v>
      </c>
      <c r="E1133" s="1" t="s">
        <v>4052</v>
      </c>
      <c r="F1133">
        <v>24748914</v>
      </c>
      <c r="G1133" t="s">
        <v>290</v>
      </c>
      <c r="H1133" s="17">
        <v>4283686000126</v>
      </c>
      <c r="I1133" s="17">
        <v>90739624001947</v>
      </c>
      <c r="J1133" t="s">
        <v>2</v>
      </c>
      <c r="K1133" s="9" t="s">
        <v>4053</v>
      </c>
      <c r="L1133" t="s">
        <v>44</v>
      </c>
      <c r="M1133">
        <v>46910</v>
      </c>
      <c r="N1133" s="2" t="s">
        <v>585</v>
      </c>
      <c r="O1133" s="9" t="s">
        <v>4053</v>
      </c>
      <c r="P1133" t="s">
        <v>4054</v>
      </c>
      <c r="T1133" s="2"/>
      <c r="U1133" s="2" t="s">
        <v>718</v>
      </c>
    </row>
    <row r="1134" spans="1:21" x14ac:dyDescent="0.3">
      <c r="A1134">
        <v>269308</v>
      </c>
      <c r="B1134" t="s">
        <v>46</v>
      </c>
      <c r="C1134" t="s">
        <v>168</v>
      </c>
      <c r="D1134" t="s">
        <v>18</v>
      </c>
      <c r="E1134" s="1" t="s">
        <v>4055</v>
      </c>
      <c r="F1134">
        <v>24748896</v>
      </c>
      <c r="G1134" t="s">
        <v>57</v>
      </c>
      <c r="H1134" s="17">
        <v>50206655000199</v>
      </c>
      <c r="I1134" s="17">
        <v>90739624000380</v>
      </c>
      <c r="J1134" t="s">
        <v>2</v>
      </c>
      <c r="K1134" s="9" t="s">
        <v>4056</v>
      </c>
      <c r="L1134" t="s">
        <v>44</v>
      </c>
      <c r="M1134">
        <v>15521</v>
      </c>
      <c r="N1134" s="2" t="s">
        <v>581</v>
      </c>
      <c r="O1134" s="9" t="s">
        <v>4056</v>
      </c>
      <c r="P1134" t="s">
        <v>4057</v>
      </c>
      <c r="T1134" s="2"/>
      <c r="U1134" s="2" t="s">
        <v>718</v>
      </c>
    </row>
    <row r="1135" spans="1:21" x14ac:dyDescent="0.3">
      <c r="A1135">
        <v>269308</v>
      </c>
      <c r="B1135" t="s">
        <v>46</v>
      </c>
      <c r="C1135" t="s">
        <v>207</v>
      </c>
      <c r="D1135" t="s">
        <v>13</v>
      </c>
      <c r="E1135" s="1" t="s">
        <v>4058</v>
      </c>
      <c r="F1135">
        <v>24748863</v>
      </c>
      <c r="G1135" t="s">
        <v>340</v>
      </c>
      <c r="H1135" s="17">
        <v>29127799000163</v>
      </c>
      <c r="I1135" s="17">
        <v>90739624000380</v>
      </c>
      <c r="J1135" t="s">
        <v>2</v>
      </c>
      <c r="K1135" s="9" t="s">
        <v>4059</v>
      </c>
      <c r="L1135" t="s">
        <v>44</v>
      </c>
      <c r="M1135">
        <v>117034</v>
      </c>
      <c r="N1135" s="2" t="s">
        <v>584</v>
      </c>
      <c r="O1135" s="9" t="s">
        <v>4059</v>
      </c>
      <c r="P1135" t="s">
        <v>4060</v>
      </c>
      <c r="T1135" s="2"/>
      <c r="U1135" s="2" t="s">
        <v>718</v>
      </c>
    </row>
    <row r="1136" spans="1:21" x14ac:dyDescent="0.3">
      <c r="A1136">
        <v>269308</v>
      </c>
      <c r="B1136" t="s">
        <v>46</v>
      </c>
      <c r="C1136" t="s">
        <v>59</v>
      </c>
      <c r="D1136" t="s">
        <v>58</v>
      </c>
      <c r="E1136" s="1" t="s">
        <v>4061</v>
      </c>
      <c r="F1136">
        <v>24748780</v>
      </c>
      <c r="G1136" t="s">
        <v>60</v>
      </c>
      <c r="H1136" s="17">
        <v>7473735018200</v>
      </c>
      <c r="I1136" s="17">
        <v>90739624002323</v>
      </c>
      <c r="J1136" t="s">
        <v>2</v>
      </c>
      <c r="K1136" s="9" t="s">
        <v>4062</v>
      </c>
      <c r="L1136" t="s">
        <v>44</v>
      </c>
      <c r="M1136">
        <v>73742</v>
      </c>
      <c r="N1136" s="2" t="s">
        <v>584</v>
      </c>
      <c r="O1136" s="9" t="s">
        <v>4062</v>
      </c>
      <c r="P1136" t="s">
        <v>4063</v>
      </c>
      <c r="T1136" s="2"/>
      <c r="U1136" s="2" t="s">
        <v>718</v>
      </c>
    </row>
    <row r="1137" spans="1:21" x14ac:dyDescent="0.3">
      <c r="A1137">
        <v>269308</v>
      </c>
      <c r="B1137" t="s">
        <v>46</v>
      </c>
      <c r="C1137" t="s">
        <v>934</v>
      </c>
      <c r="D1137" t="s">
        <v>52</v>
      </c>
      <c r="E1137" s="1" t="s">
        <v>4064</v>
      </c>
      <c r="F1137">
        <v>24748768</v>
      </c>
      <c r="G1137" t="s">
        <v>545</v>
      </c>
      <c r="H1137" s="17">
        <v>30429333000282</v>
      </c>
      <c r="I1137" s="17">
        <v>9576274000106</v>
      </c>
      <c r="J1137" t="s">
        <v>2</v>
      </c>
      <c r="K1137" s="9" t="s">
        <v>4065</v>
      </c>
      <c r="L1137" t="s">
        <v>44</v>
      </c>
      <c r="M1137">
        <v>40460</v>
      </c>
      <c r="N1137" s="2" t="s">
        <v>584</v>
      </c>
      <c r="O1137" s="9" t="s">
        <v>4065</v>
      </c>
      <c r="P1137" t="s">
        <v>4066</v>
      </c>
      <c r="T1137" s="2"/>
      <c r="U1137" s="2" t="s">
        <v>718</v>
      </c>
    </row>
    <row r="1138" spans="1:21" x14ac:dyDescent="0.3">
      <c r="A1138">
        <v>269308</v>
      </c>
      <c r="B1138" t="s">
        <v>46</v>
      </c>
      <c r="C1138" t="s">
        <v>9</v>
      </c>
      <c r="D1138" t="s">
        <v>8</v>
      </c>
      <c r="E1138" s="1" t="s">
        <v>4067</v>
      </c>
      <c r="F1138">
        <v>24748408</v>
      </c>
      <c r="G1138" t="s">
        <v>10</v>
      </c>
      <c r="H1138" s="17">
        <v>33286065000102</v>
      </c>
      <c r="I1138" s="17">
        <v>9576274000106</v>
      </c>
      <c r="J1138" t="s">
        <v>2</v>
      </c>
      <c r="K1138" s="9" t="s">
        <v>4068</v>
      </c>
      <c r="L1138" t="s">
        <v>44</v>
      </c>
      <c r="M1138">
        <v>4171</v>
      </c>
      <c r="N1138" s="2" t="s">
        <v>584</v>
      </c>
      <c r="O1138" s="9" t="s">
        <v>4068</v>
      </c>
      <c r="P1138" t="s">
        <v>4069</v>
      </c>
      <c r="T1138" s="2"/>
      <c r="U1138" s="2" t="s">
        <v>718</v>
      </c>
    </row>
    <row r="1139" spans="1:21" x14ac:dyDescent="0.3">
      <c r="A1139">
        <v>269308</v>
      </c>
      <c r="B1139" t="s">
        <v>46</v>
      </c>
      <c r="C1139" t="s">
        <v>9</v>
      </c>
      <c r="D1139" t="s">
        <v>8</v>
      </c>
      <c r="E1139" s="1" t="s">
        <v>4070</v>
      </c>
      <c r="F1139">
        <v>24748395</v>
      </c>
      <c r="G1139" t="s">
        <v>10</v>
      </c>
      <c r="H1139" s="17">
        <v>33286065000102</v>
      </c>
      <c r="I1139" s="17">
        <v>9576274000106</v>
      </c>
      <c r="J1139" t="s">
        <v>17</v>
      </c>
      <c r="K1139" s="9" t="s">
        <v>4071</v>
      </c>
      <c r="L1139" t="s">
        <v>44</v>
      </c>
      <c r="M1139">
        <v>4172</v>
      </c>
      <c r="N1139" s="2" t="s">
        <v>584</v>
      </c>
      <c r="O1139" s="9" t="s">
        <v>4071</v>
      </c>
      <c r="P1139" t="s">
        <v>4072</v>
      </c>
      <c r="T1139" s="2"/>
      <c r="U1139" s="2" t="s">
        <v>718</v>
      </c>
    </row>
    <row r="1140" spans="1:21" x14ac:dyDescent="0.3">
      <c r="A1140">
        <v>269308</v>
      </c>
      <c r="B1140" t="s">
        <v>46</v>
      </c>
      <c r="C1140" t="s">
        <v>323</v>
      </c>
      <c r="D1140" t="s">
        <v>170</v>
      </c>
      <c r="E1140" s="1" t="s">
        <v>4073</v>
      </c>
      <c r="F1140">
        <v>24748364</v>
      </c>
      <c r="G1140" t="s">
        <v>559</v>
      </c>
      <c r="H1140" s="17">
        <v>7473735007356</v>
      </c>
      <c r="I1140" s="17">
        <v>90739624001432</v>
      </c>
      <c r="J1140" t="s">
        <v>2</v>
      </c>
      <c r="K1140" s="9" t="s">
        <v>4074</v>
      </c>
      <c r="L1140" t="s">
        <v>44</v>
      </c>
      <c r="M1140">
        <v>493293</v>
      </c>
      <c r="N1140" s="2" t="s">
        <v>584</v>
      </c>
      <c r="O1140" s="9" t="s">
        <v>4074</v>
      </c>
      <c r="P1140" t="s">
        <v>4075</v>
      </c>
      <c r="T1140" s="2"/>
      <c r="U1140" s="2" t="s">
        <v>718</v>
      </c>
    </row>
    <row r="1141" spans="1:21" x14ac:dyDescent="0.3">
      <c r="A1141">
        <v>269308</v>
      </c>
      <c r="B1141" t="s">
        <v>46</v>
      </c>
      <c r="C1141" t="s">
        <v>511</v>
      </c>
      <c r="D1141" t="s">
        <v>28</v>
      </c>
      <c r="E1141" s="1" t="s">
        <v>4076</v>
      </c>
      <c r="F1141">
        <v>24748094</v>
      </c>
      <c r="G1141" t="s">
        <v>29</v>
      </c>
      <c r="H1141" s="17">
        <v>47377960000139</v>
      </c>
      <c r="I1141" s="17">
        <v>90739624001947</v>
      </c>
      <c r="J1141" t="s">
        <v>2</v>
      </c>
      <c r="K1141" s="9" t="s">
        <v>4077</v>
      </c>
      <c r="L1141" t="s">
        <v>44</v>
      </c>
      <c r="M1141">
        <v>112777</v>
      </c>
      <c r="N1141" s="2" t="s">
        <v>584</v>
      </c>
      <c r="O1141" s="9" t="s">
        <v>3149</v>
      </c>
      <c r="P1141" t="s">
        <v>4078</v>
      </c>
      <c r="T1141" s="2"/>
      <c r="U1141" s="2" t="s">
        <v>718</v>
      </c>
    </row>
    <row r="1142" spans="1:21" x14ac:dyDescent="0.3">
      <c r="A1142">
        <v>269308</v>
      </c>
      <c r="B1142" t="s">
        <v>46</v>
      </c>
      <c r="C1142" t="s">
        <v>191</v>
      </c>
      <c r="D1142" t="s">
        <v>61</v>
      </c>
      <c r="E1142" s="1" t="s">
        <v>4079</v>
      </c>
      <c r="F1142">
        <v>24748039</v>
      </c>
      <c r="G1142" t="s">
        <v>62</v>
      </c>
      <c r="H1142" s="17">
        <v>79964177000591</v>
      </c>
      <c r="I1142" s="17">
        <v>9576274000106</v>
      </c>
      <c r="J1142" t="s">
        <v>2</v>
      </c>
      <c r="K1142" s="9" t="s">
        <v>2870</v>
      </c>
      <c r="L1142" t="s">
        <v>44</v>
      </c>
      <c r="M1142">
        <v>819704</v>
      </c>
      <c r="N1142" s="2" t="s">
        <v>584</v>
      </c>
      <c r="O1142" s="9" t="s">
        <v>2870</v>
      </c>
      <c r="P1142" t="s">
        <v>4080</v>
      </c>
      <c r="T1142" s="2"/>
      <c r="U1142" s="2" t="s">
        <v>718</v>
      </c>
    </row>
    <row r="1143" spans="1:21" x14ac:dyDescent="0.3">
      <c r="A1143">
        <v>269308</v>
      </c>
      <c r="B1143" t="s">
        <v>46</v>
      </c>
      <c r="C1143" t="s">
        <v>55</v>
      </c>
      <c r="D1143" t="s">
        <v>31</v>
      </c>
      <c r="E1143" s="1" t="s">
        <v>4081</v>
      </c>
      <c r="F1143">
        <v>24747771</v>
      </c>
      <c r="G1143" t="s">
        <v>295</v>
      </c>
      <c r="H1143" s="17">
        <v>8603562001294</v>
      </c>
      <c r="I1143" s="17">
        <v>90739624001866</v>
      </c>
      <c r="J1143" t="s">
        <v>2</v>
      </c>
      <c r="K1143" s="9" t="s">
        <v>4082</v>
      </c>
      <c r="L1143" t="s">
        <v>44</v>
      </c>
      <c r="M1143">
        <v>39187</v>
      </c>
      <c r="N1143" s="2" t="s">
        <v>584</v>
      </c>
      <c r="O1143" s="9" t="s">
        <v>4082</v>
      </c>
      <c r="P1143" t="s">
        <v>4083</v>
      </c>
      <c r="T1143" s="2"/>
      <c r="U1143" s="2" t="s">
        <v>718</v>
      </c>
    </row>
    <row r="1144" spans="1:21" x14ac:dyDescent="0.3">
      <c r="A1144">
        <v>269308</v>
      </c>
      <c r="B1144" t="s">
        <v>46</v>
      </c>
      <c r="C1144" t="s">
        <v>586</v>
      </c>
      <c r="D1144" t="s">
        <v>25</v>
      </c>
      <c r="E1144" s="1" t="s">
        <v>4084</v>
      </c>
      <c r="F1144">
        <v>24747729</v>
      </c>
      <c r="G1144" t="s">
        <v>149</v>
      </c>
      <c r="H1144" s="17">
        <v>8512459000186</v>
      </c>
      <c r="I1144" s="17">
        <v>90739624001866</v>
      </c>
      <c r="J1144" t="s">
        <v>2</v>
      </c>
      <c r="K1144" s="9" t="s">
        <v>4085</v>
      </c>
      <c r="L1144" t="s">
        <v>44</v>
      </c>
      <c r="M1144">
        <v>30195</v>
      </c>
      <c r="N1144" s="2" t="s">
        <v>584</v>
      </c>
      <c r="O1144" s="9" t="s">
        <v>4085</v>
      </c>
      <c r="P1144" t="s">
        <v>4086</v>
      </c>
      <c r="T1144" s="2"/>
      <c r="U1144" s="2" t="s">
        <v>718</v>
      </c>
    </row>
    <row r="1145" spans="1:21" x14ac:dyDescent="0.3">
      <c r="A1145">
        <v>269308</v>
      </c>
      <c r="B1145" t="s">
        <v>46</v>
      </c>
      <c r="C1145" t="s">
        <v>264</v>
      </c>
      <c r="D1145" t="s">
        <v>18</v>
      </c>
      <c r="E1145" s="1" t="s">
        <v>4087</v>
      </c>
      <c r="F1145">
        <v>24747714</v>
      </c>
      <c r="G1145" t="s">
        <v>57</v>
      </c>
      <c r="H1145" s="17">
        <v>50206655000199</v>
      </c>
      <c r="I1145" s="17">
        <v>90739624000380</v>
      </c>
      <c r="J1145" t="s">
        <v>2</v>
      </c>
      <c r="K1145" s="9" t="s">
        <v>4088</v>
      </c>
      <c r="L1145" t="s">
        <v>44</v>
      </c>
      <c r="M1145">
        <v>15520</v>
      </c>
      <c r="N1145" s="2" t="s">
        <v>581</v>
      </c>
      <c r="O1145" s="9" t="s">
        <v>4088</v>
      </c>
      <c r="P1145" t="s">
        <v>4089</v>
      </c>
      <c r="T1145" s="2"/>
      <c r="U1145" s="2" t="s">
        <v>718</v>
      </c>
    </row>
    <row r="1146" spans="1:21" x14ac:dyDescent="0.3">
      <c r="A1146">
        <v>269308</v>
      </c>
      <c r="B1146" t="s">
        <v>46</v>
      </c>
      <c r="C1146" t="s">
        <v>577</v>
      </c>
      <c r="D1146" t="s">
        <v>174</v>
      </c>
      <c r="E1146" s="1" t="s">
        <v>4090</v>
      </c>
      <c r="F1146">
        <v>24747712</v>
      </c>
      <c r="G1146" t="s">
        <v>176</v>
      </c>
      <c r="H1146" s="17">
        <v>4219621000111</v>
      </c>
      <c r="I1146" s="17">
        <v>90739624000118</v>
      </c>
      <c r="J1146" t="s">
        <v>2</v>
      </c>
      <c r="K1146" s="9" t="s">
        <v>4091</v>
      </c>
      <c r="L1146" t="s">
        <v>44</v>
      </c>
      <c r="M1146">
        <v>98998</v>
      </c>
      <c r="N1146" s="2" t="s">
        <v>585</v>
      </c>
      <c r="O1146" s="9" t="s">
        <v>4091</v>
      </c>
      <c r="P1146" t="s">
        <v>4092</v>
      </c>
      <c r="T1146" s="2"/>
      <c r="U1146" s="2" t="s">
        <v>718</v>
      </c>
    </row>
    <row r="1147" spans="1:21" x14ac:dyDescent="0.3">
      <c r="A1147">
        <v>269308</v>
      </c>
      <c r="B1147" t="s">
        <v>46</v>
      </c>
      <c r="C1147" t="s">
        <v>361</v>
      </c>
      <c r="D1147" t="s">
        <v>58</v>
      </c>
      <c r="E1147" s="1" t="s">
        <v>4093</v>
      </c>
      <c r="F1147">
        <v>24747386</v>
      </c>
      <c r="G1147" t="s">
        <v>4094</v>
      </c>
      <c r="H1147" s="17">
        <v>7473735015022</v>
      </c>
      <c r="I1147" s="17">
        <v>90739624002323</v>
      </c>
      <c r="J1147" t="s">
        <v>2</v>
      </c>
      <c r="K1147" s="9" t="s">
        <v>4095</v>
      </c>
      <c r="L1147" t="s">
        <v>44</v>
      </c>
      <c r="M1147">
        <v>56050</v>
      </c>
      <c r="N1147" s="2" t="s">
        <v>584</v>
      </c>
      <c r="O1147" s="9" t="s">
        <v>4095</v>
      </c>
      <c r="P1147" t="s">
        <v>4096</v>
      </c>
      <c r="T1147" s="2"/>
      <c r="U1147" s="2" t="s">
        <v>718</v>
      </c>
    </row>
    <row r="1148" spans="1:21" x14ac:dyDescent="0.3">
      <c r="A1148">
        <v>269308</v>
      </c>
      <c r="B1148" t="s">
        <v>46</v>
      </c>
      <c r="C1148" t="s">
        <v>4097</v>
      </c>
      <c r="D1148" t="s">
        <v>63</v>
      </c>
      <c r="E1148" s="1" t="s">
        <v>4098</v>
      </c>
      <c r="F1148">
        <v>24747348</v>
      </c>
      <c r="G1148" t="s">
        <v>64</v>
      </c>
      <c r="H1148" s="17">
        <v>23448964001921</v>
      </c>
      <c r="I1148" s="17">
        <v>90739624001432</v>
      </c>
      <c r="J1148" t="s">
        <v>2</v>
      </c>
      <c r="K1148" s="9" t="s">
        <v>4099</v>
      </c>
      <c r="L1148" t="s">
        <v>44</v>
      </c>
      <c r="M1148">
        <v>178589</v>
      </c>
      <c r="N1148" s="2" t="s">
        <v>584</v>
      </c>
      <c r="O1148" s="9" t="s">
        <v>4099</v>
      </c>
      <c r="P1148" t="s">
        <v>4100</v>
      </c>
      <c r="T1148" s="2"/>
      <c r="U1148" s="2" t="s">
        <v>718</v>
      </c>
    </row>
    <row r="1149" spans="1:21" x14ac:dyDescent="0.3">
      <c r="A1149">
        <v>269308</v>
      </c>
      <c r="B1149" t="s">
        <v>46</v>
      </c>
      <c r="C1149" t="s">
        <v>4101</v>
      </c>
      <c r="D1149" t="s">
        <v>58</v>
      </c>
      <c r="E1149" s="1" t="s">
        <v>4102</v>
      </c>
      <c r="F1149">
        <v>24747342</v>
      </c>
      <c r="G1149" t="s">
        <v>4103</v>
      </c>
      <c r="H1149" s="17">
        <v>7473735005906</v>
      </c>
      <c r="I1149" s="17">
        <v>90739624002323</v>
      </c>
      <c r="J1149" t="s">
        <v>2</v>
      </c>
      <c r="K1149" s="9" t="s">
        <v>4104</v>
      </c>
      <c r="L1149" t="s">
        <v>44</v>
      </c>
      <c r="M1149">
        <v>72716</v>
      </c>
      <c r="N1149" s="2" t="s">
        <v>584</v>
      </c>
      <c r="O1149" s="9" t="s">
        <v>4104</v>
      </c>
      <c r="P1149" t="s">
        <v>4105</v>
      </c>
      <c r="T1149" s="2"/>
      <c r="U1149" s="2" t="s">
        <v>718</v>
      </c>
    </row>
    <row r="1150" spans="1:21" x14ac:dyDescent="0.3">
      <c r="A1150">
        <v>269308</v>
      </c>
      <c r="B1150" t="s">
        <v>88</v>
      </c>
      <c r="C1150" t="s">
        <v>639</v>
      </c>
      <c r="D1150" t="s">
        <v>58</v>
      </c>
      <c r="E1150" s="1" t="s">
        <v>4106</v>
      </c>
      <c r="F1150">
        <v>24747310</v>
      </c>
      <c r="G1150" t="s">
        <v>664</v>
      </c>
      <c r="H1150" s="17">
        <v>7473735023122</v>
      </c>
      <c r="I1150" s="17"/>
      <c r="J1150" t="s">
        <v>2</v>
      </c>
      <c r="K1150" s="9" t="s">
        <v>4107</v>
      </c>
      <c r="L1150" t="s">
        <v>87</v>
      </c>
      <c r="N1150" s="2"/>
      <c r="O1150" s="9"/>
      <c r="T1150" s="2"/>
      <c r="U1150" s="2" t="s">
        <v>718</v>
      </c>
    </row>
    <row r="1151" spans="1:21" x14ac:dyDescent="0.3">
      <c r="A1151">
        <v>269308</v>
      </c>
      <c r="B1151" t="s">
        <v>46</v>
      </c>
      <c r="C1151" t="s">
        <v>386</v>
      </c>
      <c r="D1151" t="s">
        <v>58</v>
      </c>
      <c r="E1151" s="1" t="s">
        <v>4108</v>
      </c>
      <c r="F1151">
        <v>24747120</v>
      </c>
      <c r="G1151" t="s">
        <v>532</v>
      </c>
      <c r="H1151" s="17">
        <v>7473735018552</v>
      </c>
      <c r="I1151" s="17">
        <v>90739624002323</v>
      </c>
      <c r="J1151" t="s">
        <v>2</v>
      </c>
      <c r="K1151" s="9" t="s">
        <v>4109</v>
      </c>
      <c r="L1151" t="s">
        <v>44</v>
      </c>
      <c r="M1151">
        <v>56067</v>
      </c>
      <c r="N1151" s="2" t="s">
        <v>584</v>
      </c>
      <c r="O1151" s="9" t="s">
        <v>4109</v>
      </c>
      <c r="P1151" t="s">
        <v>4110</v>
      </c>
      <c r="T1151" s="2"/>
      <c r="U1151" s="2" t="s">
        <v>718</v>
      </c>
    </row>
    <row r="1152" spans="1:21" x14ac:dyDescent="0.3">
      <c r="A1152">
        <v>269308</v>
      </c>
      <c r="B1152" t="s">
        <v>46</v>
      </c>
      <c r="C1152" t="s">
        <v>612</v>
      </c>
      <c r="D1152" t="s">
        <v>58</v>
      </c>
      <c r="E1152" s="1" t="s">
        <v>4111</v>
      </c>
      <c r="F1152">
        <v>24746909</v>
      </c>
      <c r="G1152" t="s">
        <v>60</v>
      </c>
      <c r="H1152" s="17">
        <v>7473735018200</v>
      </c>
      <c r="I1152" s="17">
        <v>90739624002323</v>
      </c>
      <c r="J1152" t="s">
        <v>17</v>
      </c>
      <c r="K1152" s="9" t="s">
        <v>4112</v>
      </c>
      <c r="L1152" t="s">
        <v>44</v>
      </c>
      <c r="M1152">
        <v>73734</v>
      </c>
      <c r="N1152" s="2" t="s">
        <v>584</v>
      </c>
      <c r="O1152" s="9" t="s">
        <v>4112</v>
      </c>
      <c r="P1152" t="s">
        <v>4113</v>
      </c>
      <c r="T1152" s="2"/>
      <c r="U1152" s="2" t="s">
        <v>718</v>
      </c>
    </row>
    <row r="1153" spans="1:21" x14ac:dyDescent="0.3">
      <c r="A1153">
        <v>269308</v>
      </c>
      <c r="B1153" t="s">
        <v>46</v>
      </c>
      <c r="C1153" t="s">
        <v>105</v>
      </c>
      <c r="D1153" t="s">
        <v>31</v>
      </c>
      <c r="E1153" s="1" t="s">
        <v>4114</v>
      </c>
      <c r="F1153">
        <v>24746879</v>
      </c>
      <c r="G1153" t="s">
        <v>56</v>
      </c>
      <c r="H1153" s="17">
        <v>8603562000212</v>
      </c>
      <c r="I1153" s="17">
        <v>90739624001866</v>
      </c>
      <c r="J1153" t="s">
        <v>2</v>
      </c>
      <c r="K1153" s="9" t="s">
        <v>4115</v>
      </c>
      <c r="L1153" t="s">
        <v>44</v>
      </c>
      <c r="M1153">
        <v>54530</v>
      </c>
      <c r="N1153" s="2" t="s">
        <v>584</v>
      </c>
      <c r="O1153" s="9" t="s">
        <v>4115</v>
      </c>
      <c r="P1153" t="s">
        <v>4116</v>
      </c>
      <c r="T1153" s="2"/>
      <c r="U1153" s="2" t="s">
        <v>718</v>
      </c>
    </row>
    <row r="1154" spans="1:21" x14ac:dyDescent="0.3">
      <c r="A1154">
        <v>269308</v>
      </c>
      <c r="B1154" t="s">
        <v>46</v>
      </c>
      <c r="C1154" t="s">
        <v>612</v>
      </c>
      <c r="D1154" t="s">
        <v>58</v>
      </c>
      <c r="E1154" s="1" t="s">
        <v>4117</v>
      </c>
      <c r="F1154">
        <v>24746878</v>
      </c>
      <c r="G1154" t="s">
        <v>60</v>
      </c>
      <c r="H1154" s="17">
        <v>7473735018200</v>
      </c>
      <c r="I1154" s="17">
        <v>90739624002323</v>
      </c>
      <c r="J1154" t="s">
        <v>2</v>
      </c>
      <c r="K1154" s="9" t="s">
        <v>4118</v>
      </c>
      <c r="L1154" t="s">
        <v>44</v>
      </c>
      <c r="M1154">
        <v>73733</v>
      </c>
      <c r="N1154" s="2" t="s">
        <v>584</v>
      </c>
      <c r="O1154" s="9" t="s">
        <v>4118</v>
      </c>
      <c r="P1154" t="s">
        <v>4119</v>
      </c>
      <c r="T1154" s="2"/>
      <c r="U1154" s="2" t="s">
        <v>718</v>
      </c>
    </row>
    <row r="1155" spans="1:21" x14ac:dyDescent="0.3">
      <c r="A1155">
        <v>269308</v>
      </c>
      <c r="B1155" t="s">
        <v>46</v>
      </c>
      <c r="C1155" t="s">
        <v>121</v>
      </c>
      <c r="D1155" t="s">
        <v>120</v>
      </c>
      <c r="E1155" s="1" t="s">
        <v>4120</v>
      </c>
      <c r="F1155">
        <v>24746876</v>
      </c>
      <c r="G1155" t="s">
        <v>157</v>
      </c>
      <c r="H1155" s="17">
        <v>78253424000155</v>
      </c>
      <c r="I1155" s="17">
        <v>90739624001432</v>
      </c>
      <c r="J1155" t="s">
        <v>2</v>
      </c>
      <c r="K1155" s="9" t="s">
        <v>4121</v>
      </c>
      <c r="L1155" t="s">
        <v>44</v>
      </c>
      <c r="M1155">
        <v>38013</v>
      </c>
      <c r="N1155" s="2" t="s">
        <v>584</v>
      </c>
      <c r="O1155" s="9" t="s">
        <v>4121</v>
      </c>
      <c r="P1155" t="s">
        <v>4122</v>
      </c>
      <c r="T1155" s="2"/>
      <c r="U1155" s="2" t="s">
        <v>718</v>
      </c>
    </row>
    <row r="1156" spans="1:21" x14ac:dyDescent="0.3">
      <c r="A1156">
        <v>269308</v>
      </c>
      <c r="B1156" t="s">
        <v>46</v>
      </c>
      <c r="C1156" t="s">
        <v>147</v>
      </c>
      <c r="D1156" t="s">
        <v>40</v>
      </c>
      <c r="E1156" s="1" t="s">
        <v>4123</v>
      </c>
      <c r="F1156">
        <v>24746834</v>
      </c>
      <c r="G1156" t="s">
        <v>42</v>
      </c>
      <c r="H1156" s="17">
        <v>82156977000248</v>
      </c>
      <c r="I1156" s="17">
        <v>90739624001432</v>
      </c>
      <c r="J1156" t="s">
        <v>17</v>
      </c>
      <c r="K1156" s="9" t="s">
        <v>4124</v>
      </c>
      <c r="L1156" t="s">
        <v>44</v>
      </c>
      <c r="M1156">
        <v>168100</v>
      </c>
      <c r="N1156" s="2" t="s">
        <v>584</v>
      </c>
      <c r="O1156" s="9" t="s">
        <v>4124</v>
      </c>
      <c r="P1156" t="s">
        <v>4125</v>
      </c>
      <c r="T1156" s="2"/>
      <c r="U1156" s="2" t="s">
        <v>718</v>
      </c>
    </row>
    <row r="1157" spans="1:21" x14ac:dyDescent="0.3">
      <c r="A1157">
        <v>269308</v>
      </c>
      <c r="B1157" t="s">
        <v>46</v>
      </c>
      <c r="C1157" t="s">
        <v>147</v>
      </c>
      <c r="D1157" t="s">
        <v>40</v>
      </c>
      <c r="E1157" s="1" t="s">
        <v>4126</v>
      </c>
      <c r="F1157">
        <v>24746817</v>
      </c>
      <c r="G1157" t="s">
        <v>42</v>
      </c>
      <c r="H1157" s="17">
        <v>82156977000248</v>
      </c>
      <c r="I1157" s="17">
        <v>90739624001432</v>
      </c>
      <c r="J1157" t="s">
        <v>2</v>
      </c>
      <c r="K1157" s="9" t="s">
        <v>4127</v>
      </c>
      <c r="L1157" t="s">
        <v>44</v>
      </c>
      <c r="M1157">
        <v>168099</v>
      </c>
      <c r="N1157" s="2" t="s">
        <v>584</v>
      </c>
      <c r="O1157" s="9" t="s">
        <v>4127</v>
      </c>
      <c r="P1157" t="s">
        <v>4128</v>
      </c>
      <c r="T1157" s="2"/>
      <c r="U1157" s="2" t="s">
        <v>718</v>
      </c>
    </row>
    <row r="1158" spans="1:21" x14ac:dyDescent="0.3">
      <c r="A1158">
        <v>269308</v>
      </c>
      <c r="B1158" t="s">
        <v>46</v>
      </c>
      <c r="C1158" t="s">
        <v>108</v>
      </c>
      <c r="D1158" t="s">
        <v>25</v>
      </c>
      <c r="E1158" s="1" t="s">
        <v>4129</v>
      </c>
      <c r="F1158">
        <v>24746664</v>
      </c>
      <c r="G1158" t="s">
        <v>109</v>
      </c>
      <c r="H1158" s="17">
        <v>5218335000102</v>
      </c>
      <c r="I1158" s="17">
        <v>90739624001866</v>
      </c>
      <c r="J1158" t="s">
        <v>2</v>
      </c>
      <c r="K1158" s="9" t="s">
        <v>4130</v>
      </c>
      <c r="L1158" t="s">
        <v>44</v>
      </c>
      <c r="M1158">
        <v>297709</v>
      </c>
      <c r="N1158" s="2" t="s">
        <v>584</v>
      </c>
      <c r="O1158" s="9" t="s">
        <v>4130</v>
      </c>
      <c r="P1158" t="s">
        <v>4131</v>
      </c>
      <c r="T1158" s="2"/>
      <c r="U1158" s="2" t="s">
        <v>718</v>
      </c>
    </row>
    <row r="1159" spans="1:21" x14ac:dyDescent="0.3">
      <c r="A1159">
        <v>269308</v>
      </c>
      <c r="B1159" t="s">
        <v>88</v>
      </c>
      <c r="C1159" t="s">
        <v>159</v>
      </c>
      <c r="D1159" t="s">
        <v>73</v>
      </c>
      <c r="E1159" s="1" t="s">
        <v>4132</v>
      </c>
      <c r="F1159">
        <v>24746049</v>
      </c>
      <c r="G1159" t="s">
        <v>694</v>
      </c>
      <c r="H1159" s="17">
        <v>7473735020026</v>
      </c>
      <c r="I1159" s="17"/>
      <c r="J1159" t="s">
        <v>2</v>
      </c>
      <c r="K1159" s="9" t="s">
        <v>4133</v>
      </c>
      <c r="L1159" t="s">
        <v>87</v>
      </c>
      <c r="N1159" s="2"/>
      <c r="O1159" s="9"/>
      <c r="T1159" s="2"/>
      <c r="U1159" s="2" t="s">
        <v>718</v>
      </c>
    </row>
    <row r="1160" spans="1:21" x14ac:dyDescent="0.3">
      <c r="A1160">
        <v>269308</v>
      </c>
      <c r="B1160" t="s">
        <v>46</v>
      </c>
      <c r="C1160" t="s">
        <v>256</v>
      </c>
      <c r="D1160" t="s">
        <v>174</v>
      </c>
      <c r="E1160" s="1" t="s">
        <v>4134</v>
      </c>
      <c r="F1160">
        <v>24745914</v>
      </c>
      <c r="G1160" t="s">
        <v>257</v>
      </c>
      <c r="H1160" s="17">
        <v>16823762000128</v>
      </c>
      <c r="I1160" s="17">
        <v>90739624000118</v>
      </c>
      <c r="J1160" t="s">
        <v>2</v>
      </c>
      <c r="K1160" s="9" t="s">
        <v>4135</v>
      </c>
      <c r="L1160" t="s">
        <v>44</v>
      </c>
      <c r="M1160">
        <v>695991</v>
      </c>
      <c r="N1160" s="2" t="s">
        <v>584</v>
      </c>
      <c r="O1160" s="9" t="s">
        <v>4135</v>
      </c>
      <c r="P1160" t="s">
        <v>4136</v>
      </c>
      <c r="T1160" s="2"/>
      <c r="U1160" s="2" t="s">
        <v>718</v>
      </c>
    </row>
    <row r="1161" spans="1:21" x14ac:dyDescent="0.3">
      <c r="A1161">
        <v>269308</v>
      </c>
      <c r="B1161" t="s">
        <v>46</v>
      </c>
      <c r="C1161" t="s">
        <v>533</v>
      </c>
      <c r="D1161" t="s">
        <v>126</v>
      </c>
      <c r="E1161" s="1" t="s">
        <v>4137</v>
      </c>
      <c r="F1161">
        <v>24745754</v>
      </c>
      <c r="G1161" t="s">
        <v>62</v>
      </c>
      <c r="H1161" s="17">
        <v>79964177000591</v>
      </c>
      <c r="I1161" s="17">
        <v>9576274000106</v>
      </c>
      <c r="J1161" t="s">
        <v>2</v>
      </c>
      <c r="K1161" s="9" t="s">
        <v>4138</v>
      </c>
      <c r="L1161" t="s">
        <v>44</v>
      </c>
      <c r="M1161">
        <v>819682</v>
      </c>
      <c r="N1161" s="2" t="s">
        <v>584</v>
      </c>
      <c r="O1161" s="9" t="s">
        <v>4138</v>
      </c>
      <c r="P1161" t="s">
        <v>4139</v>
      </c>
      <c r="T1161" s="2"/>
      <c r="U1161" s="2" t="s">
        <v>718</v>
      </c>
    </row>
    <row r="1162" spans="1:21" x14ac:dyDescent="0.3">
      <c r="A1162">
        <v>269308</v>
      </c>
      <c r="B1162" t="s">
        <v>46</v>
      </c>
      <c r="C1162" t="s">
        <v>568</v>
      </c>
      <c r="D1162" t="s">
        <v>8</v>
      </c>
      <c r="E1162" s="1" t="s">
        <v>4140</v>
      </c>
      <c r="F1162">
        <v>24745654</v>
      </c>
      <c r="G1162" t="s">
        <v>221</v>
      </c>
      <c r="H1162" s="17">
        <v>8810726000100</v>
      </c>
      <c r="I1162" s="17">
        <v>9576274000106</v>
      </c>
      <c r="J1162" t="s">
        <v>17</v>
      </c>
      <c r="K1162" s="9" t="s">
        <v>593</v>
      </c>
      <c r="L1162" t="s">
        <v>44</v>
      </c>
      <c r="M1162">
        <v>6435</v>
      </c>
      <c r="N1162" s="2" t="s">
        <v>581</v>
      </c>
      <c r="O1162" s="9" t="s">
        <v>593</v>
      </c>
      <c r="P1162" t="s">
        <v>4141</v>
      </c>
      <c r="T1162" s="2"/>
      <c r="U1162" s="2" t="s">
        <v>718</v>
      </c>
    </row>
    <row r="1163" spans="1:21" x14ac:dyDescent="0.3">
      <c r="A1163">
        <v>269308</v>
      </c>
      <c r="B1163" t="s">
        <v>46</v>
      </c>
      <c r="C1163" t="s">
        <v>568</v>
      </c>
      <c r="D1163" t="s">
        <v>8</v>
      </c>
      <c r="E1163" s="1" t="s">
        <v>4142</v>
      </c>
      <c r="F1163">
        <v>24745593</v>
      </c>
      <c r="G1163" t="s">
        <v>221</v>
      </c>
      <c r="H1163" s="17">
        <v>8810726000100</v>
      </c>
      <c r="I1163" s="17">
        <v>9576274000106</v>
      </c>
      <c r="J1163" t="s">
        <v>2</v>
      </c>
      <c r="K1163" s="9" t="s">
        <v>4143</v>
      </c>
      <c r="L1163" t="s">
        <v>44</v>
      </c>
      <c r="M1163">
        <v>6434</v>
      </c>
      <c r="N1163" s="2" t="s">
        <v>581</v>
      </c>
      <c r="O1163" s="9" t="s">
        <v>4143</v>
      </c>
      <c r="P1163" t="s">
        <v>4144</v>
      </c>
      <c r="T1163" s="2"/>
      <c r="U1163" s="2" t="s">
        <v>718</v>
      </c>
    </row>
    <row r="1164" spans="1:21" x14ac:dyDescent="0.3">
      <c r="A1164">
        <v>269308</v>
      </c>
      <c r="B1164" t="s">
        <v>88</v>
      </c>
      <c r="C1164" t="s">
        <v>235</v>
      </c>
      <c r="D1164" t="s">
        <v>25</v>
      </c>
      <c r="E1164" s="1" t="s">
        <v>4145</v>
      </c>
      <c r="F1164">
        <v>24745585</v>
      </c>
      <c r="G1164" t="s">
        <v>132</v>
      </c>
      <c r="H1164" s="17">
        <v>10588554000105</v>
      </c>
      <c r="I1164" s="17"/>
      <c r="J1164" t="s">
        <v>2</v>
      </c>
      <c r="K1164" s="9" t="s">
        <v>4146</v>
      </c>
      <c r="L1164" t="s">
        <v>87</v>
      </c>
      <c r="N1164" s="2"/>
      <c r="O1164" s="9"/>
      <c r="T1164" s="2"/>
      <c r="U1164" s="2" t="s">
        <v>718</v>
      </c>
    </row>
    <row r="1165" spans="1:21" x14ac:dyDescent="0.3">
      <c r="A1165">
        <v>269308</v>
      </c>
      <c r="B1165" t="s">
        <v>46</v>
      </c>
      <c r="C1165" t="s">
        <v>322</v>
      </c>
      <c r="D1165" t="s">
        <v>28</v>
      </c>
      <c r="E1165" s="1" t="s">
        <v>4147</v>
      </c>
      <c r="F1165">
        <v>24745332</v>
      </c>
      <c r="G1165" t="s">
        <v>487</v>
      </c>
      <c r="H1165" s="17">
        <v>148072000180</v>
      </c>
      <c r="I1165" s="17">
        <v>90739624001947</v>
      </c>
      <c r="J1165" t="s">
        <v>2</v>
      </c>
      <c r="K1165" s="9" t="s">
        <v>4148</v>
      </c>
      <c r="L1165" t="s">
        <v>44</v>
      </c>
      <c r="M1165">
        <v>120779</v>
      </c>
      <c r="N1165" s="2" t="s">
        <v>584</v>
      </c>
      <c r="O1165" s="9" t="s">
        <v>4148</v>
      </c>
      <c r="P1165" t="s">
        <v>4149</v>
      </c>
      <c r="T1165" s="2"/>
      <c r="U1165" s="2" t="s">
        <v>718</v>
      </c>
    </row>
    <row r="1166" spans="1:21" x14ac:dyDescent="0.3">
      <c r="A1166">
        <v>269308</v>
      </c>
      <c r="B1166" t="s">
        <v>46</v>
      </c>
      <c r="C1166" t="s">
        <v>177</v>
      </c>
      <c r="D1166" t="s">
        <v>170</v>
      </c>
      <c r="E1166" s="1" t="s">
        <v>4150</v>
      </c>
      <c r="F1166">
        <v>24744814</v>
      </c>
      <c r="G1166" t="s">
        <v>178</v>
      </c>
      <c r="H1166" s="17">
        <v>83392050000199</v>
      </c>
      <c r="I1166" s="17">
        <v>90739624001432</v>
      </c>
      <c r="J1166" t="s">
        <v>2</v>
      </c>
      <c r="K1166" s="9" t="s">
        <v>4151</v>
      </c>
      <c r="L1166" t="s">
        <v>44</v>
      </c>
      <c r="M1166">
        <v>128884</v>
      </c>
      <c r="N1166" s="2" t="s">
        <v>584</v>
      </c>
      <c r="O1166" s="9" t="s">
        <v>4151</v>
      </c>
      <c r="P1166" t="s">
        <v>4152</v>
      </c>
      <c r="T1166" s="2"/>
      <c r="U1166" s="2" t="s">
        <v>718</v>
      </c>
    </row>
    <row r="1167" spans="1:21" x14ac:dyDescent="0.3">
      <c r="A1167">
        <v>269308</v>
      </c>
      <c r="B1167" t="s">
        <v>46</v>
      </c>
      <c r="C1167" t="s">
        <v>459</v>
      </c>
      <c r="D1167" t="s">
        <v>61</v>
      </c>
      <c r="E1167" s="1" t="s">
        <v>4153</v>
      </c>
      <c r="F1167">
        <v>24744439</v>
      </c>
      <c r="G1167" t="s">
        <v>85</v>
      </c>
      <c r="H1167" s="17">
        <v>1975878000105</v>
      </c>
      <c r="I1167" s="17">
        <v>9576274000106</v>
      </c>
      <c r="J1167" t="s">
        <v>2</v>
      </c>
      <c r="K1167" s="9" t="s">
        <v>4154</v>
      </c>
      <c r="L1167" t="s">
        <v>44</v>
      </c>
      <c r="M1167">
        <v>2488</v>
      </c>
      <c r="N1167" s="2" t="s">
        <v>584</v>
      </c>
      <c r="O1167" s="9" t="s">
        <v>4154</v>
      </c>
      <c r="P1167" t="s">
        <v>4155</v>
      </c>
      <c r="T1167" s="2"/>
      <c r="U1167" s="2" t="s">
        <v>718</v>
      </c>
    </row>
    <row r="1168" spans="1:21" x14ac:dyDescent="0.3">
      <c r="A1168">
        <v>269308</v>
      </c>
      <c r="B1168" t="s">
        <v>46</v>
      </c>
      <c r="C1168" t="s">
        <v>493</v>
      </c>
      <c r="D1168" t="s">
        <v>36</v>
      </c>
      <c r="E1168" s="1" t="s">
        <v>4156</v>
      </c>
      <c r="F1168">
        <v>24744422</v>
      </c>
      <c r="G1168" t="s">
        <v>186</v>
      </c>
      <c r="H1168" s="17">
        <v>7822636000168</v>
      </c>
      <c r="I1168" s="17">
        <v>90739624004458</v>
      </c>
      <c r="J1168" t="s">
        <v>2</v>
      </c>
      <c r="K1168" s="9" t="s">
        <v>4157</v>
      </c>
      <c r="L1168" t="s">
        <v>44</v>
      </c>
      <c r="M1168">
        <v>4093</v>
      </c>
      <c r="N1168" s="2" t="s">
        <v>584</v>
      </c>
      <c r="O1168" s="9" t="s">
        <v>4157</v>
      </c>
      <c r="P1168" t="s">
        <v>4158</v>
      </c>
      <c r="T1168" s="2"/>
      <c r="U1168" s="2" t="s">
        <v>718</v>
      </c>
    </row>
    <row r="1169" spans="1:21" x14ac:dyDescent="0.3">
      <c r="A1169">
        <v>269308</v>
      </c>
      <c r="B1169" t="s">
        <v>46</v>
      </c>
      <c r="C1169" t="s">
        <v>387</v>
      </c>
      <c r="D1169" t="s">
        <v>58</v>
      </c>
      <c r="E1169" s="1" t="s">
        <v>4159</v>
      </c>
      <c r="F1169">
        <v>24744279</v>
      </c>
      <c r="G1169" t="s">
        <v>480</v>
      </c>
      <c r="H1169" s="17">
        <v>7473735019877</v>
      </c>
      <c r="I1169" s="17">
        <v>90739624002323</v>
      </c>
      <c r="J1169" t="s">
        <v>2</v>
      </c>
      <c r="K1169" s="9" t="s">
        <v>4160</v>
      </c>
      <c r="L1169" t="s">
        <v>44</v>
      </c>
      <c r="M1169">
        <v>57460</v>
      </c>
      <c r="N1169" s="2" t="s">
        <v>584</v>
      </c>
      <c r="O1169" s="9" t="s">
        <v>4160</v>
      </c>
      <c r="P1169" t="s">
        <v>4161</v>
      </c>
      <c r="T1169" s="2"/>
      <c r="U1169" s="2" t="s">
        <v>718</v>
      </c>
    </row>
    <row r="1170" spans="1:21" x14ac:dyDescent="0.3">
      <c r="A1170">
        <v>269308</v>
      </c>
      <c r="B1170" t="s">
        <v>46</v>
      </c>
      <c r="C1170" t="s">
        <v>597</v>
      </c>
      <c r="D1170" t="s">
        <v>49</v>
      </c>
      <c r="E1170" s="1" t="s">
        <v>4162</v>
      </c>
      <c r="F1170">
        <v>24744270</v>
      </c>
      <c r="G1170" t="s">
        <v>51</v>
      </c>
      <c r="H1170" s="17">
        <v>2763612000161</v>
      </c>
      <c r="I1170" s="17">
        <v>90739624003133</v>
      </c>
      <c r="J1170" t="s">
        <v>2</v>
      </c>
      <c r="K1170" s="9" t="s">
        <v>4163</v>
      </c>
      <c r="L1170" t="s">
        <v>44</v>
      </c>
      <c r="M1170">
        <v>162693</v>
      </c>
      <c r="N1170" s="2" t="s">
        <v>584</v>
      </c>
      <c r="O1170" s="9" t="s">
        <v>4163</v>
      </c>
      <c r="P1170" t="s">
        <v>4164</v>
      </c>
      <c r="T1170" s="2"/>
      <c r="U1170" s="2" t="s">
        <v>718</v>
      </c>
    </row>
    <row r="1171" spans="1:21" x14ac:dyDescent="0.3">
      <c r="A1171">
        <v>269308</v>
      </c>
      <c r="B1171" t="s">
        <v>46</v>
      </c>
      <c r="C1171" t="s">
        <v>138</v>
      </c>
      <c r="D1171" t="s">
        <v>11</v>
      </c>
      <c r="E1171" s="1" t="s">
        <v>4165</v>
      </c>
      <c r="F1171">
        <v>24743722</v>
      </c>
      <c r="G1171" t="s">
        <v>24</v>
      </c>
      <c r="H1171" s="17">
        <v>46472822000176</v>
      </c>
      <c r="I1171" s="17">
        <v>90739624000380</v>
      </c>
      <c r="J1171" t="s">
        <v>2</v>
      </c>
      <c r="K1171" s="9" t="s">
        <v>4166</v>
      </c>
      <c r="L1171" t="s">
        <v>44</v>
      </c>
      <c r="M1171">
        <v>22815</v>
      </c>
      <c r="N1171" s="2" t="s">
        <v>584</v>
      </c>
      <c r="O1171" s="9" t="s">
        <v>4166</v>
      </c>
      <c r="P1171" t="s">
        <v>4167</v>
      </c>
      <c r="T1171" s="2"/>
      <c r="U1171" s="2" t="s">
        <v>718</v>
      </c>
    </row>
    <row r="1172" spans="1:21" x14ac:dyDescent="0.3">
      <c r="A1172">
        <v>269308</v>
      </c>
      <c r="B1172" t="s">
        <v>46</v>
      </c>
      <c r="C1172" t="s">
        <v>552</v>
      </c>
      <c r="D1172" t="s">
        <v>18</v>
      </c>
      <c r="E1172" s="1" t="s">
        <v>4168</v>
      </c>
      <c r="F1172">
        <v>24743260</v>
      </c>
      <c r="G1172" t="s">
        <v>57</v>
      </c>
      <c r="H1172" s="17">
        <v>50206655000199</v>
      </c>
      <c r="I1172" s="17">
        <v>90739624000380</v>
      </c>
      <c r="J1172" t="s">
        <v>2</v>
      </c>
      <c r="K1172" s="9" t="s">
        <v>4169</v>
      </c>
      <c r="L1172" t="s">
        <v>44</v>
      </c>
      <c r="M1172">
        <v>15519</v>
      </c>
      <c r="N1172" s="2" t="s">
        <v>581</v>
      </c>
      <c r="O1172" s="9" t="s">
        <v>4169</v>
      </c>
      <c r="P1172" t="s">
        <v>4170</v>
      </c>
      <c r="T1172" s="2"/>
      <c r="U1172" s="2" t="s">
        <v>718</v>
      </c>
    </row>
    <row r="1173" spans="1:21" x14ac:dyDescent="0.3">
      <c r="A1173">
        <v>269308</v>
      </c>
      <c r="B1173" t="s">
        <v>46</v>
      </c>
      <c r="C1173" t="s">
        <v>151</v>
      </c>
      <c r="D1173" t="s">
        <v>100</v>
      </c>
      <c r="E1173" s="1" t="s">
        <v>4171</v>
      </c>
      <c r="F1173">
        <v>24741907</v>
      </c>
      <c r="G1173" t="s">
        <v>283</v>
      </c>
      <c r="H1173" s="17">
        <v>9663620000185</v>
      </c>
      <c r="I1173" s="17">
        <v>90739624001866</v>
      </c>
      <c r="J1173" t="s">
        <v>2</v>
      </c>
      <c r="K1173" s="9" t="s">
        <v>4172</v>
      </c>
      <c r="L1173" t="s">
        <v>44</v>
      </c>
      <c r="M1173">
        <v>92843</v>
      </c>
      <c r="N1173" s="2" t="s">
        <v>584</v>
      </c>
      <c r="O1173" s="9" t="s">
        <v>4172</v>
      </c>
      <c r="P1173" t="s">
        <v>4173</v>
      </c>
      <c r="T1173" s="2"/>
      <c r="U1173" s="2" t="s">
        <v>718</v>
      </c>
    </row>
    <row r="1174" spans="1:21" x14ac:dyDescent="0.3">
      <c r="A1174">
        <v>269308</v>
      </c>
      <c r="B1174" t="s">
        <v>46</v>
      </c>
      <c r="C1174" t="s">
        <v>743</v>
      </c>
      <c r="D1174" t="s">
        <v>63</v>
      </c>
      <c r="E1174" s="1" t="s">
        <v>4174</v>
      </c>
      <c r="F1174">
        <v>24741529</v>
      </c>
      <c r="G1174" t="s">
        <v>64</v>
      </c>
      <c r="H1174" s="17">
        <v>23448964001921</v>
      </c>
      <c r="I1174" s="17">
        <v>90739624001432</v>
      </c>
      <c r="J1174" t="s">
        <v>2</v>
      </c>
      <c r="K1174" s="9" t="s">
        <v>4175</v>
      </c>
      <c r="L1174" t="s">
        <v>44</v>
      </c>
      <c r="M1174">
        <v>178567</v>
      </c>
      <c r="N1174" s="2" t="s">
        <v>584</v>
      </c>
      <c r="O1174" s="9" t="s">
        <v>4175</v>
      </c>
      <c r="P1174" t="s">
        <v>4176</v>
      </c>
      <c r="T1174" s="2"/>
      <c r="U1174" s="2" t="s">
        <v>718</v>
      </c>
    </row>
    <row r="1175" spans="1:21" x14ac:dyDescent="0.3">
      <c r="A1175">
        <v>269308</v>
      </c>
      <c r="B1175" t="s">
        <v>46</v>
      </c>
      <c r="C1175" t="s">
        <v>244</v>
      </c>
      <c r="D1175" t="s">
        <v>120</v>
      </c>
      <c r="E1175" s="1" t="s">
        <v>4177</v>
      </c>
      <c r="F1175">
        <v>24741025</v>
      </c>
      <c r="G1175" t="s">
        <v>150</v>
      </c>
      <c r="H1175" s="17">
        <v>27643038000139</v>
      </c>
      <c r="I1175" s="17">
        <v>90739624001432</v>
      </c>
      <c r="J1175" t="s">
        <v>2</v>
      </c>
      <c r="K1175" s="9" t="s">
        <v>4178</v>
      </c>
      <c r="L1175" t="s">
        <v>44</v>
      </c>
      <c r="M1175">
        <v>60818</v>
      </c>
      <c r="N1175" s="2" t="s">
        <v>584</v>
      </c>
      <c r="O1175" s="9" t="s">
        <v>4178</v>
      </c>
      <c r="P1175" t="s">
        <v>4179</v>
      </c>
      <c r="T1175" s="2"/>
      <c r="U1175" s="2" t="s">
        <v>718</v>
      </c>
    </row>
    <row r="1176" spans="1:21" x14ac:dyDescent="0.3">
      <c r="A1176">
        <v>269308</v>
      </c>
      <c r="B1176" t="s">
        <v>46</v>
      </c>
      <c r="C1176" t="s">
        <v>359</v>
      </c>
      <c r="D1176" t="s">
        <v>170</v>
      </c>
      <c r="E1176" s="1" t="s">
        <v>4180</v>
      </c>
      <c r="F1176">
        <v>24740868</v>
      </c>
      <c r="G1176" t="s">
        <v>178</v>
      </c>
      <c r="H1176" s="17">
        <v>83392050000199</v>
      </c>
      <c r="I1176" s="17">
        <v>90739624001432</v>
      </c>
      <c r="J1176" t="s">
        <v>2</v>
      </c>
      <c r="K1176" s="9" t="s">
        <v>4181</v>
      </c>
      <c r="L1176" t="s">
        <v>44</v>
      </c>
      <c r="M1176">
        <v>128869</v>
      </c>
      <c r="N1176" s="2" t="s">
        <v>584</v>
      </c>
      <c r="O1176" s="9" t="s">
        <v>4181</v>
      </c>
      <c r="P1176" t="s">
        <v>4182</v>
      </c>
      <c r="T1176" s="2"/>
      <c r="U1176" s="2" t="s">
        <v>718</v>
      </c>
    </row>
    <row r="1177" spans="1:21" x14ac:dyDescent="0.3">
      <c r="A1177">
        <v>269308</v>
      </c>
      <c r="B1177" t="s">
        <v>46</v>
      </c>
      <c r="C1177" t="s">
        <v>381</v>
      </c>
      <c r="D1177" t="s">
        <v>170</v>
      </c>
      <c r="E1177" s="1" t="s">
        <v>4183</v>
      </c>
      <c r="F1177">
        <v>24740778</v>
      </c>
      <c r="G1177" t="s">
        <v>178</v>
      </c>
      <c r="H1177" s="17">
        <v>83392050000199</v>
      </c>
      <c r="I1177" s="17">
        <v>90739624001432</v>
      </c>
      <c r="J1177" t="s">
        <v>2</v>
      </c>
      <c r="K1177" s="9" t="s">
        <v>4184</v>
      </c>
      <c r="L1177" t="s">
        <v>44</v>
      </c>
      <c r="M1177">
        <v>128868</v>
      </c>
      <c r="N1177" s="2" t="s">
        <v>584</v>
      </c>
      <c r="O1177" s="9" t="s">
        <v>4184</v>
      </c>
      <c r="P1177" t="s">
        <v>4185</v>
      </c>
      <c r="T1177" s="2"/>
      <c r="U1177" s="2" t="s">
        <v>718</v>
      </c>
    </row>
    <row r="1178" spans="1:21" x14ac:dyDescent="0.3">
      <c r="A1178">
        <v>269308</v>
      </c>
      <c r="B1178" t="s">
        <v>46</v>
      </c>
      <c r="C1178" t="s">
        <v>212</v>
      </c>
      <c r="D1178" t="s">
        <v>28</v>
      </c>
      <c r="E1178" s="1" t="s">
        <v>4186</v>
      </c>
      <c r="F1178">
        <v>24740640</v>
      </c>
      <c r="G1178" t="s">
        <v>48</v>
      </c>
      <c r="H1178" s="17">
        <v>1272434001002</v>
      </c>
      <c r="I1178" s="17">
        <v>90739624001947</v>
      </c>
      <c r="J1178" t="s">
        <v>2</v>
      </c>
      <c r="K1178" s="9" t="s">
        <v>4187</v>
      </c>
      <c r="L1178" t="s">
        <v>44</v>
      </c>
      <c r="M1178">
        <v>81098</v>
      </c>
      <c r="N1178" s="2" t="s">
        <v>584</v>
      </c>
      <c r="O1178" s="9" t="s">
        <v>4187</v>
      </c>
      <c r="P1178" t="s">
        <v>4188</v>
      </c>
      <c r="T1178" s="2"/>
      <c r="U1178" s="2" t="s">
        <v>718</v>
      </c>
    </row>
    <row r="1179" spans="1:21" x14ac:dyDescent="0.3">
      <c r="A1179">
        <v>269308</v>
      </c>
      <c r="B1179" t="s">
        <v>46</v>
      </c>
      <c r="C1179" t="s">
        <v>155</v>
      </c>
      <c r="D1179" t="s">
        <v>8</v>
      </c>
      <c r="E1179" s="1" t="s">
        <v>4189</v>
      </c>
      <c r="F1179">
        <v>24740575</v>
      </c>
      <c r="G1179" t="s">
        <v>10</v>
      </c>
      <c r="H1179" s="17">
        <v>33286065000102</v>
      </c>
      <c r="I1179" s="17">
        <v>9576274000106</v>
      </c>
      <c r="J1179" t="s">
        <v>2</v>
      </c>
      <c r="K1179" s="9" t="s">
        <v>4190</v>
      </c>
      <c r="L1179" t="s">
        <v>44</v>
      </c>
      <c r="M1179">
        <v>10320</v>
      </c>
      <c r="N1179" s="2" t="s">
        <v>584</v>
      </c>
      <c r="O1179" s="9" t="s">
        <v>4190</v>
      </c>
      <c r="P1179" t="s">
        <v>4191</v>
      </c>
      <c r="T1179" s="2"/>
      <c r="U1179" s="2" t="s">
        <v>718</v>
      </c>
    </row>
    <row r="1180" spans="1:21" x14ac:dyDescent="0.3">
      <c r="A1180">
        <v>269308</v>
      </c>
      <c r="B1180" t="s">
        <v>46</v>
      </c>
      <c r="C1180" t="s">
        <v>228</v>
      </c>
      <c r="D1180" t="s">
        <v>63</v>
      </c>
      <c r="E1180" s="1" t="s">
        <v>4192</v>
      </c>
      <c r="F1180">
        <v>24740520</v>
      </c>
      <c r="G1180" t="s">
        <v>64</v>
      </c>
      <c r="H1180" s="17">
        <v>23448964001921</v>
      </c>
      <c r="I1180" s="17">
        <v>90739624001432</v>
      </c>
      <c r="J1180" t="s">
        <v>2</v>
      </c>
      <c r="K1180" s="9" t="s">
        <v>4193</v>
      </c>
      <c r="L1180" t="s">
        <v>44</v>
      </c>
      <c r="M1180">
        <v>178557</v>
      </c>
      <c r="N1180" s="2" t="s">
        <v>584</v>
      </c>
      <c r="O1180" s="9" t="s">
        <v>4193</v>
      </c>
      <c r="P1180" t="s">
        <v>4194</v>
      </c>
      <c r="T1180" s="2"/>
      <c r="U1180" s="2" t="s">
        <v>718</v>
      </c>
    </row>
    <row r="1181" spans="1:21" x14ac:dyDescent="0.3">
      <c r="A1181">
        <v>269308</v>
      </c>
      <c r="B1181" t="s">
        <v>46</v>
      </c>
      <c r="C1181" t="s">
        <v>14</v>
      </c>
      <c r="D1181" t="s">
        <v>13</v>
      </c>
      <c r="E1181" s="1" t="s">
        <v>4195</v>
      </c>
      <c r="F1181">
        <v>24740084</v>
      </c>
      <c r="G1181" t="s">
        <v>465</v>
      </c>
      <c r="H1181" s="17">
        <v>24601882000109</v>
      </c>
      <c r="I1181" s="17">
        <v>90739624001190</v>
      </c>
      <c r="J1181" t="s">
        <v>2</v>
      </c>
      <c r="K1181" s="9" t="s">
        <v>4196</v>
      </c>
      <c r="L1181" t="s">
        <v>44</v>
      </c>
      <c r="M1181">
        <v>91528</v>
      </c>
      <c r="N1181" s="2" t="s">
        <v>583</v>
      </c>
      <c r="O1181" s="9" t="s">
        <v>4196</v>
      </c>
      <c r="P1181" t="s">
        <v>4197</v>
      </c>
      <c r="T1181" s="2"/>
      <c r="U1181" s="2" t="s">
        <v>718</v>
      </c>
    </row>
    <row r="1182" spans="1:21" x14ac:dyDescent="0.3">
      <c r="A1182">
        <v>269308</v>
      </c>
      <c r="B1182" t="s">
        <v>46</v>
      </c>
      <c r="C1182" t="s">
        <v>519</v>
      </c>
      <c r="D1182" t="s">
        <v>170</v>
      </c>
      <c r="E1182" s="1" t="s">
        <v>4198</v>
      </c>
      <c r="F1182">
        <v>24740073</v>
      </c>
      <c r="G1182" t="s">
        <v>178</v>
      </c>
      <c r="H1182" s="17">
        <v>83392050000199</v>
      </c>
      <c r="I1182" s="17">
        <v>90739624001432</v>
      </c>
      <c r="J1182" t="s">
        <v>2</v>
      </c>
      <c r="K1182" s="9" t="s">
        <v>4199</v>
      </c>
      <c r="L1182" t="s">
        <v>44</v>
      </c>
      <c r="M1182">
        <v>128860</v>
      </c>
      <c r="N1182" s="2" t="s">
        <v>584</v>
      </c>
      <c r="O1182" s="9" t="s">
        <v>4199</v>
      </c>
      <c r="P1182" t="s">
        <v>4200</v>
      </c>
      <c r="T1182" s="2"/>
      <c r="U1182" s="2" t="s">
        <v>718</v>
      </c>
    </row>
    <row r="1183" spans="1:21" x14ac:dyDescent="0.3">
      <c r="A1183">
        <v>269308</v>
      </c>
      <c r="B1183" t="s">
        <v>46</v>
      </c>
      <c r="C1183" t="s">
        <v>273</v>
      </c>
      <c r="D1183" t="s">
        <v>31</v>
      </c>
      <c r="E1183" s="1" t="s">
        <v>4201</v>
      </c>
      <c r="F1183">
        <v>24740052</v>
      </c>
      <c r="G1183" t="s">
        <v>504</v>
      </c>
      <c r="H1183" s="17">
        <v>8603562002002</v>
      </c>
      <c r="I1183" s="17">
        <v>90739624001866</v>
      </c>
      <c r="J1183" t="s">
        <v>2</v>
      </c>
      <c r="K1183" s="9" t="s">
        <v>4202</v>
      </c>
      <c r="L1183" t="s">
        <v>44</v>
      </c>
      <c r="M1183">
        <v>55741</v>
      </c>
      <c r="N1183" s="2" t="s">
        <v>584</v>
      </c>
      <c r="O1183" s="9" t="s">
        <v>4202</v>
      </c>
      <c r="P1183" t="s">
        <v>4203</v>
      </c>
      <c r="T1183" s="2"/>
      <c r="U1183" s="2" t="s">
        <v>718</v>
      </c>
    </row>
    <row r="1184" spans="1:21" x14ac:dyDescent="0.3">
      <c r="A1184">
        <v>269308</v>
      </c>
      <c r="B1184" t="s">
        <v>46</v>
      </c>
      <c r="C1184" t="s">
        <v>180</v>
      </c>
      <c r="D1184" t="s">
        <v>73</v>
      </c>
      <c r="E1184" s="1" t="s">
        <v>4204</v>
      </c>
      <c r="F1184">
        <v>24739916</v>
      </c>
      <c r="G1184" t="s">
        <v>458</v>
      </c>
      <c r="H1184" s="17">
        <v>7473735002800</v>
      </c>
      <c r="I1184" s="17">
        <v>90739624002323</v>
      </c>
      <c r="J1184" t="s">
        <v>17</v>
      </c>
      <c r="K1184" s="9" t="s">
        <v>4205</v>
      </c>
      <c r="L1184" t="s">
        <v>44</v>
      </c>
      <c r="M1184">
        <v>17282</v>
      </c>
      <c r="N1184" s="2" t="s">
        <v>584</v>
      </c>
      <c r="O1184" s="9" t="s">
        <v>4205</v>
      </c>
      <c r="P1184" t="s">
        <v>4206</v>
      </c>
      <c r="T1184" s="2"/>
      <c r="U1184" s="2" t="s">
        <v>718</v>
      </c>
    </row>
    <row r="1185" spans="1:21" x14ac:dyDescent="0.3">
      <c r="A1185">
        <v>269308</v>
      </c>
      <c r="B1185" t="s">
        <v>46</v>
      </c>
      <c r="C1185" t="s">
        <v>91</v>
      </c>
      <c r="D1185" t="s">
        <v>28</v>
      </c>
      <c r="E1185" s="1" t="s">
        <v>4207</v>
      </c>
      <c r="F1185">
        <v>24739850</v>
      </c>
      <c r="G1185" t="s">
        <v>29</v>
      </c>
      <c r="H1185" s="17">
        <v>47377960000139</v>
      </c>
      <c r="I1185" s="17">
        <v>90739624001947</v>
      </c>
      <c r="J1185" t="s">
        <v>2</v>
      </c>
      <c r="K1185" s="9" t="s">
        <v>4208</v>
      </c>
      <c r="L1185" t="s">
        <v>44</v>
      </c>
      <c r="M1185">
        <v>112752</v>
      </c>
      <c r="N1185" s="2" t="s">
        <v>584</v>
      </c>
      <c r="O1185" s="9" t="s">
        <v>4208</v>
      </c>
      <c r="P1185" t="s">
        <v>4209</v>
      </c>
      <c r="T1185" s="2"/>
      <c r="U1185" s="2" t="s">
        <v>718</v>
      </c>
    </row>
    <row r="1186" spans="1:21" x14ac:dyDescent="0.3">
      <c r="A1186">
        <v>269308</v>
      </c>
      <c r="B1186" t="s">
        <v>46</v>
      </c>
      <c r="C1186" t="s">
        <v>243</v>
      </c>
      <c r="D1186" t="s">
        <v>61</v>
      </c>
      <c r="E1186" s="1" t="s">
        <v>4210</v>
      </c>
      <c r="F1186">
        <v>24739783</v>
      </c>
      <c r="G1186" t="s">
        <v>85</v>
      </c>
      <c r="H1186" s="17">
        <v>1975878000105</v>
      </c>
      <c r="I1186" s="17">
        <v>9576274000106</v>
      </c>
      <c r="J1186" t="s">
        <v>2</v>
      </c>
      <c r="K1186" s="9" t="s">
        <v>4211</v>
      </c>
      <c r="L1186" t="s">
        <v>44</v>
      </c>
      <c r="M1186">
        <v>2487</v>
      </c>
      <c r="N1186" s="2" t="s">
        <v>584</v>
      </c>
      <c r="O1186" s="9" t="s">
        <v>4211</v>
      </c>
      <c r="P1186" t="s">
        <v>4212</v>
      </c>
      <c r="T1186" s="2"/>
      <c r="U1186" s="2" t="s">
        <v>718</v>
      </c>
    </row>
    <row r="1187" spans="1:21" x14ac:dyDescent="0.3">
      <c r="A1187">
        <v>269308</v>
      </c>
      <c r="B1187" t="s">
        <v>46</v>
      </c>
      <c r="C1187" t="s">
        <v>306</v>
      </c>
      <c r="D1187" t="s">
        <v>63</v>
      </c>
      <c r="E1187" s="1" t="s">
        <v>4213</v>
      </c>
      <c r="F1187">
        <v>24739637</v>
      </c>
      <c r="G1187" t="s">
        <v>64</v>
      </c>
      <c r="H1187" s="17">
        <v>23448964001921</v>
      </c>
      <c r="I1187" s="17">
        <v>90739624001432</v>
      </c>
      <c r="J1187" t="s">
        <v>2</v>
      </c>
      <c r="K1187" s="9" t="s">
        <v>4214</v>
      </c>
      <c r="L1187" t="s">
        <v>44</v>
      </c>
      <c r="M1187">
        <v>178546</v>
      </c>
      <c r="N1187" s="2" t="s">
        <v>584</v>
      </c>
      <c r="O1187" s="9" t="s">
        <v>4214</v>
      </c>
      <c r="P1187" t="s">
        <v>4215</v>
      </c>
      <c r="T1187" s="2"/>
      <c r="U1187" s="2" t="s">
        <v>718</v>
      </c>
    </row>
    <row r="1188" spans="1:21" x14ac:dyDescent="0.3">
      <c r="A1188">
        <v>269308</v>
      </c>
      <c r="B1188" t="s">
        <v>46</v>
      </c>
      <c r="C1188" t="s">
        <v>362</v>
      </c>
      <c r="D1188" t="s">
        <v>0</v>
      </c>
      <c r="E1188" s="1" t="s">
        <v>4216</v>
      </c>
      <c r="F1188">
        <v>24739574</v>
      </c>
      <c r="G1188" t="s">
        <v>134</v>
      </c>
      <c r="H1188" s="17">
        <v>81326258000770</v>
      </c>
      <c r="I1188" s="17">
        <v>90739624001432</v>
      </c>
      <c r="J1188" t="s">
        <v>2</v>
      </c>
      <c r="K1188" s="9" t="s">
        <v>4217</v>
      </c>
      <c r="L1188" t="s">
        <v>44</v>
      </c>
      <c r="M1188">
        <v>101034</v>
      </c>
      <c r="N1188" s="2" t="s">
        <v>584</v>
      </c>
      <c r="O1188" s="9" t="s">
        <v>4217</v>
      </c>
      <c r="P1188" t="s">
        <v>4218</v>
      </c>
      <c r="T1188" s="2"/>
      <c r="U1188" s="2" t="s">
        <v>718</v>
      </c>
    </row>
    <row r="1189" spans="1:21" x14ac:dyDescent="0.3">
      <c r="A1189">
        <v>269308</v>
      </c>
      <c r="B1189" t="s">
        <v>46</v>
      </c>
      <c r="C1189" t="s">
        <v>196</v>
      </c>
      <c r="D1189" t="s">
        <v>36</v>
      </c>
      <c r="E1189" s="1" t="s">
        <v>4219</v>
      </c>
      <c r="F1189">
        <v>24739453</v>
      </c>
      <c r="G1189" t="s">
        <v>186</v>
      </c>
      <c r="H1189" s="17">
        <v>7822636000168</v>
      </c>
      <c r="I1189" s="17">
        <v>90739624004458</v>
      </c>
      <c r="J1189" t="s">
        <v>2</v>
      </c>
      <c r="K1189" s="9" t="s">
        <v>4220</v>
      </c>
      <c r="L1189" t="s">
        <v>44</v>
      </c>
      <c r="M1189">
        <v>4090</v>
      </c>
      <c r="N1189" s="2" t="s">
        <v>584</v>
      </c>
      <c r="O1189" s="9" t="s">
        <v>4220</v>
      </c>
      <c r="P1189" t="s">
        <v>4221</v>
      </c>
      <c r="T1189" s="2"/>
      <c r="U1189" s="2" t="s">
        <v>718</v>
      </c>
    </row>
    <row r="1190" spans="1:21" x14ac:dyDescent="0.3">
      <c r="A1190">
        <v>269308</v>
      </c>
      <c r="B1190" t="s">
        <v>46</v>
      </c>
      <c r="C1190" t="s">
        <v>226</v>
      </c>
      <c r="D1190" t="s">
        <v>65</v>
      </c>
      <c r="E1190" s="1" t="s">
        <v>4222</v>
      </c>
      <c r="F1190">
        <v>24739075</v>
      </c>
      <c r="G1190" t="s">
        <v>279</v>
      </c>
      <c r="H1190" s="17">
        <v>7473735014646</v>
      </c>
      <c r="I1190" s="17">
        <v>90739624002323</v>
      </c>
      <c r="J1190" t="s">
        <v>2</v>
      </c>
      <c r="K1190" s="9" t="s">
        <v>4223</v>
      </c>
      <c r="L1190" t="s">
        <v>44</v>
      </c>
      <c r="M1190">
        <v>76200</v>
      </c>
      <c r="N1190" s="2" t="s">
        <v>584</v>
      </c>
      <c r="O1190" s="9" t="s">
        <v>4223</v>
      </c>
      <c r="P1190" t="s">
        <v>4224</v>
      </c>
      <c r="T1190" s="2"/>
      <c r="U1190" s="2" t="s">
        <v>718</v>
      </c>
    </row>
    <row r="1191" spans="1:21" x14ac:dyDescent="0.3">
      <c r="A1191">
        <v>269308</v>
      </c>
      <c r="B1191" t="s">
        <v>46</v>
      </c>
      <c r="C1191" t="s">
        <v>163</v>
      </c>
      <c r="D1191" t="s">
        <v>61</v>
      </c>
      <c r="E1191" s="1" t="s">
        <v>4225</v>
      </c>
      <c r="F1191">
        <v>24739067</v>
      </c>
      <c r="G1191" t="s">
        <v>62</v>
      </c>
      <c r="H1191" s="17">
        <v>79964177000591</v>
      </c>
      <c r="I1191" s="17">
        <v>9576274000106</v>
      </c>
      <c r="J1191" t="s">
        <v>2</v>
      </c>
      <c r="K1191" s="9" t="s">
        <v>4226</v>
      </c>
      <c r="L1191" t="s">
        <v>44</v>
      </c>
      <c r="M1191">
        <v>819656</v>
      </c>
      <c r="N1191" s="2" t="s">
        <v>584</v>
      </c>
      <c r="O1191" s="9" t="s">
        <v>4226</v>
      </c>
      <c r="P1191" t="s">
        <v>4227</v>
      </c>
      <c r="T1191" s="2"/>
      <c r="U1191" s="2" t="s">
        <v>718</v>
      </c>
    </row>
    <row r="1192" spans="1:21" x14ac:dyDescent="0.3">
      <c r="A1192">
        <v>269308</v>
      </c>
      <c r="B1192" t="s">
        <v>46</v>
      </c>
      <c r="C1192" t="s">
        <v>466</v>
      </c>
      <c r="D1192" t="s">
        <v>63</v>
      </c>
      <c r="E1192" s="1" t="s">
        <v>4228</v>
      </c>
      <c r="F1192">
        <v>24739063</v>
      </c>
      <c r="G1192" t="s">
        <v>64</v>
      </c>
      <c r="H1192" s="17">
        <v>23448964001921</v>
      </c>
      <c r="I1192" s="17">
        <v>90739624001432</v>
      </c>
      <c r="J1192" t="s">
        <v>2</v>
      </c>
      <c r="K1192" s="9" t="s">
        <v>4229</v>
      </c>
      <c r="L1192" t="s">
        <v>44</v>
      </c>
      <c r="M1192">
        <v>178540</v>
      </c>
      <c r="N1192" s="2" t="s">
        <v>584</v>
      </c>
      <c r="O1192" s="9" t="s">
        <v>4229</v>
      </c>
      <c r="P1192" t="s">
        <v>4230</v>
      </c>
      <c r="T1192" s="2"/>
      <c r="U1192" s="2" t="s">
        <v>718</v>
      </c>
    </row>
    <row r="1193" spans="1:21" x14ac:dyDescent="0.3">
      <c r="A1193">
        <v>269308</v>
      </c>
      <c r="B1193" t="s">
        <v>46</v>
      </c>
      <c r="C1193" t="s">
        <v>270</v>
      </c>
      <c r="D1193" t="s">
        <v>63</v>
      </c>
      <c r="E1193" s="1" t="s">
        <v>4231</v>
      </c>
      <c r="F1193">
        <v>24739047</v>
      </c>
      <c r="G1193" t="s">
        <v>64</v>
      </c>
      <c r="H1193" s="17">
        <v>23448964001921</v>
      </c>
      <c r="I1193" s="17">
        <v>90739624001432</v>
      </c>
      <c r="J1193" t="s">
        <v>2</v>
      </c>
      <c r="K1193" s="9" t="s">
        <v>4232</v>
      </c>
      <c r="L1193" t="s">
        <v>44</v>
      </c>
      <c r="M1193">
        <v>178539</v>
      </c>
      <c r="N1193" s="2" t="s">
        <v>584</v>
      </c>
      <c r="O1193" s="9" t="s">
        <v>4232</v>
      </c>
      <c r="P1193" t="s">
        <v>4233</v>
      </c>
      <c r="T1193" s="2"/>
      <c r="U1193" s="2" t="s">
        <v>718</v>
      </c>
    </row>
    <row r="1194" spans="1:21" x14ac:dyDescent="0.3">
      <c r="A1194">
        <v>269308</v>
      </c>
      <c r="B1194" t="s">
        <v>46</v>
      </c>
      <c r="C1194" t="s">
        <v>195</v>
      </c>
      <c r="D1194" t="s">
        <v>63</v>
      </c>
      <c r="E1194" s="1" t="s">
        <v>4234</v>
      </c>
      <c r="F1194">
        <v>24738902</v>
      </c>
      <c r="G1194" t="s">
        <v>64</v>
      </c>
      <c r="H1194" s="17">
        <v>23448964001921</v>
      </c>
      <c r="I1194" s="17">
        <v>90739624001432</v>
      </c>
      <c r="J1194" t="s">
        <v>2</v>
      </c>
      <c r="K1194" s="9" t="s">
        <v>596</v>
      </c>
      <c r="L1194" t="s">
        <v>44</v>
      </c>
      <c r="M1194">
        <v>178537</v>
      </c>
      <c r="N1194" s="2" t="s">
        <v>584</v>
      </c>
      <c r="O1194" s="9" t="s">
        <v>596</v>
      </c>
      <c r="P1194" t="s">
        <v>4235</v>
      </c>
      <c r="T1194" s="2"/>
      <c r="U1194" s="2" t="s">
        <v>718</v>
      </c>
    </row>
    <row r="1195" spans="1:21" x14ac:dyDescent="0.3">
      <c r="A1195">
        <v>269308</v>
      </c>
      <c r="B1195" t="s">
        <v>46</v>
      </c>
      <c r="C1195" t="s">
        <v>1243</v>
      </c>
      <c r="D1195" t="s">
        <v>61</v>
      </c>
      <c r="E1195" s="1" t="s">
        <v>4236</v>
      </c>
      <c r="F1195">
        <v>24738884</v>
      </c>
      <c r="G1195" t="s">
        <v>85</v>
      </c>
      <c r="H1195" s="17">
        <v>1975878000105</v>
      </c>
      <c r="I1195" s="17">
        <v>9576274000106</v>
      </c>
      <c r="J1195" t="s">
        <v>2</v>
      </c>
      <c r="K1195" s="9" t="s">
        <v>4237</v>
      </c>
      <c r="L1195" t="s">
        <v>44</v>
      </c>
      <c r="M1195">
        <v>2486</v>
      </c>
      <c r="N1195" s="2" t="s">
        <v>584</v>
      </c>
      <c r="O1195" s="9" t="s">
        <v>4237</v>
      </c>
      <c r="P1195" t="s">
        <v>4238</v>
      </c>
      <c r="T1195" s="2"/>
      <c r="U1195" s="2" t="s">
        <v>718</v>
      </c>
    </row>
    <row r="1196" spans="1:21" x14ac:dyDescent="0.3">
      <c r="A1196">
        <v>269308</v>
      </c>
      <c r="B1196" t="s">
        <v>46</v>
      </c>
      <c r="C1196" t="s">
        <v>598</v>
      </c>
      <c r="D1196" t="s">
        <v>100</v>
      </c>
      <c r="E1196" s="1" t="s">
        <v>4239</v>
      </c>
      <c r="F1196">
        <v>24738689</v>
      </c>
      <c r="G1196" t="s">
        <v>303</v>
      </c>
      <c r="H1196" s="17">
        <v>9380191000139</v>
      </c>
      <c r="I1196" s="17">
        <v>90739624001866</v>
      </c>
      <c r="J1196" t="s">
        <v>2</v>
      </c>
      <c r="K1196" s="9" t="s">
        <v>4240</v>
      </c>
      <c r="L1196" t="s">
        <v>44</v>
      </c>
      <c r="M1196">
        <v>44225</v>
      </c>
      <c r="N1196" s="2" t="s">
        <v>584</v>
      </c>
      <c r="O1196" s="9" t="s">
        <v>4240</v>
      </c>
      <c r="P1196" t="s">
        <v>4241</v>
      </c>
      <c r="T1196" s="2"/>
      <c r="U1196" s="2" t="s">
        <v>718</v>
      </c>
    </row>
    <row r="1197" spans="1:21" x14ac:dyDescent="0.3">
      <c r="A1197">
        <v>269308</v>
      </c>
      <c r="B1197" t="s">
        <v>46</v>
      </c>
      <c r="C1197" t="s">
        <v>391</v>
      </c>
      <c r="D1197" t="s">
        <v>58</v>
      </c>
      <c r="E1197" s="1" t="s">
        <v>4242</v>
      </c>
      <c r="F1197">
        <v>24738686</v>
      </c>
      <c r="G1197" t="s">
        <v>106</v>
      </c>
      <c r="H1197" s="17">
        <v>7473735015103</v>
      </c>
      <c r="I1197" s="17">
        <v>90739624002323</v>
      </c>
      <c r="J1197" t="s">
        <v>2</v>
      </c>
      <c r="K1197" s="9" t="s">
        <v>4243</v>
      </c>
      <c r="L1197" t="s">
        <v>44</v>
      </c>
      <c r="M1197">
        <v>110573</v>
      </c>
      <c r="N1197" s="2" t="s">
        <v>584</v>
      </c>
      <c r="O1197" s="9" t="s">
        <v>4243</v>
      </c>
      <c r="P1197" t="s">
        <v>4244</v>
      </c>
      <c r="T1197" s="2"/>
      <c r="U1197" s="2" t="s">
        <v>718</v>
      </c>
    </row>
    <row r="1198" spans="1:21" x14ac:dyDescent="0.3">
      <c r="A1198">
        <v>269308</v>
      </c>
      <c r="B1198" t="s">
        <v>46</v>
      </c>
      <c r="C1198" t="s">
        <v>538</v>
      </c>
      <c r="D1198" t="s">
        <v>13</v>
      </c>
      <c r="E1198" s="1" t="s">
        <v>4245</v>
      </c>
      <c r="F1198">
        <v>24738675</v>
      </c>
      <c r="G1198" t="s">
        <v>15</v>
      </c>
      <c r="H1198" s="17">
        <v>30432373000100</v>
      </c>
      <c r="I1198" s="17">
        <v>90739624001190</v>
      </c>
      <c r="J1198" t="s">
        <v>2</v>
      </c>
      <c r="K1198" s="9" t="s">
        <v>4246</v>
      </c>
      <c r="L1198" t="s">
        <v>44</v>
      </c>
      <c r="M1198">
        <v>23851</v>
      </c>
      <c r="N1198" s="2" t="s">
        <v>584</v>
      </c>
      <c r="O1198" s="9" t="s">
        <v>4246</v>
      </c>
      <c r="P1198" t="s">
        <v>4247</v>
      </c>
      <c r="T1198" s="2"/>
      <c r="U1198" s="2" t="s">
        <v>718</v>
      </c>
    </row>
    <row r="1199" spans="1:21" x14ac:dyDescent="0.3">
      <c r="A1199">
        <v>269308</v>
      </c>
      <c r="B1199" t="s">
        <v>46</v>
      </c>
      <c r="C1199" t="s">
        <v>318</v>
      </c>
      <c r="D1199" t="s">
        <v>58</v>
      </c>
      <c r="E1199" s="1" t="s">
        <v>4248</v>
      </c>
      <c r="F1199">
        <v>24738649</v>
      </c>
      <c r="G1199" t="s">
        <v>192</v>
      </c>
      <c r="H1199" s="17">
        <v>7473735022312</v>
      </c>
      <c r="I1199" s="17">
        <v>90739624002323</v>
      </c>
      <c r="J1199" t="s">
        <v>2</v>
      </c>
      <c r="K1199" s="9" t="s">
        <v>4249</v>
      </c>
      <c r="L1199" t="s">
        <v>44</v>
      </c>
      <c r="M1199">
        <v>13596</v>
      </c>
      <c r="N1199" s="2" t="s">
        <v>584</v>
      </c>
      <c r="O1199" s="9" t="s">
        <v>4249</v>
      </c>
      <c r="P1199" t="s">
        <v>4250</v>
      </c>
      <c r="T1199" s="2"/>
      <c r="U1199" s="2" t="s">
        <v>718</v>
      </c>
    </row>
    <row r="1200" spans="1:21" x14ac:dyDescent="0.3">
      <c r="A1200">
        <v>269308</v>
      </c>
      <c r="B1200" t="s">
        <v>46</v>
      </c>
      <c r="C1200" t="s">
        <v>135</v>
      </c>
      <c r="D1200" t="s">
        <v>100</v>
      </c>
      <c r="E1200" s="1" t="s">
        <v>4251</v>
      </c>
      <c r="F1200">
        <v>24738609</v>
      </c>
      <c r="G1200" t="s">
        <v>241</v>
      </c>
      <c r="H1200" s="17">
        <v>14948822000103</v>
      </c>
      <c r="I1200" s="17">
        <v>90739624001866</v>
      </c>
      <c r="J1200" t="s">
        <v>2</v>
      </c>
      <c r="K1200" s="9" t="s">
        <v>4252</v>
      </c>
      <c r="L1200" t="s">
        <v>44</v>
      </c>
      <c r="M1200">
        <v>154659</v>
      </c>
      <c r="N1200" s="2" t="s">
        <v>584</v>
      </c>
      <c r="O1200" s="9" t="s">
        <v>4252</v>
      </c>
      <c r="P1200" t="s">
        <v>4253</v>
      </c>
      <c r="T1200" s="2"/>
      <c r="U1200" s="2" t="s">
        <v>718</v>
      </c>
    </row>
    <row r="1201" spans="1:21" x14ac:dyDescent="0.3">
      <c r="A1201">
        <v>269308</v>
      </c>
      <c r="B1201" t="s">
        <v>46</v>
      </c>
      <c r="C1201" t="s">
        <v>201</v>
      </c>
      <c r="D1201" t="s">
        <v>61</v>
      </c>
      <c r="E1201" s="1" t="s">
        <v>4254</v>
      </c>
      <c r="F1201">
        <v>24738558</v>
      </c>
      <c r="G1201" t="s">
        <v>127</v>
      </c>
      <c r="H1201" s="17">
        <v>76493295000147</v>
      </c>
      <c r="I1201" s="17">
        <v>9576274000106</v>
      </c>
      <c r="J1201" t="s">
        <v>2</v>
      </c>
      <c r="K1201" s="9" t="s">
        <v>4255</v>
      </c>
      <c r="L1201" t="s">
        <v>44</v>
      </c>
      <c r="M1201">
        <v>28392</v>
      </c>
      <c r="N1201" s="2" t="s">
        <v>584</v>
      </c>
      <c r="O1201" s="9" t="s">
        <v>4255</v>
      </c>
      <c r="P1201" t="s">
        <v>4256</v>
      </c>
      <c r="T1201" s="2"/>
      <c r="U1201" s="2" t="s">
        <v>718</v>
      </c>
    </row>
    <row r="1202" spans="1:21" x14ac:dyDescent="0.3">
      <c r="A1202">
        <v>269308</v>
      </c>
      <c r="B1202" t="s">
        <v>46</v>
      </c>
      <c r="C1202" t="s">
        <v>153</v>
      </c>
      <c r="D1202" t="s">
        <v>58</v>
      </c>
      <c r="E1202" s="1" t="s">
        <v>4257</v>
      </c>
      <c r="F1202">
        <v>24738424</v>
      </c>
      <c r="G1202" t="s">
        <v>106</v>
      </c>
      <c r="H1202" s="17">
        <v>7473735015103</v>
      </c>
      <c r="I1202" s="17">
        <v>90739624002323</v>
      </c>
      <c r="J1202" t="s">
        <v>2</v>
      </c>
      <c r="K1202" s="9" t="s">
        <v>4258</v>
      </c>
      <c r="L1202" t="s">
        <v>44</v>
      </c>
      <c r="M1202">
        <v>110568</v>
      </c>
      <c r="N1202" s="2" t="s">
        <v>584</v>
      </c>
      <c r="O1202" s="9" t="s">
        <v>4258</v>
      </c>
      <c r="P1202" t="s">
        <v>4259</v>
      </c>
      <c r="T1202" s="2"/>
      <c r="U1202" s="2" t="s">
        <v>718</v>
      </c>
    </row>
    <row r="1203" spans="1:21" x14ac:dyDescent="0.3">
      <c r="A1203">
        <v>269308</v>
      </c>
      <c r="B1203" t="s">
        <v>46</v>
      </c>
      <c r="C1203" t="s">
        <v>281</v>
      </c>
      <c r="D1203" t="s">
        <v>170</v>
      </c>
      <c r="E1203" s="1" t="s">
        <v>4260</v>
      </c>
      <c r="F1203">
        <v>24738423</v>
      </c>
      <c r="G1203" t="s">
        <v>171</v>
      </c>
      <c r="H1203" s="17">
        <v>14631967000186</v>
      </c>
      <c r="I1203" s="17">
        <v>90739624001432</v>
      </c>
      <c r="J1203" t="s">
        <v>2</v>
      </c>
      <c r="K1203" s="9" t="s">
        <v>4261</v>
      </c>
      <c r="L1203" t="s">
        <v>44</v>
      </c>
      <c r="M1203">
        <v>47293</v>
      </c>
      <c r="N1203" s="2" t="s">
        <v>584</v>
      </c>
      <c r="O1203" s="9" t="s">
        <v>4261</v>
      </c>
      <c r="P1203" t="s">
        <v>4262</v>
      </c>
      <c r="T1203" s="2"/>
      <c r="U1203" s="2" t="s">
        <v>718</v>
      </c>
    </row>
    <row r="1204" spans="1:21" x14ac:dyDescent="0.3">
      <c r="A1204">
        <v>269308</v>
      </c>
      <c r="B1204" t="s">
        <v>46</v>
      </c>
      <c r="C1204" t="s">
        <v>305</v>
      </c>
      <c r="D1204" t="s">
        <v>36</v>
      </c>
      <c r="E1204" s="1" t="s">
        <v>4263</v>
      </c>
      <c r="F1204">
        <v>24738192</v>
      </c>
      <c r="G1204" t="s">
        <v>186</v>
      </c>
      <c r="H1204" s="17">
        <v>7822636000168</v>
      </c>
      <c r="I1204" s="17">
        <v>90739624004458</v>
      </c>
      <c r="J1204" t="s">
        <v>2</v>
      </c>
      <c r="K1204" s="9" t="s">
        <v>4264</v>
      </c>
      <c r="L1204" t="s">
        <v>44</v>
      </c>
      <c r="M1204">
        <v>4087</v>
      </c>
      <c r="N1204" s="2" t="s">
        <v>584</v>
      </c>
      <c r="O1204" s="9" t="s">
        <v>4264</v>
      </c>
      <c r="P1204" t="s">
        <v>4265</v>
      </c>
      <c r="T1204" s="2"/>
      <c r="U1204" s="2" t="s">
        <v>718</v>
      </c>
    </row>
    <row r="1205" spans="1:21" x14ac:dyDescent="0.3">
      <c r="A1205">
        <v>269308</v>
      </c>
      <c r="B1205" t="s">
        <v>46</v>
      </c>
      <c r="C1205" t="s">
        <v>293</v>
      </c>
      <c r="D1205" t="s">
        <v>61</v>
      </c>
      <c r="E1205" s="1" t="s">
        <v>4266</v>
      </c>
      <c r="F1205">
        <v>24738176</v>
      </c>
      <c r="G1205" t="s">
        <v>62</v>
      </c>
      <c r="H1205" s="17">
        <v>79964177000591</v>
      </c>
      <c r="I1205" s="17">
        <v>9576274000106</v>
      </c>
      <c r="J1205" t="s">
        <v>2</v>
      </c>
      <c r="K1205" s="9" t="s">
        <v>4267</v>
      </c>
      <c r="L1205" t="s">
        <v>44</v>
      </c>
      <c r="M1205">
        <v>819642</v>
      </c>
      <c r="N1205" s="2" t="s">
        <v>584</v>
      </c>
      <c r="O1205" s="9" t="s">
        <v>4267</v>
      </c>
      <c r="P1205" t="s">
        <v>4268</v>
      </c>
      <c r="T1205" s="2"/>
      <c r="U1205" s="2" t="s">
        <v>718</v>
      </c>
    </row>
    <row r="1206" spans="1:21" x14ac:dyDescent="0.3">
      <c r="A1206">
        <v>269308</v>
      </c>
      <c r="B1206" t="s">
        <v>46</v>
      </c>
      <c r="C1206" t="s">
        <v>269</v>
      </c>
      <c r="D1206" t="s">
        <v>61</v>
      </c>
      <c r="E1206" s="1" t="s">
        <v>4269</v>
      </c>
      <c r="F1206">
        <v>24737862</v>
      </c>
      <c r="G1206" t="s">
        <v>62</v>
      </c>
      <c r="H1206" s="17">
        <v>79964177000591</v>
      </c>
      <c r="I1206" s="17">
        <v>9576274000106</v>
      </c>
      <c r="J1206" t="s">
        <v>2</v>
      </c>
      <c r="K1206" s="9" t="s">
        <v>4270</v>
      </c>
      <c r="L1206" t="s">
        <v>44</v>
      </c>
      <c r="M1206">
        <v>819637</v>
      </c>
      <c r="N1206" s="2" t="s">
        <v>584</v>
      </c>
      <c r="O1206" s="9" t="s">
        <v>4270</v>
      </c>
      <c r="P1206" t="s">
        <v>4271</v>
      </c>
      <c r="T1206" s="2"/>
      <c r="U1206" s="2" t="s">
        <v>718</v>
      </c>
    </row>
    <row r="1207" spans="1:21" x14ac:dyDescent="0.3">
      <c r="A1207">
        <v>269308</v>
      </c>
      <c r="B1207" t="s">
        <v>46</v>
      </c>
      <c r="C1207" t="s">
        <v>112</v>
      </c>
      <c r="D1207" t="s">
        <v>100</v>
      </c>
      <c r="E1207" s="1" t="s">
        <v>4272</v>
      </c>
      <c r="F1207">
        <v>24737846</v>
      </c>
      <c r="G1207" t="s">
        <v>248</v>
      </c>
      <c r="H1207" s="17">
        <v>3623054000282</v>
      </c>
      <c r="I1207" s="17">
        <v>90739624001866</v>
      </c>
      <c r="J1207" t="s">
        <v>2</v>
      </c>
      <c r="K1207" s="9" t="s">
        <v>4273</v>
      </c>
      <c r="L1207" t="s">
        <v>44</v>
      </c>
      <c r="M1207">
        <v>3382597</v>
      </c>
      <c r="N1207" s="2" t="s">
        <v>584</v>
      </c>
      <c r="O1207" s="9" t="s">
        <v>4273</v>
      </c>
      <c r="P1207" t="s">
        <v>4274</v>
      </c>
      <c r="T1207" s="2"/>
      <c r="U1207" s="2" t="s">
        <v>718</v>
      </c>
    </row>
    <row r="1208" spans="1:21" x14ac:dyDescent="0.3">
      <c r="A1208">
        <v>269308</v>
      </c>
      <c r="B1208" t="s">
        <v>46</v>
      </c>
      <c r="C1208" t="s">
        <v>197</v>
      </c>
      <c r="D1208" t="s">
        <v>36</v>
      </c>
      <c r="E1208" s="1" t="s">
        <v>4275</v>
      </c>
      <c r="F1208">
        <v>24737750</v>
      </c>
      <c r="G1208" t="s">
        <v>186</v>
      </c>
      <c r="H1208" s="17">
        <v>7822636000168</v>
      </c>
      <c r="I1208" s="17">
        <v>90739624004458</v>
      </c>
      <c r="J1208" t="s">
        <v>2</v>
      </c>
      <c r="K1208" s="9" t="s">
        <v>4276</v>
      </c>
      <c r="L1208" t="s">
        <v>44</v>
      </c>
      <c r="M1208">
        <v>4086</v>
      </c>
      <c r="N1208" s="2" t="s">
        <v>584</v>
      </c>
      <c r="O1208" s="9" t="s">
        <v>4276</v>
      </c>
      <c r="P1208" t="s">
        <v>4277</v>
      </c>
      <c r="T1208" s="2"/>
      <c r="U1208" s="2" t="s">
        <v>718</v>
      </c>
    </row>
    <row r="1209" spans="1:21" x14ac:dyDescent="0.3">
      <c r="A1209">
        <v>269308</v>
      </c>
      <c r="B1209" t="s">
        <v>46</v>
      </c>
      <c r="C1209" t="s">
        <v>308</v>
      </c>
      <c r="D1209" t="s">
        <v>58</v>
      </c>
      <c r="E1209" s="1" t="s">
        <v>4278</v>
      </c>
      <c r="F1209">
        <v>24737529</v>
      </c>
      <c r="G1209" t="s">
        <v>309</v>
      </c>
      <c r="H1209" s="17">
        <v>7473735017661</v>
      </c>
      <c r="I1209" s="17">
        <v>90739624002323</v>
      </c>
      <c r="J1209" t="s">
        <v>2</v>
      </c>
      <c r="K1209" s="9" t="s">
        <v>4279</v>
      </c>
      <c r="L1209" t="s">
        <v>44</v>
      </c>
      <c r="M1209">
        <v>88103</v>
      </c>
      <c r="N1209" s="2" t="s">
        <v>584</v>
      </c>
      <c r="O1209" s="9" t="s">
        <v>4279</v>
      </c>
      <c r="P1209" t="s">
        <v>4280</v>
      </c>
      <c r="T1209" s="2"/>
      <c r="U1209" s="2" t="s">
        <v>718</v>
      </c>
    </row>
    <row r="1210" spans="1:21" x14ac:dyDescent="0.3">
      <c r="A1210">
        <v>269308</v>
      </c>
      <c r="B1210" t="s">
        <v>46</v>
      </c>
      <c r="C1210" t="s">
        <v>205</v>
      </c>
      <c r="D1210" t="s">
        <v>28</v>
      </c>
      <c r="E1210" s="1" t="s">
        <v>4281</v>
      </c>
      <c r="F1210">
        <v>24737414</v>
      </c>
      <c r="G1210" t="s">
        <v>48</v>
      </c>
      <c r="H1210" s="17">
        <v>1272434001002</v>
      </c>
      <c r="I1210" s="17">
        <v>90739624001947</v>
      </c>
      <c r="J1210" t="s">
        <v>2</v>
      </c>
      <c r="K1210" s="9" t="s">
        <v>4282</v>
      </c>
      <c r="L1210" t="s">
        <v>44</v>
      </c>
      <c r="M1210">
        <v>81083</v>
      </c>
      <c r="N1210" s="2" t="s">
        <v>584</v>
      </c>
      <c r="O1210" s="9" t="s">
        <v>4282</v>
      </c>
      <c r="P1210" t="s">
        <v>4283</v>
      </c>
      <c r="T1210" s="2"/>
      <c r="U1210" s="2" t="s">
        <v>718</v>
      </c>
    </row>
    <row r="1211" spans="1:21" x14ac:dyDescent="0.3">
      <c r="A1211">
        <v>269308</v>
      </c>
      <c r="B1211" t="s">
        <v>46</v>
      </c>
      <c r="C1211" t="s">
        <v>19</v>
      </c>
      <c r="D1211" t="s">
        <v>18</v>
      </c>
      <c r="E1211" s="1" t="s">
        <v>4284</v>
      </c>
      <c r="F1211">
        <v>24736914</v>
      </c>
      <c r="G1211" t="s">
        <v>202</v>
      </c>
      <c r="H1211" s="17">
        <v>5065447000162</v>
      </c>
      <c r="I1211" s="17">
        <v>90739624000380</v>
      </c>
      <c r="J1211" t="s">
        <v>2</v>
      </c>
      <c r="K1211" s="9" t="s">
        <v>4285</v>
      </c>
      <c r="L1211" t="s">
        <v>44</v>
      </c>
      <c r="M1211">
        <v>372713</v>
      </c>
      <c r="N1211" s="2" t="s">
        <v>584</v>
      </c>
      <c r="O1211" s="9" t="s">
        <v>4285</v>
      </c>
      <c r="P1211" t="s">
        <v>4286</v>
      </c>
      <c r="T1211" s="2"/>
      <c r="U1211" s="2" t="s">
        <v>718</v>
      </c>
    </row>
    <row r="1212" spans="1:21" x14ac:dyDescent="0.3">
      <c r="A1212">
        <v>269308</v>
      </c>
      <c r="B1212" t="s">
        <v>46</v>
      </c>
      <c r="C1212" t="s">
        <v>387</v>
      </c>
      <c r="D1212" t="s">
        <v>58</v>
      </c>
      <c r="E1212" s="1" t="s">
        <v>4287</v>
      </c>
      <c r="F1212">
        <v>24736887</v>
      </c>
      <c r="G1212" t="s">
        <v>106</v>
      </c>
      <c r="H1212" s="17">
        <v>7473735015103</v>
      </c>
      <c r="I1212" s="17">
        <v>90739624002323</v>
      </c>
      <c r="J1212" t="s">
        <v>2</v>
      </c>
      <c r="K1212" s="9" t="s">
        <v>4288</v>
      </c>
      <c r="L1212" t="s">
        <v>44</v>
      </c>
      <c r="M1212">
        <v>110564</v>
      </c>
      <c r="N1212" s="2" t="s">
        <v>584</v>
      </c>
      <c r="O1212" s="9" t="s">
        <v>4288</v>
      </c>
      <c r="P1212" t="s">
        <v>4289</v>
      </c>
      <c r="T1212" s="2"/>
      <c r="U1212" s="2" t="s">
        <v>718</v>
      </c>
    </row>
    <row r="1213" spans="1:21" x14ac:dyDescent="0.3">
      <c r="A1213">
        <v>269308</v>
      </c>
      <c r="B1213" t="s">
        <v>46</v>
      </c>
      <c r="C1213" t="s">
        <v>198</v>
      </c>
      <c r="D1213" t="s">
        <v>61</v>
      </c>
      <c r="E1213" s="1" t="s">
        <v>4290</v>
      </c>
      <c r="F1213">
        <v>24736532</v>
      </c>
      <c r="G1213" t="s">
        <v>127</v>
      </c>
      <c r="H1213" s="17">
        <v>76493295000147</v>
      </c>
      <c r="I1213" s="17">
        <v>9576274000106</v>
      </c>
      <c r="J1213" t="s">
        <v>2</v>
      </c>
      <c r="K1213" s="9" t="s">
        <v>4291</v>
      </c>
      <c r="L1213" t="s">
        <v>44</v>
      </c>
      <c r="M1213">
        <v>28386</v>
      </c>
      <c r="N1213" s="2" t="s">
        <v>584</v>
      </c>
      <c r="O1213" s="9" t="s">
        <v>4291</v>
      </c>
      <c r="P1213" t="s">
        <v>4292</v>
      </c>
      <c r="T1213" s="2"/>
      <c r="U1213" s="2" t="s">
        <v>718</v>
      </c>
    </row>
    <row r="1214" spans="1:21" x14ac:dyDescent="0.3">
      <c r="A1214">
        <v>269308</v>
      </c>
      <c r="B1214" t="s">
        <v>46</v>
      </c>
      <c r="C1214" t="s">
        <v>336</v>
      </c>
      <c r="D1214" t="s">
        <v>13</v>
      </c>
      <c r="E1214" s="1" t="s">
        <v>4293</v>
      </c>
      <c r="F1214">
        <v>24736388</v>
      </c>
      <c r="G1214" t="s">
        <v>348</v>
      </c>
      <c r="H1214" s="17">
        <v>26416003000102</v>
      </c>
      <c r="I1214" s="17">
        <v>90739624001190</v>
      </c>
      <c r="J1214" t="s">
        <v>2</v>
      </c>
      <c r="K1214" s="9" t="s">
        <v>4294</v>
      </c>
      <c r="L1214" t="s">
        <v>44</v>
      </c>
      <c r="M1214">
        <v>48814</v>
      </c>
      <c r="N1214" s="2" t="s">
        <v>792</v>
      </c>
      <c r="O1214" s="9" t="s">
        <v>4294</v>
      </c>
      <c r="P1214" t="s">
        <v>4295</v>
      </c>
      <c r="T1214" s="2"/>
      <c r="U1214" s="2" t="s">
        <v>718</v>
      </c>
    </row>
    <row r="1215" spans="1:21" x14ac:dyDescent="0.3">
      <c r="A1215">
        <v>269308</v>
      </c>
      <c r="B1215" t="s">
        <v>46</v>
      </c>
      <c r="C1215" t="s">
        <v>238</v>
      </c>
      <c r="D1215" t="s">
        <v>8</v>
      </c>
      <c r="E1215" s="1" t="s">
        <v>4296</v>
      </c>
      <c r="F1215">
        <v>24732116</v>
      </c>
      <c r="G1215" t="s">
        <v>4297</v>
      </c>
      <c r="H1215" s="17">
        <v>78793189000104</v>
      </c>
      <c r="I1215" s="17">
        <v>9576274000106</v>
      </c>
      <c r="J1215" t="s">
        <v>17</v>
      </c>
      <c r="K1215" s="9" t="s">
        <v>4298</v>
      </c>
      <c r="L1215" t="s">
        <v>44</v>
      </c>
      <c r="M1215">
        <v>313188</v>
      </c>
      <c r="N1215" s="2" t="s">
        <v>584</v>
      </c>
      <c r="O1215" s="9" t="s">
        <v>4298</v>
      </c>
      <c r="P1215" t="s">
        <v>4299</v>
      </c>
      <c r="T1215" s="2"/>
      <c r="U1215" s="2" t="s">
        <v>718</v>
      </c>
    </row>
    <row r="1216" spans="1:21" x14ac:dyDescent="0.3">
      <c r="A1216">
        <v>269308</v>
      </c>
      <c r="B1216" t="s">
        <v>46</v>
      </c>
      <c r="C1216" t="s">
        <v>238</v>
      </c>
      <c r="D1216" t="s">
        <v>8</v>
      </c>
      <c r="E1216" s="1" t="s">
        <v>4300</v>
      </c>
      <c r="F1216">
        <v>24732114</v>
      </c>
      <c r="G1216" t="s">
        <v>4297</v>
      </c>
      <c r="H1216" s="17">
        <v>78793189000104</v>
      </c>
      <c r="I1216" s="17">
        <v>9576274000106</v>
      </c>
      <c r="J1216" t="s">
        <v>2</v>
      </c>
      <c r="K1216" s="9" t="s">
        <v>4301</v>
      </c>
      <c r="L1216" t="s">
        <v>44</v>
      </c>
      <c r="M1216">
        <v>313187</v>
      </c>
      <c r="N1216" s="2" t="s">
        <v>584</v>
      </c>
      <c r="O1216" s="9" t="s">
        <v>4301</v>
      </c>
      <c r="P1216" t="s">
        <v>4302</v>
      </c>
      <c r="T1216" s="2"/>
      <c r="U1216" s="2" t="s">
        <v>718</v>
      </c>
    </row>
    <row r="1217" spans="1:21" x14ac:dyDescent="0.3">
      <c r="A1217">
        <v>269308</v>
      </c>
      <c r="B1217" t="s">
        <v>46</v>
      </c>
      <c r="C1217" t="s">
        <v>203</v>
      </c>
      <c r="D1217" t="s">
        <v>11</v>
      </c>
      <c r="E1217" s="1" t="s">
        <v>4303</v>
      </c>
      <c r="F1217">
        <v>24731609</v>
      </c>
      <c r="G1217" t="s">
        <v>204</v>
      </c>
      <c r="H1217" s="17">
        <v>24187119000183</v>
      </c>
      <c r="I1217" s="17">
        <v>90739624000118</v>
      </c>
      <c r="J1217" t="s">
        <v>2</v>
      </c>
      <c r="K1217" s="9" t="s">
        <v>4304</v>
      </c>
      <c r="L1217" t="s">
        <v>44</v>
      </c>
      <c r="M1217">
        <v>310890</v>
      </c>
      <c r="N1217" s="2" t="s">
        <v>584</v>
      </c>
      <c r="O1217" s="9" t="s">
        <v>4304</v>
      </c>
      <c r="P1217" t="s">
        <v>4305</v>
      </c>
      <c r="T1217" s="2"/>
      <c r="U1217" s="2" t="s">
        <v>718</v>
      </c>
    </row>
    <row r="1218" spans="1:21" x14ac:dyDescent="0.3">
      <c r="A1218">
        <v>269308</v>
      </c>
      <c r="B1218" t="s">
        <v>46</v>
      </c>
      <c r="C1218" t="s">
        <v>158</v>
      </c>
      <c r="D1218" t="s">
        <v>61</v>
      </c>
      <c r="E1218" s="1" t="s">
        <v>4306</v>
      </c>
      <c r="F1218">
        <v>24731252</v>
      </c>
      <c r="G1218" t="s">
        <v>452</v>
      </c>
      <c r="H1218" s="17">
        <v>20169844000178</v>
      </c>
      <c r="I1218" s="17">
        <v>9576274000106</v>
      </c>
      <c r="J1218" t="s">
        <v>2</v>
      </c>
      <c r="K1218" s="9" t="s">
        <v>4307</v>
      </c>
      <c r="L1218" t="s">
        <v>44</v>
      </c>
      <c r="M1218">
        <v>27182</v>
      </c>
      <c r="N1218" s="2" t="s">
        <v>584</v>
      </c>
      <c r="O1218" s="9" t="s">
        <v>4307</v>
      </c>
      <c r="P1218" t="s">
        <v>4308</v>
      </c>
      <c r="T1218" s="2"/>
      <c r="U1218" s="2" t="s">
        <v>718</v>
      </c>
    </row>
    <row r="1219" spans="1:21" x14ac:dyDescent="0.3">
      <c r="A1219">
        <v>269308</v>
      </c>
      <c r="B1219" t="s">
        <v>46</v>
      </c>
      <c r="C1219" t="s">
        <v>468</v>
      </c>
      <c r="D1219" t="s">
        <v>25</v>
      </c>
      <c r="E1219" s="1" t="s">
        <v>4309</v>
      </c>
      <c r="F1219">
        <v>24731248</v>
      </c>
      <c r="G1219" t="s">
        <v>206</v>
      </c>
      <c r="H1219" s="17">
        <v>50128357000128</v>
      </c>
      <c r="I1219" s="17">
        <v>90739624003486</v>
      </c>
      <c r="J1219" t="s">
        <v>2</v>
      </c>
      <c r="K1219" s="9" t="s">
        <v>4310</v>
      </c>
      <c r="L1219" t="s">
        <v>44</v>
      </c>
      <c r="M1219">
        <v>144095</v>
      </c>
      <c r="N1219" s="2" t="s">
        <v>584</v>
      </c>
      <c r="O1219" s="9" t="s">
        <v>4310</v>
      </c>
      <c r="P1219" t="s">
        <v>4311</v>
      </c>
      <c r="T1219" s="2"/>
      <c r="U1219" s="2" t="s">
        <v>718</v>
      </c>
    </row>
    <row r="1220" spans="1:21" x14ac:dyDescent="0.3">
      <c r="A1220">
        <v>269308</v>
      </c>
      <c r="B1220" t="s">
        <v>46</v>
      </c>
      <c r="C1220" t="s">
        <v>677</v>
      </c>
      <c r="D1220" t="s">
        <v>61</v>
      </c>
      <c r="E1220" s="1" t="s">
        <v>4312</v>
      </c>
      <c r="F1220">
        <v>24731131</v>
      </c>
      <c r="G1220" t="s">
        <v>24</v>
      </c>
      <c r="H1220" s="17">
        <v>46472822000176</v>
      </c>
      <c r="I1220" s="17">
        <v>90739624000380</v>
      </c>
      <c r="J1220" t="s">
        <v>2</v>
      </c>
      <c r="K1220" s="9" t="s">
        <v>4313</v>
      </c>
      <c r="L1220" t="s">
        <v>44</v>
      </c>
      <c r="M1220">
        <v>22814</v>
      </c>
      <c r="N1220" s="2" t="s">
        <v>584</v>
      </c>
      <c r="O1220" s="9" t="s">
        <v>4314</v>
      </c>
      <c r="P1220" t="s">
        <v>4315</v>
      </c>
      <c r="T1220" s="2"/>
      <c r="U1220" s="2" t="s">
        <v>718</v>
      </c>
    </row>
    <row r="1221" spans="1:21" x14ac:dyDescent="0.3">
      <c r="A1221">
        <v>269308</v>
      </c>
      <c r="B1221" t="s">
        <v>46</v>
      </c>
      <c r="C1221" t="s">
        <v>39</v>
      </c>
      <c r="D1221" t="s">
        <v>18</v>
      </c>
      <c r="E1221" s="1" t="s">
        <v>4316</v>
      </c>
      <c r="F1221">
        <v>24730357</v>
      </c>
      <c r="G1221" t="s">
        <v>20</v>
      </c>
      <c r="H1221" s="17">
        <v>27751075017640</v>
      </c>
      <c r="I1221" s="17">
        <v>90739624000380</v>
      </c>
      <c r="J1221" t="s">
        <v>2</v>
      </c>
      <c r="K1221" s="9" t="s">
        <v>4317</v>
      </c>
      <c r="L1221" t="s">
        <v>44</v>
      </c>
      <c r="M1221">
        <v>699</v>
      </c>
      <c r="N1221" s="2" t="s">
        <v>584</v>
      </c>
      <c r="O1221" s="9" t="s">
        <v>4317</v>
      </c>
      <c r="P1221" t="s">
        <v>4318</v>
      </c>
      <c r="T1221" s="2"/>
      <c r="U1221" s="2" t="s">
        <v>718</v>
      </c>
    </row>
    <row r="1222" spans="1:21" x14ac:dyDescent="0.3">
      <c r="A1222">
        <v>269308</v>
      </c>
      <c r="B1222" t="s">
        <v>88</v>
      </c>
      <c r="C1222" t="s">
        <v>477</v>
      </c>
      <c r="D1222" t="s">
        <v>58</v>
      </c>
      <c r="E1222" s="1" t="s">
        <v>4319</v>
      </c>
      <c r="F1222">
        <v>24724958</v>
      </c>
      <c r="G1222" t="s">
        <v>309</v>
      </c>
      <c r="H1222" s="17">
        <v>7473735017661</v>
      </c>
      <c r="I1222" s="17"/>
      <c r="J1222" t="s">
        <v>2</v>
      </c>
      <c r="K1222" s="9" t="s">
        <v>4320</v>
      </c>
      <c r="L1222" t="s">
        <v>87</v>
      </c>
      <c r="N1222" s="2"/>
      <c r="O1222" s="9"/>
      <c r="T1222" s="2"/>
      <c r="U1222" s="2" t="s">
        <v>718</v>
      </c>
    </row>
    <row r="1223" spans="1:21" x14ac:dyDescent="0.3">
      <c r="E1223" s="1"/>
      <c r="H1223" s="17"/>
      <c r="I1223" s="17"/>
      <c r="K1223" s="9"/>
      <c r="N1223" s="2"/>
      <c r="O1223" s="9"/>
      <c r="T1223" s="2"/>
      <c r="U1223" s="2"/>
    </row>
    <row r="1224" spans="1:21" x14ac:dyDescent="0.3">
      <c r="E1224" s="1"/>
      <c r="H1224" s="17"/>
      <c r="I1224" s="17"/>
      <c r="K1224" s="9"/>
      <c r="N1224" s="2"/>
      <c r="O1224" s="9"/>
      <c r="T1224" s="2"/>
      <c r="U1224" s="2"/>
    </row>
    <row r="1225" spans="1:21" x14ac:dyDescent="0.3">
      <c r="E1225" s="1"/>
      <c r="H1225" s="17"/>
      <c r="I1225" s="17"/>
      <c r="K1225" s="9"/>
      <c r="N1225" s="2"/>
      <c r="O1225" s="9"/>
      <c r="T1225" s="2"/>
      <c r="U1225" s="2"/>
    </row>
    <row r="1226" spans="1:21" x14ac:dyDescent="0.3">
      <c r="E1226" s="1"/>
      <c r="H1226" s="17"/>
      <c r="I1226" s="17"/>
      <c r="K1226" s="9"/>
      <c r="N1226" s="2"/>
      <c r="O1226" s="9"/>
      <c r="T1226" s="2"/>
      <c r="U1226" s="2"/>
    </row>
    <row r="1227" spans="1:21" x14ac:dyDescent="0.3">
      <c r="E1227" s="1"/>
      <c r="H1227" s="17"/>
      <c r="I1227" s="17"/>
      <c r="K1227" s="9"/>
      <c r="N1227" s="2"/>
      <c r="O1227" s="9"/>
      <c r="T1227" s="2"/>
      <c r="U1227" s="2"/>
    </row>
    <row r="1228" spans="1:21" x14ac:dyDescent="0.3">
      <c r="E1228" s="1"/>
      <c r="H1228" s="17"/>
      <c r="I1228" s="17"/>
      <c r="K1228" s="9"/>
      <c r="N1228" s="2"/>
      <c r="O1228" s="9"/>
      <c r="T1228" s="2"/>
      <c r="U1228" s="2"/>
    </row>
    <row r="1229" spans="1:21" x14ac:dyDescent="0.3">
      <c r="E1229" s="1"/>
      <c r="H1229" s="17"/>
      <c r="I1229" s="17"/>
      <c r="K1229" s="9"/>
      <c r="N1229" s="2"/>
      <c r="O1229" s="9"/>
      <c r="T1229" s="2"/>
      <c r="U1229" s="2"/>
    </row>
    <row r="1230" spans="1:21" x14ac:dyDescent="0.3">
      <c r="E1230" s="1"/>
      <c r="H1230" s="17"/>
      <c r="I1230" s="17"/>
      <c r="K1230" s="9"/>
      <c r="N1230" s="2"/>
      <c r="O1230" s="9"/>
      <c r="T1230" s="2"/>
      <c r="U1230" s="2"/>
    </row>
    <row r="1231" spans="1:21" x14ac:dyDescent="0.3">
      <c r="E1231" s="1"/>
      <c r="H1231" s="17"/>
      <c r="I1231" s="17"/>
      <c r="K1231" s="9"/>
      <c r="N1231" s="2"/>
      <c r="O1231" s="9"/>
      <c r="T1231" s="2"/>
      <c r="U1231" s="2"/>
    </row>
    <row r="1232" spans="1:21" x14ac:dyDescent="0.3">
      <c r="E1232" s="1"/>
      <c r="H1232" s="17"/>
      <c r="I1232" s="17"/>
      <c r="K1232" s="9"/>
      <c r="N1232" s="2"/>
      <c r="O1232" s="9"/>
      <c r="T1232" s="2"/>
      <c r="U1232" s="2"/>
    </row>
    <row r="1233" spans="5:21" x14ac:dyDescent="0.3">
      <c r="E1233" s="1"/>
      <c r="H1233" s="17"/>
      <c r="I1233" s="17"/>
      <c r="K1233" s="9"/>
      <c r="N1233" s="2"/>
      <c r="O1233" s="9"/>
      <c r="T1233" s="2"/>
      <c r="U1233" s="2"/>
    </row>
    <row r="1234" spans="5:21" x14ac:dyDescent="0.3">
      <c r="E1234" s="1"/>
      <c r="H1234" s="17"/>
      <c r="I1234" s="17"/>
      <c r="K1234" s="9"/>
      <c r="N1234" s="2"/>
      <c r="O1234" s="9"/>
      <c r="T1234" s="2"/>
      <c r="U1234" s="2"/>
    </row>
    <row r="1235" spans="5:21" x14ac:dyDescent="0.3">
      <c r="E1235" s="1"/>
      <c r="H1235" s="17"/>
      <c r="I1235" s="17"/>
      <c r="K1235" s="9"/>
      <c r="N1235" s="2"/>
      <c r="O1235" s="9"/>
      <c r="T1235" s="2"/>
      <c r="U1235" s="2"/>
    </row>
    <row r="1236" spans="5:21" x14ac:dyDescent="0.3">
      <c r="E1236" s="1"/>
      <c r="H1236" s="17"/>
      <c r="I1236" s="17"/>
      <c r="K1236" s="9"/>
      <c r="N1236" s="2"/>
      <c r="O1236" s="9"/>
      <c r="T1236" s="2"/>
      <c r="U1236" s="2"/>
    </row>
    <row r="1237" spans="5:21" x14ac:dyDescent="0.3">
      <c r="E1237" s="1"/>
      <c r="H1237" s="17"/>
      <c r="I1237" s="17"/>
      <c r="K1237" s="9"/>
      <c r="N1237" s="2"/>
      <c r="O1237" s="9"/>
      <c r="T1237" s="2"/>
      <c r="U1237" s="2"/>
    </row>
    <row r="1238" spans="5:21" x14ac:dyDescent="0.3">
      <c r="E1238" s="1"/>
      <c r="H1238" s="17"/>
      <c r="I1238" s="17"/>
      <c r="K1238" s="9"/>
      <c r="N1238" s="2"/>
      <c r="O1238" s="9"/>
      <c r="T1238" s="2"/>
      <c r="U1238" s="2"/>
    </row>
    <row r="1239" spans="5:21" x14ac:dyDescent="0.3">
      <c r="E1239" s="1"/>
      <c r="H1239" s="17"/>
      <c r="I1239" s="17"/>
      <c r="K1239" s="9"/>
      <c r="N1239" s="2"/>
      <c r="O1239" s="9"/>
      <c r="T1239" s="2"/>
      <c r="U1239" s="2"/>
    </row>
    <row r="1240" spans="5:21" x14ac:dyDescent="0.3">
      <c r="E1240" s="1"/>
      <c r="H1240" s="17"/>
      <c r="I1240" s="17"/>
      <c r="K1240" s="9"/>
      <c r="N1240" s="2"/>
      <c r="O1240" s="9"/>
      <c r="T1240" s="2"/>
      <c r="U1240" s="2"/>
    </row>
    <row r="1241" spans="5:21" x14ac:dyDescent="0.3">
      <c r="E1241" s="1"/>
      <c r="H1241" s="17"/>
      <c r="I1241" s="17"/>
      <c r="K1241" s="9"/>
      <c r="N1241" s="2"/>
      <c r="O1241" s="9"/>
      <c r="T1241" s="2"/>
      <c r="U1241" s="2"/>
    </row>
    <row r="1242" spans="5:21" x14ac:dyDescent="0.3">
      <c r="E1242" s="1"/>
      <c r="H1242" s="17"/>
      <c r="I1242" s="17"/>
      <c r="K1242" s="9"/>
      <c r="N1242" s="2"/>
      <c r="O1242" s="9"/>
      <c r="T1242" s="2"/>
      <c r="U1242" s="2"/>
    </row>
    <row r="1243" spans="5:21" x14ac:dyDescent="0.3">
      <c r="E1243" s="1"/>
      <c r="H1243" s="17"/>
      <c r="I1243" s="17"/>
      <c r="K1243" s="9"/>
      <c r="N1243" s="2"/>
      <c r="O1243" s="9"/>
      <c r="T1243" s="2"/>
      <c r="U1243" s="2"/>
    </row>
    <row r="1244" spans="5:21" x14ac:dyDescent="0.3">
      <c r="E1244" s="1"/>
      <c r="H1244" s="17"/>
      <c r="I1244" s="17"/>
      <c r="K1244" s="9"/>
      <c r="N1244" s="2"/>
      <c r="O1244" s="9"/>
      <c r="T1244" s="2"/>
      <c r="U1244" s="2"/>
    </row>
    <row r="1245" spans="5:21" x14ac:dyDescent="0.3">
      <c r="E1245" s="1"/>
      <c r="H1245" s="17"/>
      <c r="I1245" s="17"/>
      <c r="K1245" s="9"/>
      <c r="N1245" s="2"/>
      <c r="O1245" s="9"/>
      <c r="T1245" s="2"/>
      <c r="U1245" s="2"/>
    </row>
    <row r="1246" spans="5:21" x14ac:dyDescent="0.3">
      <c r="E1246" s="1"/>
      <c r="H1246" s="17"/>
      <c r="I1246" s="17"/>
      <c r="K1246" s="9"/>
      <c r="N1246" s="2"/>
      <c r="O1246" s="9"/>
      <c r="T1246" s="2"/>
      <c r="U1246" s="2"/>
    </row>
    <row r="1247" spans="5:21" x14ac:dyDescent="0.3">
      <c r="E1247" s="1"/>
      <c r="H1247" s="17"/>
      <c r="I1247" s="17"/>
      <c r="K1247" s="9"/>
      <c r="N1247" s="2"/>
      <c r="O1247" s="9"/>
      <c r="T1247" s="2"/>
      <c r="U1247" s="2"/>
    </row>
    <row r="1248" spans="5:21" x14ac:dyDescent="0.3">
      <c r="E1248" s="1"/>
      <c r="H1248" s="17"/>
      <c r="I1248" s="17"/>
      <c r="K1248" s="9"/>
      <c r="N1248" s="2"/>
      <c r="O1248" s="9"/>
      <c r="T1248" s="2"/>
      <c r="U1248" s="2"/>
    </row>
    <row r="1249" spans="5:21" x14ac:dyDescent="0.3">
      <c r="E1249" s="1"/>
      <c r="H1249" s="17"/>
      <c r="I1249" s="17"/>
      <c r="K1249" s="9"/>
      <c r="N1249" s="2"/>
      <c r="O1249" s="9"/>
      <c r="T1249" s="2"/>
      <c r="U1249" s="2"/>
    </row>
    <row r="1250" spans="5:21" x14ac:dyDescent="0.3">
      <c r="E1250" s="1"/>
      <c r="H1250" s="17"/>
      <c r="I1250" s="17"/>
      <c r="K1250" s="9"/>
      <c r="N1250" s="2"/>
      <c r="O1250" s="9"/>
      <c r="T1250" s="2"/>
      <c r="U1250" s="2"/>
    </row>
    <row r="1251" spans="5:21" x14ac:dyDescent="0.3">
      <c r="E1251" s="1"/>
      <c r="H1251" s="17"/>
      <c r="I1251" s="17"/>
      <c r="K1251" s="9"/>
      <c r="N1251" s="2"/>
      <c r="O1251" s="9"/>
      <c r="T1251" s="2"/>
      <c r="U1251" s="2"/>
    </row>
    <row r="1252" spans="5:21" x14ac:dyDescent="0.3">
      <c r="E1252" s="1"/>
      <c r="H1252" s="17"/>
      <c r="I1252" s="17"/>
      <c r="K1252" s="9"/>
      <c r="N1252" s="2"/>
      <c r="O1252" s="9"/>
      <c r="T1252" s="2"/>
      <c r="U1252" s="2"/>
    </row>
    <row r="1253" spans="5:21" x14ac:dyDescent="0.3">
      <c r="E1253" s="1"/>
      <c r="H1253" s="17"/>
      <c r="I1253" s="17"/>
      <c r="K1253" s="9"/>
      <c r="N1253" s="2"/>
      <c r="O1253" s="9"/>
      <c r="T1253" s="2"/>
      <c r="U1253" s="2"/>
    </row>
    <row r="1254" spans="5:21" x14ac:dyDescent="0.3">
      <c r="E1254" s="1"/>
      <c r="H1254" s="17"/>
      <c r="I1254" s="17"/>
      <c r="K1254" s="9"/>
      <c r="N1254" s="2"/>
      <c r="O1254" s="9"/>
      <c r="T1254" s="2"/>
      <c r="U1254" s="2"/>
    </row>
    <row r="1255" spans="5:21" x14ac:dyDescent="0.3">
      <c r="E1255" s="1"/>
      <c r="H1255" s="17"/>
      <c r="I1255" s="17"/>
      <c r="K1255" s="9"/>
      <c r="N1255" s="2"/>
      <c r="O1255" s="9"/>
      <c r="T1255" s="2"/>
      <c r="U1255" s="2"/>
    </row>
    <row r="1256" spans="5:21" x14ac:dyDescent="0.3">
      <c r="E1256" s="1"/>
      <c r="H1256" s="17"/>
      <c r="I1256" s="17"/>
      <c r="K1256" s="9"/>
      <c r="N1256" s="2"/>
      <c r="O1256" s="9"/>
      <c r="T1256" s="2"/>
      <c r="U1256" s="2"/>
    </row>
    <row r="1257" spans="5:21" x14ac:dyDescent="0.3">
      <c r="E1257" s="1"/>
      <c r="H1257" s="17"/>
      <c r="I1257" s="17"/>
      <c r="K1257" s="9"/>
      <c r="N1257" s="2"/>
      <c r="O1257" s="9"/>
      <c r="T1257" s="2"/>
      <c r="U1257" s="2"/>
    </row>
    <row r="1258" spans="5:21" x14ac:dyDescent="0.3">
      <c r="E1258" s="1"/>
      <c r="H1258" s="17"/>
      <c r="I1258" s="17"/>
      <c r="K1258" s="9"/>
      <c r="N1258" s="2"/>
      <c r="O1258" s="9"/>
      <c r="T1258" s="2"/>
      <c r="U1258" s="2"/>
    </row>
    <row r="1259" spans="5:21" x14ac:dyDescent="0.3">
      <c r="E1259" s="1"/>
      <c r="H1259" s="17"/>
      <c r="I1259" s="17"/>
      <c r="K1259" s="9"/>
      <c r="N1259" s="2"/>
      <c r="O1259" s="9"/>
      <c r="T1259" s="2"/>
      <c r="U1259" s="2"/>
    </row>
    <row r="1260" spans="5:21" x14ac:dyDescent="0.3">
      <c r="E1260" s="1"/>
      <c r="H1260" s="17"/>
      <c r="I1260" s="17"/>
      <c r="K1260" s="9"/>
      <c r="N1260" s="2"/>
      <c r="O1260" s="9"/>
      <c r="T1260" s="2"/>
      <c r="U1260" s="2"/>
    </row>
    <row r="1261" spans="5:21" x14ac:dyDescent="0.3">
      <c r="E1261" s="1"/>
      <c r="H1261" s="17"/>
      <c r="I1261" s="17"/>
      <c r="K1261" s="9"/>
      <c r="N1261" s="2"/>
      <c r="O1261" s="9"/>
      <c r="T1261" s="2"/>
      <c r="U1261" s="2"/>
    </row>
    <row r="1262" spans="5:21" x14ac:dyDescent="0.3">
      <c r="E1262" s="1"/>
      <c r="H1262" s="17"/>
      <c r="I1262" s="17"/>
      <c r="K1262" s="9"/>
      <c r="N1262" s="2"/>
      <c r="O1262" s="9"/>
      <c r="T1262" s="2"/>
      <c r="U1262" s="2"/>
    </row>
    <row r="1263" spans="5:21" x14ac:dyDescent="0.3">
      <c r="E1263" s="1"/>
      <c r="H1263" s="17"/>
      <c r="I1263" s="17"/>
      <c r="K1263" s="9"/>
      <c r="N1263" s="2"/>
      <c r="O1263" s="9"/>
      <c r="T1263" s="2"/>
      <c r="U1263" s="2"/>
    </row>
    <row r="1264" spans="5:21" x14ac:dyDescent="0.3">
      <c r="E1264" s="1"/>
      <c r="H1264" s="17"/>
      <c r="I1264" s="17"/>
      <c r="K1264" s="9"/>
      <c r="N1264" s="2"/>
      <c r="O1264" s="9"/>
      <c r="T1264" s="2"/>
      <c r="U1264" s="2"/>
    </row>
    <row r="1265" spans="5:21" x14ac:dyDescent="0.3">
      <c r="E1265" s="1"/>
      <c r="H1265" s="17"/>
      <c r="I1265" s="17"/>
      <c r="K1265" s="9"/>
      <c r="N1265" s="2"/>
      <c r="O1265" s="9"/>
      <c r="T1265" s="2"/>
      <c r="U1265" s="2"/>
    </row>
    <row r="1266" spans="5:21" x14ac:dyDescent="0.3">
      <c r="E1266" s="1"/>
      <c r="H1266" s="17"/>
      <c r="I1266" s="17"/>
      <c r="K1266" s="9"/>
      <c r="N1266" s="2"/>
      <c r="O1266" s="9"/>
      <c r="T1266" s="2"/>
      <c r="U1266" s="2"/>
    </row>
    <row r="1267" spans="5:21" x14ac:dyDescent="0.3">
      <c r="E1267" s="1"/>
      <c r="H1267" s="17"/>
      <c r="I1267" s="17"/>
      <c r="K1267" s="9"/>
      <c r="N1267" s="2"/>
      <c r="O1267" s="9"/>
      <c r="T1267" s="2"/>
      <c r="U1267" s="2"/>
    </row>
    <row r="1268" spans="5:21" x14ac:dyDescent="0.3">
      <c r="E1268" s="1"/>
      <c r="H1268" s="17"/>
      <c r="I1268" s="17"/>
      <c r="K1268" s="9"/>
      <c r="N1268" s="2"/>
      <c r="O1268" s="9"/>
      <c r="T1268" s="2"/>
      <c r="U1268" s="2"/>
    </row>
    <row r="1269" spans="5:21" x14ac:dyDescent="0.3">
      <c r="E1269" s="1"/>
      <c r="H1269" s="17"/>
      <c r="I1269" s="17"/>
      <c r="K1269" s="9"/>
      <c r="N1269" s="2"/>
      <c r="O1269" s="9"/>
      <c r="T1269" s="2"/>
      <c r="U1269" s="2"/>
    </row>
    <row r="1270" spans="5:21" x14ac:dyDescent="0.3">
      <c r="E1270" s="1"/>
      <c r="H1270" s="17"/>
      <c r="I1270" s="17"/>
      <c r="K1270" s="9"/>
      <c r="N1270" s="2"/>
      <c r="O1270" s="9"/>
      <c r="T1270" s="2"/>
      <c r="U1270" s="2"/>
    </row>
    <row r="1271" spans="5:21" x14ac:dyDescent="0.3">
      <c r="E1271" s="1"/>
      <c r="H1271" s="17"/>
      <c r="I1271" s="17"/>
      <c r="K1271" s="9"/>
      <c r="N1271" s="2"/>
      <c r="O1271" s="9"/>
      <c r="T1271" s="2"/>
      <c r="U1271" s="2"/>
    </row>
    <row r="1272" spans="5:21" x14ac:dyDescent="0.3">
      <c r="E1272" s="1"/>
      <c r="H1272" s="17"/>
      <c r="I1272" s="17"/>
      <c r="K1272" s="9"/>
      <c r="N1272" s="2"/>
      <c r="O1272" s="9"/>
      <c r="T1272" s="2"/>
      <c r="U1272" s="2"/>
    </row>
    <row r="1273" spans="5:21" x14ac:dyDescent="0.3">
      <c r="E1273" s="1"/>
      <c r="H1273" s="17"/>
      <c r="I1273" s="17"/>
      <c r="K1273" s="9"/>
      <c r="N1273" s="2"/>
      <c r="O1273" s="9"/>
      <c r="T1273" s="2"/>
      <c r="U1273" s="2"/>
    </row>
    <row r="1274" spans="5:21" x14ac:dyDescent="0.3">
      <c r="E1274" s="1"/>
      <c r="H1274" s="17"/>
      <c r="I1274" s="17"/>
      <c r="K1274" s="9"/>
      <c r="N1274" s="2"/>
      <c r="O1274" s="9"/>
      <c r="T1274" s="2"/>
      <c r="U1274" s="2"/>
    </row>
    <row r="1275" spans="5:21" x14ac:dyDescent="0.3">
      <c r="E1275" s="1"/>
      <c r="H1275" s="17"/>
      <c r="I1275" s="17"/>
      <c r="K1275" s="9"/>
      <c r="N1275" s="2"/>
      <c r="O1275" s="9"/>
      <c r="T1275" s="2"/>
      <c r="U1275" s="2"/>
    </row>
    <row r="1276" spans="5:21" x14ac:dyDescent="0.3">
      <c r="E1276" s="1"/>
      <c r="H1276" s="17"/>
      <c r="I1276" s="17"/>
      <c r="K1276" s="9"/>
      <c r="N1276" s="2"/>
      <c r="O1276" s="9"/>
      <c r="T1276" s="2"/>
      <c r="U1276" s="2"/>
    </row>
    <row r="1277" spans="5:21" x14ac:dyDescent="0.3">
      <c r="E1277" s="1"/>
      <c r="H1277" s="17"/>
      <c r="I1277" s="17"/>
      <c r="K1277" s="9"/>
      <c r="N1277" s="2"/>
      <c r="O1277" s="9"/>
      <c r="T1277" s="2"/>
      <c r="U1277" s="2"/>
    </row>
    <row r="1278" spans="5:21" x14ac:dyDescent="0.3">
      <c r="E1278" s="1"/>
      <c r="H1278" s="17"/>
      <c r="I1278" s="17"/>
      <c r="K1278" s="9"/>
      <c r="N1278" s="2"/>
      <c r="O1278" s="9"/>
      <c r="T1278" s="2"/>
      <c r="U1278" s="2"/>
    </row>
    <row r="1279" spans="5:21" x14ac:dyDescent="0.3">
      <c r="E1279" s="1"/>
      <c r="H1279" s="17"/>
      <c r="I1279" s="17"/>
      <c r="K1279" s="9"/>
      <c r="N1279" s="2"/>
      <c r="O1279" s="9"/>
      <c r="T1279" s="2"/>
      <c r="U1279" s="2"/>
    </row>
    <row r="1280" spans="5:21" x14ac:dyDescent="0.3">
      <c r="E1280" s="1"/>
      <c r="H1280" s="17"/>
      <c r="I1280" s="17"/>
      <c r="K1280" s="9"/>
      <c r="N1280" s="2"/>
      <c r="O1280" s="9"/>
      <c r="T1280" s="2"/>
      <c r="U1280" s="2"/>
    </row>
    <row r="1281" spans="5:21" x14ac:dyDescent="0.3">
      <c r="E1281" s="1"/>
      <c r="H1281" s="17"/>
      <c r="I1281" s="17"/>
      <c r="K1281" s="9"/>
      <c r="N1281" s="2"/>
      <c r="O1281" s="9"/>
      <c r="T1281" s="2"/>
      <c r="U1281" s="2"/>
    </row>
    <row r="1282" spans="5:21" x14ac:dyDescent="0.3">
      <c r="E1282" s="1"/>
      <c r="H1282" s="17"/>
      <c r="I1282" s="17"/>
      <c r="K1282" s="9"/>
      <c r="N1282" s="2"/>
      <c r="O1282" s="9"/>
      <c r="T1282" s="2"/>
      <c r="U1282" s="2"/>
    </row>
    <row r="1283" spans="5:21" x14ac:dyDescent="0.3">
      <c r="E1283" s="1"/>
      <c r="H1283" s="17"/>
      <c r="I1283" s="17"/>
      <c r="K1283" s="9"/>
      <c r="N1283" s="2"/>
      <c r="O1283" s="9"/>
      <c r="T1283" s="2"/>
      <c r="U1283" s="2"/>
    </row>
    <row r="1284" spans="5:21" x14ac:dyDescent="0.3">
      <c r="E1284" s="1"/>
      <c r="H1284" s="17"/>
      <c r="I1284" s="17"/>
      <c r="K1284" s="9"/>
      <c r="N1284" s="2"/>
      <c r="O1284" s="9"/>
      <c r="T1284" s="2"/>
      <c r="U1284" s="2"/>
    </row>
    <row r="1285" spans="5:21" x14ac:dyDescent="0.3">
      <c r="E1285" s="1"/>
      <c r="H1285" s="17"/>
      <c r="I1285" s="17"/>
      <c r="K1285" s="9"/>
      <c r="N1285" s="2"/>
      <c r="O1285" s="9"/>
      <c r="T1285" s="2"/>
      <c r="U1285" s="2"/>
    </row>
    <row r="1286" spans="5:21" x14ac:dyDescent="0.3">
      <c r="E1286" s="1"/>
      <c r="H1286" s="17"/>
      <c r="I1286" s="17"/>
      <c r="K1286" s="9"/>
      <c r="N1286" s="2"/>
      <c r="O1286" s="9"/>
      <c r="T1286" s="2"/>
      <c r="U1286" s="2"/>
    </row>
    <row r="1287" spans="5:21" x14ac:dyDescent="0.3">
      <c r="E1287" s="1"/>
      <c r="H1287" s="17"/>
      <c r="I1287" s="17"/>
      <c r="K1287" s="9"/>
      <c r="N1287" s="2"/>
      <c r="O1287" s="9"/>
      <c r="T1287" s="2"/>
      <c r="U1287" s="2"/>
    </row>
    <row r="1288" spans="5:21" x14ac:dyDescent="0.3">
      <c r="E1288" s="1"/>
      <c r="H1288" s="17"/>
      <c r="I1288" s="17"/>
      <c r="K1288" s="9"/>
      <c r="N1288" s="2"/>
      <c r="O1288" s="9"/>
      <c r="T1288" s="2"/>
      <c r="U1288" s="2"/>
    </row>
    <row r="1289" spans="5:21" x14ac:dyDescent="0.3">
      <c r="E1289" s="1"/>
      <c r="H1289" s="17"/>
      <c r="I1289" s="17"/>
      <c r="K1289" s="9"/>
      <c r="N1289" s="2"/>
      <c r="O1289" s="9"/>
      <c r="T1289" s="2"/>
      <c r="U1289" s="2"/>
    </row>
    <row r="1290" spans="5:21" x14ac:dyDescent="0.3">
      <c r="E1290" s="1"/>
      <c r="H1290" s="17"/>
      <c r="I1290" s="17"/>
      <c r="K1290" s="9"/>
      <c r="N1290" s="2"/>
      <c r="O1290" s="9"/>
      <c r="T1290" s="2"/>
      <c r="U1290" s="2"/>
    </row>
    <row r="1291" spans="5:21" x14ac:dyDescent="0.3">
      <c r="E1291" s="1"/>
      <c r="H1291" s="17"/>
      <c r="I1291" s="17"/>
      <c r="K1291" s="9"/>
      <c r="N1291" s="2"/>
      <c r="O1291" s="9"/>
      <c r="T1291" s="2"/>
      <c r="U1291" s="2"/>
    </row>
    <row r="1292" spans="5:21" x14ac:dyDescent="0.3">
      <c r="E1292" s="1"/>
      <c r="H1292" s="17"/>
      <c r="I1292" s="17"/>
      <c r="K1292" s="9"/>
      <c r="N1292" s="2"/>
      <c r="O1292" s="9"/>
      <c r="T1292" s="2"/>
      <c r="U1292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B873-ACF5-4849-8C4F-8337897410E4}">
  <dimension ref="A1:I32"/>
  <sheetViews>
    <sheetView workbookViewId="0">
      <pane ySplit="2" topLeftCell="A3" activePane="bottomLeft" state="frozen"/>
      <selection pane="bottomLeft" activeCell="A12" sqref="A12"/>
    </sheetView>
  </sheetViews>
  <sheetFormatPr defaultRowHeight="14.4" x14ac:dyDescent="0.3"/>
  <cols>
    <col min="1" max="1" width="29.6640625" customWidth="1"/>
    <col min="2" max="2" width="23.109375" customWidth="1"/>
    <col min="3" max="3" width="22.21875" customWidth="1"/>
    <col min="4" max="4" width="24.109375" customWidth="1"/>
    <col min="5" max="5" width="21.33203125" customWidth="1"/>
    <col min="6" max="6" width="20.33203125" customWidth="1"/>
    <col min="7" max="8" width="24.109375" customWidth="1"/>
    <col min="9" max="9" width="15.77734375" customWidth="1"/>
  </cols>
  <sheetData>
    <row r="1" spans="1:9" ht="19.95" customHeight="1" x14ac:dyDescent="0.3">
      <c r="A1" s="4" t="s">
        <v>438</v>
      </c>
      <c r="B1" s="29" t="s">
        <v>444</v>
      </c>
      <c r="C1" s="29"/>
      <c r="D1" s="29"/>
      <c r="E1" s="30" t="s">
        <v>445</v>
      </c>
      <c r="F1" s="30"/>
      <c r="G1" s="30"/>
      <c r="H1" s="4"/>
      <c r="I1" s="4"/>
    </row>
    <row r="2" spans="1:9" ht="22.05" customHeight="1" x14ac:dyDescent="0.3">
      <c r="A2" s="14"/>
      <c r="B2" s="24" t="s">
        <v>446</v>
      </c>
      <c r="C2" s="24" t="s">
        <v>439</v>
      </c>
      <c r="D2" s="24" t="s">
        <v>447</v>
      </c>
      <c r="E2" s="25" t="s">
        <v>448</v>
      </c>
      <c r="F2" s="25" t="s">
        <v>449</v>
      </c>
      <c r="G2" s="25" t="s">
        <v>450</v>
      </c>
      <c r="H2" s="14" t="s">
        <v>451</v>
      </c>
      <c r="I2" s="14" t="s">
        <v>440</v>
      </c>
    </row>
    <row r="3" spans="1:9" x14ac:dyDescent="0.3">
      <c r="A3" s="18" t="s">
        <v>170</v>
      </c>
      <c r="B3" s="20">
        <f>SUMIFS(Contabilidade!$M:$M,Contabilidade!$B:$B,A3,Contabilidade!$X:$X,"1. Com nota fiscal recolhida")</f>
        <v>18543.189999999999</v>
      </c>
      <c r="C3" s="20">
        <f>SUMIFS(Contabilidade!$M:$M,Contabilidade!$B:$B,A3,Contabilidade!$X:$X,"4. Crédito de estorno (desconto)")</f>
        <v>0</v>
      </c>
      <c r="D3" s="20">
        <f t="shared" ref="D3:D31" si="0">B3+C3</f>
        <v>18543.189999999999</v>
      </c>
      <c r="E3" s="20">
        <f>SUMIFS(Contabilidade!$M:$M,Contabilidade!$B:$B,A3,Contabilidade!$X:$X,"2. Abastecimento cancelado (sem nota)")</f>
        <v>0</v>
      </c>
      <c r="F3" s="20">
        <f>SUMIFS(Contabilidade!$M:$M,Contabilidade!$B:$B,A3,Contabilidade!$X:$X,"3. Sem nota fiscal")</f>
        <v>185.25</v>
      </c>
      <c r="G3" s="20">
        <f t="shared" ref="G3:G31" si="1">E3+F3</f>
        <v>185.25</v>
      </c>
      <c r="H3" s="20">
        <f t="shared" ref="H3:H31" si="2">D3+G3</f>
        <v>18728.439999999999</v>
      </c>
      <c r="I3" s="21">
        <f t="shared" ref="I3:I31" si="3">IF(H$32&lt;&gt;0,H3/H$32,0)</f>
        <v>4.2259496864312053E-2</v>
      </c>
    </row>
    <row r="4" spans="1:9" x14ac:dyDescent="0.3">
      <c r="A4" s="19" t="s">
        <v>36</v>
      </c>
      <c r="B4" s="10">
        <f>SUMIFS(Contabilidade!$M:$M,Contabilidade!$B:$B,A4,Contabilidade!$X:$X,"1. Com nota fiscal recolhida")</f>
        <v>6122.22</v>
      </c>
      <c r="C4" s="10">
        <f>SUMIFS(Contabilidade!$M:$M,Contabilidade!$B:$B,A4,Contabilidade!$X:$X,"4. Crédito de estorno (desconto)")</f>
        <v>0</v>
      </c>
      <c r="D4" s="10">
        <f t="shared" si="0"/>
        <v>6122.22</v>
      </c>
      <c r="E4" s="10">
        <f>SUMIFS(Contabilidade!$M:$M,Contabilidade!$B:$B,A4,Contabilidade!$X:$X,"2. Abastecimento cancelado (sem nota)")</f>
        <v>0</v>
      </c>
      <c r="F4" s="10">
        <f>SUMIFS(Contabilidade!$M:$M,Contabilidade!$B:$B,A4,Contabilidade!$X:$X,"3. Sem nota fiscal")</f>
        <v>268.52</v>
      </c>
      <c r="G4" s="10">
        <f t="shared" si="1"/>
        <v>268.52</v>
      </c>
      <c r="H4" s="10">
        <f t="shared" si="2"/>
        <v>6390.74</v>
      </c>
      <c r="I4" s="22">
        <f t="shared" si="3"/>
        <v>1.4420285778774614E-2</v>
      </c>
    </row>
    <row r="5" spans="1:9" x14ac:dyDescent="0.3">
      <c r="A5" s="18" t="s">
        <v>31</v>
      </c>
      <c r="B5" s="20">
        <f>SUMIFS(Contabilidade!$M:$M,Contabilidade!$B:$B,A5,Contabilidade!$X:$X,"1. Com nota fiscal recolhida")</f>
        <v>9370.68</v>
      </c>
      <c r="C5" s="20">
        <f>SUMIFS(Contabilidade!$M:$M,Contabilidade!$B:$B,A5,Contabilidade!$X:$X,"4. Crédito de estorno (desconto)")</f>
        <v>-285.67</v>
      </c>
      <c r="D5" s="20">
        <f t="shared" si="0"/>
        <v>9085.01</v>
      </c>
      <c r="E5" s="20">
        <f>SUMIFS(Contabilidade!$M:$M,Contabilidade!$B:$B,A5,Contabilidade!$X:$X,"2. Abastecimento cancelado (sem nota)")</f>
        <v>0</v>
      </c>
      <c r="F5" s="20">
        <f>SUMIFS(Contabilidade!$M:$M,Contabilidade!$B:$B,A5,Contabilidade!$X:$X,"3. Sem nota fiscal")</f>
        <v>766.29</v>
      </c>
      <c r="G5" s="20">
        <f t="shared" si="1"/>
        <v>766.29</v>
      </c>
      <c r="H5" s="20">
        <f t="shared" si="2"/>
        <v>9851.2999999999993</v>
      </c>
      <c r="I5" s="21">
        <f t="shared" si="3"/>
        <v>2.2228812515051832E-2</v>
      </c>
    </row>
    <row r="6" spans="1:9" x14ac:dyDescent="0.3">
      <c r="A6" s="19" t="s">
        <v>13</v>
      </c>
      <c r="B6" s="10">
        <f>SUMIFS(Contabilidade!$M:$M,Contabilidade!$B:$B,A6,Contabilidade!$X:$X,"1. Com nota fiscal recolhida")</f>
        <v>11931.650000000001</v>
      </c>
      <c r="C6" s="10">
        <f>SUMIFS(Contabilidade!$M:$M,Contabilidade!$B:$B,A6,Contabilidade!$X:$X,"4. Crédito de estorno (desconto)")</f>
        <v>0</v>
      </c>
      <c r="D6" s="10">
        <f t="shared" si="0"/>
        <v>11931.650000000001</v>
      </c>
      <c r="E6" s="10">
        <f>SUMIFS(Contabilidade!$M:$M,Contabilidade!$B:$B,A6,Contabilidade!$X:$X,"2. Abastecimento cancelado (sem nota)")</f>
        <v>0</v>
      </c>
      <c r="F6" s="10">
        <f>SUMIFS(Contabilidade!$M:$M,Contabilidade!$B:$B,A6,Contabilidade!$X:$X,"3. Sem nota fiscal")</f>
        <v>2027</v>
      </c>
      <c r="G6" s="10">
        <f t="shared" si="1"/>
        <v>2027</v>
      </c>
      <c r="H6" s="10">
        <f t="shared" si="2"/>
        <v>13958.650000000001</v>
      </c>
      <c r="I6" s="22">
        <f t="shared" si="3"/>
        <v>3.1496778477279982E-2</v>
      </c>
    </row>
    <row r="7" spans="1:9" x14ac:dyDescent="0.3">
      <c r="A7" s="18" t="s">
        <v>63</v>
      </c>
      <c r="B7" s="20">
        <f>SUMIFS(Contabilidade!$M:$M,Contabilidade!$B:$B,A7,Contabilidade!$X:$X,"1. Com nota fiscal recolhida")</f>
        <v>16597.919999999998</v>
      </c>
      <c r="C7" s="20">
        <f>SUMIFS(Contabilidade!$M:$M,Contabilidade!$B:$B,A7,Contabilidade!$X:$X,"4. Crédito de estorno (desconto)")</f>
        <v>0</v>
      </c>
      <c r="D7" s="20">
        <f t="shared" si="0"/>
        <v>16597.919999999998</v>
      </c>
      <c r="E7" s="20">
        <f>SUMIFS(Contabilidade!$M:$M,Contabilidade!$B:$B,A7,Contabilidade!$X:$X,"2. Abastecimento cancelado (sem nota)")</f>
        <v>0</v>
      </c>
      <c r="F7" s="20">
        <f>SUMIFS(Contabilidade!$M:$M,Contabilidade!$B:$B,A7,Contabilidade!$X:$X,"3. Sem nota fiscal")</f>
        <v>0</v>
      </c>
      <c r="G7" s="20">
        <f t="shared" si="1"/>
        <v>0</v>
      </c>
      <c r="H7" s="20">
        <f t="shared" si="2"/>
        <v>16597.919999999998</v>
      </c>
      <c r="I7" s="21">
        <f t="shared" si="3"/>
        <v>3.7452118179309241E-2</v>
      </c>
    </row>
    <row r="8" spans="1:9" x14ac:dyDescent="0.3">
      <c r="A8" s="19" t="s">
        <v>120</v>
      </c>
      <c r="B8" s="10">
        <f>SUMIFS(Contabilidade!$M:$M,Contabilidade!$B:$B,A8,Contabilidade!$X:$X,"1. Com nota fiscal recolhida")</f>
        <v>6880.5700000000006</v>
      </c>
      <c r="C8" s="10">
        <f>SUMIFS(Contabilidade!$M:$M,Contabilidade!$B:$B,A8,Contabilidade!$X:$X,"4. Crédito de estorno (desconto)")</f>
        <v>0</v>
      </c>
      <c r="D8" s="10">
        <f t="shared" si="0"/>
        <v>6880.5700000000006</v>
      </c>
      <c r="E8" s="10">
        <f>SUMIFS(Contabilidade!$M:$M,Contabilidade!$B:$B,A8,Contabilidade!$X:$X,"2. Abastecimento cancelado (sem nota)")</f>
        <v>0</v>
      </c>
      <c r="F8" s="10">
        <f>SUMIFS(Contabilidade!$M:$M,Contabilidade!$B:$B,A8,Contabilidade!$X:$X,"3. Sem nota fiscal")</f>
        <v>221.24</v>
      </c>
      <c r="G8" s="10">
        <f t="shared" si="1"/>
        <v>221.24</v>
      </c>
      <c r="H8" s="10">
        <f t="shared" si="2"/>
        <v>7101.81</v>
      </c>
      <c r="I8" s="22">
        <f t="shared" si="3"/>
        <v>1.6024768609982466E-2</v>
      </c>
    </row>
    <row r="9" spans="1:9" x14ac:dyDescent="0.3">
      <c r="A9" s="18" t="s">
        <v>49</v>
      </c>
      <c r="B9" s="20">
        <f>SUMIFS(Contabilidade!$M:$M,Contabilidade!$B:$B,A9,Contabilidade!$X:$X,"1. Com nota fiscal recolhida")</f>
        <v>13041.489999999998</v>
      </c>
      <c r="C9" s="20">
        <f>SUMIFS(Contabilidade!$M:$M,Contabilidade!$B:$B,A9,Contabilidade!$X:$X,"4. Crédito de estorno (desconto)")</f>
        <v>0</v>
      </c>
      <c r="D9" s="20">
        <f t="shared" si="0"/>
        <v>13041.489999999998</v>
      </c>
      <c r="E9" s="20">
        <f>SUMIFS(Contabilidade!$M:$M,Contabilidade!$B:$B,A9,Contabilidade!$X:$X,"2. Abastecimento cancelado (sem nota)")</f>
        <v>0</v>
      </c>
      <c r="F9" s="20">
        <f>SUMIFS(Contabilidade!$M:$M,Contabilidade!$B:$B,A9,Contabilidade!$X:$X,"3. Sem nota fiscal")</f>
        <v>0</v>
      </c>
      <c r="G9" s="20">
        <f t="shared" si="1"/>
        <v>0</v>
      </c>
      <c r="H9" s="20">
        <f t="shared" si="2"/>
        <v>13041.489999999998</v>
      </c>
      <c r="I9" s="21">
        <f t="shared" si="3"/>
        <v>2.9427267074083958E-2</v>
      </c>
    </row>
    <row r="10" spans="1:9" x14ac:dyDescent="0.3">
      <c r="A10" s="19" t="s">
        <v>40</v>
      </c>
      <c r="B10" s="10">
        <f>SUMIFS(Contabilidade!$M:$M,Contabilidade!$B:$B,A10,Contabilidade!$X:$X,"1. Com nota fiscal recolhida")</f>
        <v>14854.959999999997</v>
      </c>
      <c r="C10" s="10">
        <f>SUMIFS(Contabilidade!$M:$M,Contabilidade!$B:$B,A10,Contabilidade!$X:$X,"4. Crédito de estorno (desconto)")</f>
        <v>0</v>
      </c>
      <c r="D10" s="10">
        <f t="shared" si="0"/>
        <v>14854.959999999997</v>
      </c>
      <c r="E10" s="10">
        <f>SUMIFS(Contabilidade!$M:$M,Contabilidade!$B:$B,A10,Contabilidade!$X:$X,"2. Abastecimento cancelado (sem nota)")</f>
        <v>0</v>
      </c>
      <c r="F10" s="10">
        <f>SUMIFS(Contabilidade!$M:$M,Contabilidade!$B:$B,A10,Contabilidade!$X:$X,"3. Sem nota fiscal")</f>
        <v>0</v>
      </c>
      <c r="G10" s="10">
        <f t="shared" si="1"/>
        <v>0</v>
      </c>
      <c r="H10" s="10">
        <f t="shared" si="2"/>
        <v>14854.959999999997</v>
      </c>
      <c r="I10" s="22">
        <f t="shared" si="3"/>
        <v>3.3519243222579181E-2</v>
      </c>
    </row>
    <row r="11" spans="1:9" x14ac:dyDescent="0.3">
      <c r="A11" s="18" t="s">
        <v>61</v>
      </c>
      <c r="B11" s="20">
        <f>SUMIFS(Contabilidade!$M:$M,Contabilidade!$B:$B,A11,Contabilidade!$X:$X,"1. Com nota fiscal recolhida")</f>
        <v>105145.33999999995</v>
      </c>
      <c r="C11" s="20">
        <f>SUMIFS(Contabilidade!$M:$M,Contabilidade!$B:$B,A11,Contabilidade!$X:$X,"4. Crédito de estorno (desconto)")</f>
        <v>0</v>
      </c>
      <c r="D11" s="20">
        <f t="shared" si="0"/>
        <v>105145.33999999995</v>
      </c>
      <c r="E11" s="20">
        <f>SUMIFS(Contabilidade!$M:$M,Contabilidade!$B:$B,A11,Contabilidade!$X:$X,"2. Abastecimento cancelado (sem nota)")</f>
        <v>0</v>
      </c>
      <c r="F11" s="20">
        <f>SUMIFS(Contabilidade!$M:$M,Contabilidade!$B:$B,A11,Contabilidade!$X:$X,"3. Sem nota fiscal")</f>
        <v>1349.2800000000002</v>
      </c>
      <c r="G11" s="20">
        <f t="shared" si="1"/>
        <v>1349.2800000000002</v>
      </c>
      <c r="H11" s="20">
        <f t="shared" si="2"/>
        <v>106494.61999999995</v>
      </c>
      <c r="I11" s="21">
        <f t="shared" si="3"/>
        <v>0.24029812733768013</v>
      </c>
    </row>
    <row r="12" spans="1:9" x14ac:dyDescent="0.3">
      <c r="A12" s="19" t="s">
        <v>160</v>
      </c>
      <c r="B12" s="10">
        <f>SUMIFS(Contabilidade!$M:$M,Contabilidade!$B:$B,A12,Contabilidade!$X:$X,"1. Com nota fiscal recolhida")</f>
        <v>663.32999999999993</v>
      </c>
      <c r="C12" s="10">
        <f>SUMIFS(Contabilidade!$M:$M,Contabilidade!$B:$B,A12,Contabilidade!$X:$X,"4. Crédito de estorno (desconto)")</f>
        <v>0</v>
      </c>
      <c r="D12" s="10">
        <f t="shared" si="0"/>
        <v>663.32999999999993</v>
      </c>
      <c r="E12" s="10">
        <f>SUMIFS(Contabilidade!$M:$M,Contabilidade!$B:$B,A12,Contabilidade!$X:$X,"2. Abastecimento cancelado (sem nota)")</f>
        <v>0</v>
      </c>
      <c r="F12" s="10">
        <f>SUMIFS(Contabilidade!$M:$M,Contabilidade!$B:$B,A12,Contabilidade!$X:$X,"3. Sem nota fiscal")</f>
        <v>0</v>
      </c>
      <c r="G12" s="10">
        <f t="shared" si="1"/>
        <v>0</v>
      </c>
      <c r="H12" s="10">
        <f t="shared" si="2"/>
        <v>663.32999999999993</v>
      </c>
      <c r="I12" s="22">
        <f t="shared" si="3"/>
        <v>1.4967606514479643E-3</v>
      </c>
    </row>
    <row r="13" spans="1:9" x14ac:dyDescent="0.3">
      <c r="A13" s="18" t="s">
        <v>73</v>
      </c>
      <c r="B13" s="20">
        <f>SUMIFS(Contabilidade!$M:$M,Contabilidade!$B:$B,A13,Contabilidade!$X:$X,"1. Com nota fiscal recolhida")</f>
        <v>3069.9900000000002</v>
      </c>
      <c r="C13" s="20">
        <f>SUMIFS(Contabilidade!$M:$M,Contabilidade!$B:$B,A13,Contabilidade!$X:$X,"4. Crédito de estorno (desconto)")</f>
        <v>0</v>
      </c>
      <c r="D13" s="20">
        <f t="shared" si="0"/>
        <v>3069.9900000000002</v>
      </c>
      <c r="E13" s="20">
        <f>SUMIFS(Contabilidade!$M:$M,Contabilidade!$B:$B,A13,Contabilidade!$X:$X,"2. Abastecimento cancelado (sem nota)")</f>
        <v>0</v>
      </c>
      <c r="F13" s="20">
        <f>SUMIFS(Contabilidade!$M:$M,Contabilidade!$B:$B,A13,Contabilidade!$X:$X,"3. Sem nota fiscal")</f>
        <v>3868.9899999999993</v>
      </c>
      <c r="G13" s="20">
        <f t="shared" si="1"/>
        <v>3868.9899999999993</v>
      </c>
      <c r="H13" s="20">
        <f t="shared" si="2"/>
        <v>6938.98</v>
      </c>
      <c r="I13" s="21">
        <f t="shared" si="3"/>
        <v>1.5657353391501056E-2</v>
      </c>
    </row>
    <row r="14" spans="1:9" x14ac:dyDescent="0.3">
      <c r="A14" s="19" t="s">
        <v>0</v>
      </c>
      <c r="B14" s="10">
        <f>SUMIFS(Contabilidade!$M:$M,Contabilidade!$B:$B,A14,Contabilidade!$X:$X,"1. Com nota fiscal recolhida")</f>
        <v>25659.950000000004</v>
      </c>
      <c r="C14" s="10">
        <f>SUMIFS(Contabilidade!$M:$M,Contabilidade!$B:$B,A14,Contabilidade!$X:$X,"4. Crédito de estorno (desconto)")</f>
        <v>0</v>
      </c>
      <c r="D14" s="10">
        <f t="shared" si="0"/>
        <v>25659.950000000004</v>
      </c>
      <c r="E14" s="10">
        <f>SUMIFS(Contabilidade!$M:$M,Contabilidade!$B:$B,A14,Contabilidade!$X:$X,"2. Abastecimento cancelado (sem nota)")</f>
        <v>0</v>
      </c>
      <c r="F14" s="10">
        <f>SUMIFS(Contabilidade!$M:$M,Contabilidade!$B:$B,A14,Contabilidade!$X:$X,"3. Sem nota fiscal")</f>
        <v>0</v>
      </c>
      <c r="G14" s="10">
        <f t="shared" si="1"/>
        <v>0</v>
      </c>
      <c r="H14" s="10">
        <f t="shared" si="2"/>
        <v>25659.950000000004</v>
      </c>
      <c r="I14" s="22">
        <f t="shared" si="3"/>
        <v>5.7899994690609809E-2</v>
      </c>
    </row>
    <row r="15" spans="1:9" x14ac:dyDescent="0.3">
      <c r="A15" s="18" t="s">
        <v>28</v>
      </c>
      <c r="B15" s="20">
        <f>SUMIFS(Contabilidade!$M:$M,Contabilidade!$B:$B,A15,Contabilidade!$X:$X,"1. Com nota fiscal recolhida")</f>
        <v>24477.69999999999</v>
      </c>
      <c r="C15" s="20">
        <f>SUMIFS(Contabilidade!$M:$M,Contabilidade!$B:$B,A15,Contabilidade!$X:$X,"4. Crédito de estorno (desconto)")</f>
        <v>-457.47</v>
      </c>
      <c r="D15" s="20">
        <f t="shared" si="0"/>
        <v>24020.229999999989</v>
      </c>
      <c r="E15" s="20">
        <f>SUMIFS(Contabilidade!$M:$M,Contabilidade!$B:$B,A15,Contabilidade!$X:$X,"2. Abastecimento cancelado (sem nota)")</f>
        <v>0</v>
      </c>
      <c r="F15" s="20">
        <f>SUMIFS(Contabilidade!$M:$M,Contabilidade!$B:$B,A15,Contabilidade!$X:$X,"3. Sem nota fiscal")</f>
        <v>201.51</v>
      </c>
      <c r="G15" s="20">
        <f t="shared" si="1"/>
        <v>201.51</v>
      </c>
      <c r="H15" s="20">
        <f t="shared" si="2"/>
        <v>24221.739999999987</v>
      </c>
      <c r="I15" s="21">
        <f t="shared" si="3"/>
        <v>5.4654768126879832E-2</v>
      </c>
    </row>
    <row r="16" spans="1:9" x14ac:dyDescent="0.3">
      <c r="A16" s="19" t="s">
        <v>99</v>
      </c>
      <c r="B16" s="10">
        <f>SUMIFS(Contabilidade!$M:$M,Contabilidade!$B:$B,A16,Contabilidade!$X:$X,"1. Com nota fiscal recolhida")</f>
        <v>4116.92</v>
      </c>
      <c r="C16" s="10">
        <f>SUMIFS(Contabilidade!$M:$M,Contabilidade!$B:$B,A16,Contabilidade!$X:$X,"4. Crédito de estorno (desconto)")</f>
        <v>0</v>
      </c>
      <c r="D16" s="10">
        <f t="shared" si="0"/>
        <v>4116.92</v>
      </c>
      <c r="E16" s="10">
        <f>SUMIFS(Contabilidade!$M:$M,Contabilidade!$B:$B,A16,Contabilidade!$X:$X,"2. Abastecimento cancelado (sem nota)")</f>
        <v>0</v>
      </c>
      <c r="F16" s="10">
        <f>SUMIFS(Contabilidade!$M:$M,Contabilidade!$B:$B,A16,Contabilidade!$X:$X,"3. Sem nota fiscal")</f>
        <v>0</v>
      </c>
      <c r="G16" s="10">
        <f t="shared" si="1"/>
        <v>0</v>
      </c>
      <c r="H16" s="10">
        <f t="shared" si="2"/>
        <v>4116.92</v>
      </c>
      <c r="I16" s="22">
        <f t="shared" si="3"/>
        <v>9.2895600397376182E-3</v>
      </c>
    </row>
    <row r="17" spans="1:9" x14ac:dyDescent="0.3">
      <c r="A17" s="18" t="s">
        <v>181</v>
      </c>
      <c r="B17" s="20">
        <f>SUMIFS(Contabilidade!$M:$M,Contabilidade!$B:$B,A17,Contabilidade!$X:$X,"1. Com nota fiscal recolhida")</f>
        <v>1378.14</v>
      </c>
      <c r="C17" s="20">
        <f>SUMIFS(Contabilidade!$M:$M,Contabilidade!$B:$B,A17,Contabilidade!$X:$X,"4. Crédito de estorno (desconto)")</f>
        <v>0</v>
      </c>
      <c r="D17" s="20">
        <f t="shared" si="0"/>
        <v>1378.14</v>
      </c>
      <c r="E17" s="20">
        <f>SUMIFS(Contabilidade!$M:$M,Contabilidade!$B:$B,A17,Contabilidade!$X:$X,"2. Abastecimento cancelado (sem nota)")</f>
        <v>0</v>
      </c>
      <c r="F17" s="20">
        <f>SUMIFS(Contabilidade!$M:$M,Contabilidade!$B:$B,A17,Contabilidade!$X:$X,"3. Sem nota fiscal")</f>
        <v>0</v>
      </c>
      <c r="G17" s="20">
        <f t="shared" si="1"/>
        <v>0</v>
      </c>
      <c r="H17" s="20">
        <f t="shared" si="2"/>
        <v>1378.14</v>
      </c>
      <c r="I17" s="21">
        <f t="shared" si="3"/>
        <v>3.1096825474296323E-3</v>
      </c>
    </row>
    <row r="18" spans="1:9" x14ac:dyDescent="0.3">
      <c r="A18" s="19" t="s">
        <v>8</v>
      </c>
      <c r="B18" s="10">
        <f>SUMIFS(Contabilidade!$M:$M,Contabilidade!$B:$B,A18,Contabilidade!$X:$X,"1. Com nota fiscal recolhida")</f>
        <v>30024.149999999998</v>
      </c>
      <c r="C18" s="10">
        <f>SUMIFS(Contabilidade!$M:$M,Contabilidade!$B:$B,A18,Contabilidade!$X:$X,"4. Crédito de estorno (desconto)")</f>
        <v>0</v>
      </c>
      <c r="D18" s="10">
        <f t="shared" si="0"/>
        <v>30024.149999999998</v>
      </c>
      <c r="E18" s="10">
        <f>SUMIFS(Contabilidade!$M:$M,Contabilidade!$B:$B,A18,Contabilidade!$X:$X,"2. Abastecimento cancelado (sem nota)")</f>
        <v>0</v>
      </c>
      <c r="F18" s="10">
        <f>SUMIFS(Contabilidade!$M:$M,Contabilidade!$B:$B,A18,Contabilidade!$X:$X,"3. Sem nota fiscal")</f>
        <v>210.32</v>
      </c>
      <c r="G18" s="10">
        <f t="shared" si="1"/>
        <v>210.32</v>
      </c>
      <c r="H18" s="10">
        <f t="shared" si="2"/>
        <v>30234.469999999998</v>
      </c>
      <c r="I18" s="22">
        <f t="shared" si="3"/>
        <v>6.8222099126202543E-2</v>
      </c>
    </row>
    <row r="19" spans="1:9" x14ac:dyDescent="0.3">
      <c r="A19" s="18" t="s">
        <v>126</v>
      </c>
      <c r="B19" s="20">
        <f>SUMIFS(Contabilidade!$M:$M,Contabilidade!$B:$B,A19,Contabilidade!$X:$X,"1. Com nota fiscal recolhida")</f>
        <v>4457.16</v>
      </c>
      <c r="C19" s="20">
        <f>SUMIFS(Contabilidade!$M:$M,Contabilidade!$B:$B,A19,Contabilidade!$X:$X,"4. Crédito de estorno (desconto)")</f>
        <v>0</v>
      </c>
      <c r="D19" s="20">
        <f t="shared" si="0"/>
        <v>4457.16</v>
      </c>
      <c r="E19" s="20">
        <f>SUMIFS(Contabilidade!$M:$M,Contabilidade!$B:$B,A19,Contabilidade!$X:$X,"2. Abastecimento cancelado (sem nota)")</f>
        <v>0</v>
      </c>
      <c r="F19" s="20">
        <f>SUMIFS(Contabilidade!$M:$M,Contabilidade!$B:$B,A19,Contabilidade!$X:$X,"3. Sem nota fiscal")</f>
        <v>497.47</v>
      </c>
      <c r="G19" s="20">
        <f t="shared" si="1"/>
        <v>497.47</v>
      </c>
      <c r="H19" s="20">
        <f t="shared" si="2"/>
        <v>4954.63</v>
      </c>
      <c r="I19" s="21">
        <f t="shared" si="3"/>
        <v>1.1179797727350834E-2</v>
      </c>
    </row>
    <row r="20" spans="1:9" x14ac:dyDescent="0.3">
      <c r="A20" s="19" t="s">
        <v>52</v>
      </c>
      <c r="B20" s="10">
        <f>SUMIFS(Contabilidade!$M:$M,Contabilidade!$B:$B,A20,Contabilidade!$X:$X,"1. Com nota fiscal recolhida")</f>
        <v>9932.4300000000021</v>
      </c>
      <c r="C20" s="10">
        <f>SUMIFS(Contabilidade!$M:$M,Contabilidade!$B:$B,A20,Contabilidade!$X:$X,"4. Crédito de estorno (desconto)")</f>
        <v>0</v>
      </c>
      <c r="D20" s="10">
        <f t="shared" si="0"/>
        <v>9932.4300000000021</v>
      </c>
      <c r="E20" s="10">
        <f>SUMIFS(Contabilidade!$M:$M,Contabilidade!$B:$B,A20,Contabilidade!$X:$X,"2. Abastecimento cancelado (sem nota)")</f>
        <v>0</v>
      </c>
      <c r="F20" s="10">
        <f>SUMIFS(Contabilidade!$M:$M,Contabilidade!$B:$B,A20,Contabilidade!$X:$X,"3. Sem nota fiscal")</f>
        <v>0</v>
      </c>
      <c r="G20" s="10">
        <f t="shared" si="1"/>
        <v>0</v>
      </c>
      <c r="H20" s="10">
        <f t="shared" si="2"/>
        <v>9932.4300000000021</v>
      </c>
      <c r="I20" s="22">
        <f t="shared" si="3"/>
        <v>2.2411877040479564E-2</v>
      </c>
    </row>
    <row r="21" spans="1:9" x14ac:dyDescent="0.3">
      <c r="A21" s="18" t="s">
        <v>70</v>
      </c>
      <c r="B21" s="20">
        <f>SUMIFS(Contabilidade!$M:$M,Contabilidade!$B:$B,A21,Contabilidade!$X:$X,"1. Com nota fiscal recolhida")</f>
        <v>4127.46</v>
      </c>
      <c r="C21" s="20">
        <f>SUMIFS(Contabilidade!$M:$M,Contabilidade!$B:$B,A21,Contabilidade!$X:$X,"4. Crédito de estorno (desconto)")</f>
        <v>0</v>
      </c>
      <c r="D21" s="20">
        <f t="shared" si="0"/>
        <v>4127.46</v>
      </c>
      <c r="E21" s="20">
        <f>SUMIFS(Contabilidade!$M:$M,Contabilidade!$B:$B,A21,Contabilidade!$X:$X,"2. Abastecimento cancelado (sem nota)")</f>
        <v>0</v>
      </c>
      <c r="F21" s="20">
        <f>SUMIFS(Contabilidade!$M:$M,Contabilidade!$B:$B,A21,Contabilidade!$X:$X,"3. Sem nota fiscal")</f>
        <v>0</v>
      </c>
      <c r="G21" s="20">
        <f t="shared" si="1"/>
        <v>0</v>
      </c>
      <c r="H21" s="20">
        <f t="shared" si="2"/>
        <v>4127.46</v>
      </c>
      <c r="I21" s="21">
        <f t="shared" si="3"/>
        <v>9.3133428586456447E-3</v>
      </c>
    </row>
    <row r="22" spans="1:9" x14ac:dyDescent="0.3">
      <c r="A22" s="19" t="s">
        <v>65</v>
      </c>
      <c r="B22" s="10">
        <f>SUMIFS(Contabilidade!$M:$M,Contabilidade!$B:$B,A22,Contabilidade!$X:$X,"1. Com nota fiscal recolhida")</f>
        <v>5429.2999999999993</v>
      </c>
      <c r="C22" s="10">
        <f>SUMIFS(Contabilidade!$M:$M,Contabilidade!$B:$B,A22,Contabilidade!$X:$X,"4. Crédito de estorno (desconto)")</f>
        <v>-141.68</v>
      </c>
      <c r="D22" s="10">
        <f t="shared" si="0"/>
        <v>5287.619999999999</v>
      </c>
      <c r="E22" s="10">
        <f>SUMIFS(Contabilidade!$M:$M,Contabilidade!$B:$B,A22,Contabilidade!$X:$X,"2. Abastecimento cancelado (sem nota)")</f>
        <v>0</v>
      </c>
      <c r="F22" s="10">
        <f>SUMIFS(Contabilidade!$M:$M,Contabilidade!$B:$B,A22,Contabilidade!$X:$X,"3. Sem nota fiscal")</f>
        <v>2887.25</v>
      </c>
      <c r="G22" s="10">
        <f t="shared" si="1"/>
        <v>2887.25</v>
      </c>
      <c r="H22" s="10">
        <f t="shared" si="2"/>
        <v>8174.869999999999</v>
      </c>
      <c r="I22" s="22">
        <f t="shared" si="3"/>
        <v>1.8446058141049583E-2</v>
      </c>
    </row>
    <row r="23" spans="1:9" x14ac:dyDescent="0.3">
      <c r="A23" s="18" t="s">
        <v>33</v>
      </c>
      <c r="B23" s="20">
        <f>SUMIFS(Contabilidade!$M:$M,Contabilidade!$B:$B,A23,Contabilidade!$X:$X,"1. Com nota fiscal recolhida")</f>
        <v>5713.2500000000009</v>
      </c>
      <c r="C23" s="20">
        <f>SUMIFS(Contabilidade!$M:$M,Contabilidade!$B:$B,A23,Contabilidade!$X:$X,"4. Crédito de estorno (desconto)")</f>
        <v>0</v>
      </c>
      <c r="D23" s="20">
        <f t="shared" si="0"/>
        <v>5713.2500000000009</v>
      </c>
      <c r="E23" s="20">
        <f>SUMIFS(Contabilidade!$M:$M,Contabilidade!$B:$B,A23,Contabilidade!$X:$X,"2. Abastecimento cancelado (sem nota)")</f>
        <v>0</v>
      </c>
      <c r="F23" s="20">
        <f>SUMIFS(Contabilidade!$M:$M,Contabilidade!$B:$B,A23,Contabilidade!$X:$X,"3. Sem nota fiscal")</f>
        <v>270.95</v>
      </c>
      <c r="G23" s="20">
        <f t="shared" si="1"/>
        <v>270.95</v>
      </c>
      <c r="H23" s="20">
        <f t="shared" si="2"/>
        <v>5984.2000000000007</v>
      </c>
      <c r="I23" s="21">
        <f t="shared" si="3"/>
        <v>1.350295492499195E-2</v>
      </c>
    </row>
    <row r="24" spans="1:9" x14ac:dyDescent="0.3">
      <c r="A24" s="19" t="s">
        <v>174</v>
      </c>
      <c r="B24" s="10">
        <f>SUMIFS(Contabilidade!$M:$M,Contabilidade!$B:$B,A24,Contabilidade!$X:$X,"1. Com nota fiscal recolhida")</f>
        <v>8394.6099999999988</v>
      </c>
      <c r="C24" s="10">
        <f>SUMIFS(Contabilidade!$M:$M,Contabilidade!$B:$B,A24,Contabilidade!$X:$X,"4. Crédito de estorno (desconto)")</f>
        <v>0</v>
      </c>
      <c r="D24" s="10">
        <f t="shared" si="0"/>
        <v>8394.6099999999988</v>
      </c>
      <c r="E24" s="10">
        <f>SUMIFS(Contabilidade!$M:$M,Contabilidade!$B:$B,A24,Contabilidade!$X:$X,"2. Abastecimento cancelado (sem nota)")</f>
        <v>0</v>
      </c>
      <c r="F24" s="10">
        <f>SUMIFS(Contabilidade!$M:$M,Contabilidade!$B:$B,A24,Contabilidade!$X:$X,"3. Sem nota fiscal")</f>
        <v>0</v>
      </c>
      <c r="G24" s="10">
        <f t="shared" si="1"/>
        <v>0</v>
      </c>
      <c r="H24" s="10">
        <f t="shared" si="2"/>
        <v>8394.6099999999988</v>
      </c>
      <c r="I24" s="22">
        <f t="shared" si="3"/>
        <v>1.8941887043027746E-2</v>
      </c>
    </row>
    <row r="25" spans="1:9" x14ac:dyDescent="0.3">
      <c r="A25" s="18" t="s">
        <v>58</v>
      </c>
      <c r="B25" s="20">
        <f>SUMIFS(Contabilidade!$M:$M,Contabilidade!$B:$B,A25,Contabilidade!$X:$X,"1. Com nota fiscal recolhida")</f>
        <v>27125.230000000007</v>
      </c>
      <c r="C25" s="20">
        <f>SUMIFS(Contabilidade!$M:$M,Contabilidade!$B:$B,A25,Contabilidade!$X:$X,"4. Crédito de estorno (desconto)")</f>
        <v>-251.86</v>
      </c>
      <c r="D25" s="20">
        <f t="shared" si="0"/>
        <v>26873.370000000006</v>
      </c>
      <c r="E25" s="20">
        <f>SUMIFS(Contabilidade!$M:$M,Contabilidade!$B:$B,A25,Contabilidade!$X:$X,"2. Abastecimento cancelado (sem nota)")</f>
        <v>0</v>
      </c>
      <c r="F25" s="20">
        <f>SUMIFS(Contabilidade!$M:$M,Contabilidade!$B:$B,A25,Contabilidade!$X:$X,"3. Sem nota fiscal")</f>
        <v>14818.150000000005</v>
      </c>
      <c r="G25" s="20">
        <f t="shared" si="1"/>
        <v>14818.150000000005</v>
      </c>
      <c r="H25" s="20">
        <f t="shared" si="2"/>
        <v>41691.520000000011</v>
      </c>
      <c r="I25" s="21">
        <f t="shared" si="3"/>
        <v>9.4074181229638121E-2</v>
      </c>
    </row>
    <row r="26" spans="1:9" x14ac:dyDescent="0.3">
      <c r="A26" s="19" t="s">
        <v>100</v>
      </c>
      <c r="B26" s="10">
        <f>SUMIFS(Contabilidade!$M:$M,Contabilidade!$B:$B,A26,Contabilidade!$X:$X,"1. Com nota fiscal recolhida")</f>
        <v>13216.599999999999</v>
      </c>
      <c r="C26" s="10">
        <f>SUMIFS(Contabilidade!$M:$M,Contabilidade!$B:$B,A26,Contabilidade!$X:$X,"4. Crédito de estorno (desconto)")</f>
        <v>0</v>
      </c>
      <c r="D26" s="10">
        <f t="shared" si="0"/>
        <v>13216.599999999999</v>
      </c>
      <c r="E26" s="10">
        <f>SUMIFS(Contabilidade!$M:$M,Contabilidade!$B:$B,A26,Contabilidade!$X:$X,"2. Abastecimento cancelado (sem nota)")</f>
        <v>0</v>
      </c>
      <c r="F26" s="10">
        <f>SUMIFS(Contabilidade!$M:$M,Contabilidade!$B:$B,A26,Contabilidade!$X:$X,"3. Sem nota fiscal")</f>
        <v>701.48</v>
      </c>
      <c r="G26" s="10">
        <f t="shared" si="1"/>
        <v>701.48</v>
      </c>
      <c r="H26" s="10">
        <f t="shared" si="2"/>
        <v>13918.079999999998</v>
      </c>
      <c r="I26" s="22">
        <f t="shared" si="3"/>
        <v>3.1405234932393958E-2</v>
      </c>
    </row>
    <row r="27" spans="1:9" x14ac:dyDescent="0.3">
      <c r="A27" s="18" t="s">
        <v>11</v>
      </c>
      <c r="B27" s="20">
        <f>SUMIFS(Contabilidade!$M:$M,Contabilidade!$B:$B,A27,Contabilidade!$X:$X,"1. Com nota fiscal recolhida")</f>
        <v>12930.430000000002</v>
      </c>
      <c r="C27" s="20">
        <f>SUMIFS(Contabilidade!$M:$M,Contabilidade!$B:$B,A27,Contabilidade!$X:$X,"4. Crédito de estorno (desconto)")</f>
        <v>-331.89</v>
      </c>
      <c r="D27" s="20">
        <f t="shared" si="0"/>
        <v>12598.540000000003</v>
      </c>
      <c r="E27" s="20">
        <f>SUMIFS(Contabilidade!$M:$M,Contabilidade!$B:$B,A27,Contabilidade!$X:$X,"2. Abastecimento cancelado (sem nota)")</f>
        <v>331.89</v>
      </c>
      <c r="F27" s="20">
        <f>SUMIFS(Contabilidade!$M:$M,Contabilidade!$B:$B,A27,Contabilidade!$X:$X,"3. Sem nota fiscal")</f>
        <v>0</v>
      </c>
      <c r="G27" s="20">
        <f t="shared" si="1"/>
        <v>331.89</v>
      </c>
      <c r="H27" s="20">
        <f t="shared" si="2"/>
        <v>12930.430000000002</v>
      </c>
      <c r="I27" s="21">
        <f t="shared" si="3"/>
        <v>2.9176667466121398E-2</v>
      </c>
    </row>
    <row r="28" spans="1:9" x14ac:dyDescent="0.3">
      <c r="A28" s="19" t="s">
        <v>18</v>
      </c>
      <c r="B28" s="10">
        <f>SUMIFS(Contabilidade!$M:$M,Contabilidade!$B:$B,A28,Contabilidade!$X:$X,"1. Com nota fiscal recolhida")</f>
        <v>17472.230000000007</v>
      </c>
      <c r="C28" s="10">
        <f>SUMIFS(Contabilidade!$M:$M,Contabilidade!$B:$B,A28,Contabilidade!$X:$X,"4. Crédito de estorno (desconto)")</f>
        <v>0</v>
      </c>
      <c r="D28" s="10">
        <f t="shared" si="0"/>
        <v>17472.230000000007</v>
      </c>
      <c r="E28" s="10">
        <f>SUMIFS(Contabilidade!$M:$M,Contabilidade!$B:$B,A28,Contabilidade!$X:$X,"2. Abastecimento cancelado (sem nota)")</f>
        <v>0</v>
      </c>
      <c r="F28" s="10">
        <f>SUMIFS(Contabilidade!$M:$M,Contabilidade!$B:$B,A28,Contabilidade!$X:$X,"3. Sem nota fiscal")</f>
        <v>0</v>
      </c>
      <c r="G28" s="10">
        <f t="shared" si="1"/>
        <v>0</v>
      </c>
      <c r="H28" s="10">
        <f t="shared" si="2"/>
        <v>17472.230000000007</v>
      </c>
      <c r="I28" s="22">
        <f t="shared" si="3"/>
        <v>3.9424941367115433E-2</v>
      </c>
    </row>
    <row r="29" spans="1:9" x14ac:dyDescent="0.3">
      <c r="A29" s="18" t="s">
        <v>25</v>
      </c>
      <c r="B29" s="20">
        <f>SUMIFS(Contabilidade!$M:$M,Contabilidade!$B:$B,A29,Contabilidade!$X:$X,"1. Com nota fiscal recolhida")</f>
        <v>9189.9599999999991</v>
      </c>
      <c r="C29" s="20">
        <f>SUMIFS(Contabilidade!$M:$M,Contabilidade!$B:$B,A29,Contabilidade!$X:$X,"4. Crédito de estorno (desconto)")</f>
        <v>0</v>
      </c>
      <c r="D29" s="20">
        <f t="shared" si="0"/>
        <v>9189.9599999999991</v>
      </c>
      <c r="E29" s="20">
        <f>SUMIFS(Contabilidade!$M:$M,Contabilidade!$B:$B,A29,Contabilidade!$X:$X,"2. Abastecimento cancelado (sem nota)")</f>
        <v>0</v>
      </c>
      <c r="F29" s="20">
        <f>SUMIFS(Contabilidade!$M:$M,Contabilidade!$B:$B,A29,Contabilidade!$X:$X,"3. Sem nota fiscal")</f>
        <v>1386.3499999999997</v>
      </c>
      <c r="G29" s="20">
        <f t="shared" si="1"/>
        <v>1386.3499999999997</v>
      </c>
      <c r="H29" s="20">
        <f t="shared" si="2"/>
        <v>10576.31</v>
      </c>
      <c r="I29" s="21">
        <f t="shared" si="3"/>
        <v>2.3864750042234817E-2</v>
      </c>
    </row>
    <row r="30" spans="1:9" x14ac:dyDescent="0.3">
      <c r="A30" s="19" t="s">
        <v>369</v>
      </c>
      <c r="B30" s="10">
        <f>SUMIFS(Contabilidade!$M:$M,Contabilidade!$B:$B,A30,Contabilidade!$X:$X,"1. Com nota fiscal recolhida")</f>
        <v>800.29000000000008</v>
      </c>
      <c r="C30" s="10">
        <f>SUMIFS(Contabilidade!$M:$M,Contabilidade!$B:$B,A30,Contabilidade!$X:$X,"4. Crédito de estorno (desconto)")</f>
        <v>0</v>
      </c>
      <c r="D30" s="10">
        <f t="shared" si="0"/>
        <v>800.29000000000008</v>
      </c>
      <c r="E30" s="10">
        <f>SUMIFS(Contabilidade!$M:$M,Contabilidade!$B:$B,A30,Contabilidade!$X:$X,"2. Abastecimento cancelado (sem nota)")</f>
        <v>0</v>
      </c>
      <c r="F30" s="10">
        <f>SUMIFS(Contabilidade!$M:$M,Contabilidade!$B:$B,A30,Contabilidade!$X:$X,"3. Sem nota fiscal")</f>
        <v>0</v>
      </c>
      <c r="G30" s="10">
        <f t="shared" si="1"/>
        <v>0</v>
      </c>
      <c r="H30" s="10">
        <f t="shared" si="2"/>
        <v>800.29000000000008</v>
      </c>
      <c r="I30" s="22">
        <f t="shared" si="3"/>
        <v>1.8058019111864255E-3</v>
      </c>
    </row>
    <row r="31" spans="1:9" x14ac:dyDescent="0.3">
      <c r="A31" s="18" t="s">
        <v>22</v>
      </c>
      <c r="B31" s="20">
        <f>SUMIFS(Contabilidade!$M:$M,Contabilidade!$B:$B,A31,Contabilidade!$X:$X,"1. Com nota fiscal recolhida")</f>
        <v>3986.55</v>
      </c>
      <c r="C31" s="20">
        <f>SUMIFS(Contabilidade!$M:$M,Contabilidade!$B:$B,A31,Contabilidade!$X:$X,"4. Crédito de estorno (desconto)")</f>
        <v>0</v>
      </c>
      <c r="D31" s="20">
        <f t="shared" si="0"/>
        <v>3986.55</v>
      </c>
      <c r="E31" s="20">
        <f>SUMIFS(Contabilidade!$M:$M,Contabilidade!$B:$B,A31,Contabilidade!$X:$X,"2. Abastecimento cancelado (sem nota)")</f>
        <v>0</v>
      </c>
      <c r="F31" s="20">
        <f>SUMIFS(Contabilidade!$M:$M,Contabilidade!$B:$B,A31,Contabilidade!$X:$X,"3. Sem nota fiscal")</f>
        <v>0</v>
      </c>
      <c r="G31" s="20">
        <f t="shared" si="1"/>
        <v>0</v>
      </c>
      <c r="H31" s="20">
        <f t="shared" si="2"/>
        <v>3986.55</v>
      </c>
      <c r="I31" s="21">
        <f t="shared" si="3"/>
        <v>8.9953886829027534E-3</v>
      </c>
    </row>
    <row r="32" spans="1:9" x14ac:dyDescent="0.3">
      <c r="A32" s="26" t="s">
        <v>441</v>
      </c>
      <c r="B32" s="27">
        <f t="shared" ref="B32:I32" si="4">SUM(B3:B31)</f>
        <v>414653.69999999984</v>
      </c>
      <c r="C32" s="27">
        <f t="shared" si="4"/>
        <v>-1468.5700000000002</v>
      </c>
      <c r="D32" s="27">
        <f t="shared" si="4"/>
        <v>413185.12999999983</v>
      </c>
      <c r="E32" s="27">
        <f t="shared" si="4"/>
        <v>331.89</v>
      </c>
      <c r="F32" s="27">
        <f t="shared" si="4"/>
        <v>29660.050000000003</v>
      </c>
      <c r="G32" s="27">
        <f t="shared" si="4"/>
        <v>29991.940000000002</v>
      </c>
      <c r="H32" s="27">
        <f t="shared" si="4"/>
        <v>443177.06999999989</v>
      </c>
      <c r="I32" s="28">
        <f t="shared" si="4"/>
        <v>1.0000000000000002</v>
      </c>
    </row>
  </sheetData>
  <mergeCells count="2">
    <mergeCell ref="B1:D1"/>
    <mergeCell ref="E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9BE3-0BEE-48B6-9479-E7172F575F1A}">
  <dimension ref="A1:J208"/>
  <sheetViews>
    <sheetView tabSelected="1" workbookViewId="0">
      <pane ySplit="2" topLeftCell="A174" activePane="bottomLeft" state="frozen"/>
      <selection activeCell="B1" sqref="B1"/>
      <selection pane="bottomLeft" activeCell="A2" sqref="A1:E10"/>
    </sheetView>
  </sheetViews>
  <sheetFormatPr defaultRowHeight="14.4" x14ac:dyDescent="0.3"/>
  <cols>
    <col min="1" max="1" width="51.88671875" customWidth="1"/>
    <col min="2" max="2" width="21.33203125" customWidth="1"/>
    <col min="3" max="3" width="23.109375" customWidth="1"/>
    <col min="4" max="4" width="22.21875" customWidth="1"/>
    <col min="5" max="5" width="24.109375" customWidth="1"/>
    <col min="6" max="6" width="21.33203125" customWidth="1"/>
    <col min="7" max="7" width="20.33203125" customWidth="1"/>
    <col min="8" max="9" width="24.109375" customWidth="1"/>
    <col min="10" max="10" width="15.77734375" customWidth="1"/>
  </cols>
  <sheetData>
    <row r="1" spans="1:10" ht="19.95" customHeight="1" x14ac:dyDescent="0.3">
      <c r="A1" s="4" t="s">
        <v>442</v>
      </c>
      <c r="B1" s="4" t="s">
        <v>443</v>
      </c>
      <c r="C1" s="29" t="s">
        <v>444</v>
      </c>
      <c r="D1" s="29"/>
      <c r="E1" s="29"/>
      <c r="F1" s="30" t="s">
        <v>445</v>
      </c>
      <c r="G1" s="30"/>
      <c r="H1" s="30"/>
      <c r="I1" s="4"/>
      <c r="J1" s="4"/>
    </row>
    <row r="2" spans="1:10" ht="22.05" customHeight="1" x14ac:dyDescent="0.3">
      <c r="A2" s="14"/>
      <c r="B2" s="14"/>
      <c r="C2" s="24" t="s">
        <v>446</v>
      </c>
      <c r="D2" s="24" t="s">
        <v>439</v>
      </c>
      <c r="E2" s="24" t="s">
        <v>447</v>
      </c>
      <c r="F2" s="25" t="s">
        <v>448</v>
      </c>
      <c r="G2" s="25" t="s">
        <v>449</v>
      </c>
      <c r="H2" s="25" t="s">
        <v>450</v>
      </c>
      <c r="I2" s="14" t="s">
        <v>451</v>
      </c>
      <c r="J2" s="14" t="s">
        <v>440</v>
      </c>
    </row>
    <row r="3" spans="1:10" x14ac:dyDescent="0.3">
      <c r="A3" s="18" t="s">
        <v>32</v>
      </c>
      <c r="B3" s="32">
        <f>IFERROR(INDEX(Contabilidade!$K:$K,MATCH($A3,Contabilidade!$J:$J,0)),"")</f>
        <v>9001879002619</v>
      </c>
      <c r="C3" s="20">
        <f>SUMIFS(Contabilidade!$M:$M,Contabilidade!$J:$J,$A3,Contabilidade!$X:$X,"1. Com nota fiscal recolhida")</f>
        <v>0</v>
      </c>
      <c r="D3" s="20">
        <f>SUMIFS(Contabilidade!$M:$M,Contabilidade!$J:$J,$A3,Contabilidade!$X:$X,"4. Crédito de estorno (desconto)")</f>
        <v>0</v>
      </c>
      <c r="E3" s="20">
        <f>C3+D3</f>
        <v>0</v>
      </c>
      <c r="F3" s="20">
        <f>SUMIFS(Contabilidade!$M:$M,Contabilidade!$J:$J,$A3,Contabilidade!$X:$X,"2. Abastecimento cancelado (sem nota)")</f>
        <v>0</v>
      </c>
      <c r="G3" s="20">
        <f>SUMIFS(Contabilidade!$M:$M,Contabilidade!$J:$J,$A3,Contabilidade!$X:$X,"3. Sem nota fiscal")</f>
        <v>1936.5099999999998</v>
      </c>
      <c r="H3" s="20">
        <f>F3+G3</f>
        <v>1936.5099999999998</v>
      </c>
      <c r="I3" s="20">
        <f>E3+H3</f>
        <v>1936.5099999999998</v>
      </c>
      <c r="J3" s="21">
        <f>IF(I$208,I3/I$208,0)</f>
        <v>4.3696078409471871E-3</v>
      </c>
    </row>
    <row r="4" spans="1:10" x14ac:dyDescent="0.3">
      <c r="A4" s="33" t="s">
        <v>239</v>
      </c>
      <c r="B4" s="34">
        <f>IFERROR(INDEX(Contabilidade!$K:$K,MATCH($A4,Contabilidade!$J:$J,0)),"")</f>
        <v>5291412000141</v>
      </c>
      <c r="C4" s="35">
        <f>SUMIFS(Contabilidade!$M:$M,Contabilidade!$J:$J,$A4,Contabilidade!$X:$X,"1. Com nota fiscal recolhida")</f>
        <v>718.7</v>
      </c>
      <c r="D4" s="35">
        <f>SUMIFS(Contabilidade!$M:$M,Contabilidade!$J:$J,$A4,Contabilidade!$X:$X,"4. Crédito de estorno (desconto)")</f>
        <v>0</v>
      </c>
      <c r="E4" s="35">
        <f t="shared" ref="E4:E67" si="0">C4+D4</f>
        <v>718.7</v>
      </c>
      <c r="F4" s="35">
        <f>SUMIFS(Contabilidade!$M:$M,Contabilidade!$J:$J,$A4,Contabilidade!$X:$X,"2. Abastecimento cancelado (sem nota)")</f>
        <v>0</v>
      </c>
      <c r="G4" s="35">
        <f>SUMIFS(Contabilidade!$M:$M,Contabilidade!$J:$J,$A4,Contabilidade!$X:$X,"3. Sem nota fiscal")</f>
        <v>0</v>
      </c>
      <c r="H4" s="35">
        <f t="shared" ref="H4:H67" si="1">F4+G4</f>
        <v>0</v>
      </c>
      <c r="I4" s="35">
        <f t="shared" ref="I4:I67" si="2">E4+H4</f>
        <v>718.7</v>
      </c>
      <c r="J4" s="36">
        <f t="shared" ref="J4:J67" si="3">IF(I$208,I4/I$208,0)</f>
        <v>1.6216994259202089E-3</v>
      </c>
    </row>
    <row r="5" spans="1:10" x14ac:dyDescent="0.3">
      <c r="A5" s="18" t="s">
        <v>1626</v>
      </c>
      <c r="B5" s="32">
        <f>IFERROR(INDEX(Contabilidade!$K:$K,MATCH($A5,Contabilidade!$J:$J,0)),"")</f>
        <v>22620102000142</v>
      </c>
      <c r="C5" s="20">
        <f>SUMIFS(Contabilidade!$M:$M,Contabilidade!$J:$J,$A5,Contabilidade!$X:$X,"1. Com nota fiscal recolhida")</f>
        <v>103.6</v>
      </c>
      <c r="D5" s="20">
        <f>SUMIFS(Contabilidade!$M:$M,Contabilidade!$J:$J,$A5,Contabilidade!$X:$X,"4. Crédito de estorno (desconto)")</f>
        <v>0</v>
      </c>
      <c r="E5" s="20">
        <f t="shared" si="0"/>
        <v>103.6</v>
      </c>
      <c r="F5" s="20">
        <f>SUMIFS(Contabilidade!$M:$M,Contabilidade!$J:$J,$A5,Contabilidade!$X:$X,"2. Abastecimento cancelado (sem nota)")</f>
        <v>0</v>
      </c>
      <c r="G5" s="20">
        <f>SUMIFS(Contabilidade!$M:$M,Contabilidade!$J:$J,$A5,Contabilidade!$X:$X,"3. Sem nota fiscal")</f>
        <v>0</v>
      </c>
      <c r="H5" s="20">
        <f t="shared" si="1"/>
        <v>0</v>
      </c>
      <c r="I5" s="20">
        <f t="shared" si="2"/>
        <v>103.6</v>
      </c>
      <c r="J5" s="21">
        <f t="shared" si="3"/>
        <v>2.3376660710356701E-4</v>
      </c>
    </row>
    <row r="6" spans="1:10" x14ac:dyDescent="0.3">
      <c r="A6" s="33" t="s">
        <v>10</v>
      </c>
      <c r="B6" s="34">
        <f>IFERROR(INDEX(Contabilidade!$K:$K,MATCH($A6,Contabilidade!$J:$J,0)),"")</f>
        <v>33286065000102</v>
      </c>
      <c r="C6" s="35">
        <f>SUMIFS(Contabilidade!$M:$M,Contabilidade!$J:$J,$A6,Contabilidade!$X:$X,"1. Com nota fiscal recolhida")</f>
        <v>15588.05</v>
      </c>
      <c r="D6" s="35">
        <f>SUMIFS(Contabilidade!$M:$M,Contabilidade!$J:$J,$A6,Contabilidade!$X:$X,"4. Crédito de estorno (desconto)")</f>
        <v>0</v>
      </c>
      <c r="E6" s="35">
        <f t="shared" si="0"/>
        <v>15588.05</v>
      </c>
      <c r="F6" s="35">
        <f>SUMIFS(Contabilidade!$M:$M,Contabilidade!$J:$J,$A6,Contabilidade!$X:$X,"2. Abastecimento cancelado (sem nota)")</f>
        <v>0</v>
      </c>
      <c r="G6" s="35">
        <f>SUMIFS(Contabilidade!$M:$M,Contabilidade!$J:$J,$A6,Contabilidade!$X:$X,"3. Sem nota fiscal")</f>
        <v>0</v>
      </c>
      <c r="H6" s="35">
        <f t="shared" si="1"/>
        <v>0</v>
      </c>
      <c r="I6" s="35">
        <f t="shared" si="2"/>
        <v>15588.05</v>
      </c>
      <c r="J6" s="36">
        <f t="shared" si="3"/>
        <v>3.5173412739968705E-2</v>
      </c>
    </row>
    <row r="7" spans="1:10" x14ac:dyDescent="0.3">
      <c r="A7" s="18" t="s">
        <v>520</v>
      </c>
      <c r="B7" s="32">
        <f>IFERROR(INDEX(Contabilidade!$K:$K,MATCH($A7,Contabilidade!$J:$J,0)),"")</f>
        <v>44746308000156</v>
      </c>
      <c r="C7" s="20">
        <f>SUMIFS(Contabilidade!$M:$M,Contabilidade!$J:$J,$A7,Contabilidade!$X:$X,"1. Com nota fiscal recolhida")</f>
        <v>668.2</v>
      </c>
      <c r="D7" s="20">
        <f>SUMIFS(Contabilidade!$M:$M,Contabilidade!$J:$J,$A7,Contabilidade!$X:$X,"4. Crédito de estorno (desconto)")</f>
        <v>0</v>
      </c>
      <c r="E7" s="20">
        <f t="shared" si="0"/>
        <v>668.2</v>
      </c>
      <c r="F7" s="20">
        <f>SUMIFS(Contabilidade!$M:$M,Contabilidade!$J:$J,$A7,Contabilidade!$X:$X,"2. Abastecimento cancelado (sem nota)")</f>
        <v>0</v>
      </c>
      <c r="G7" s="20">
        <f>SUMIFS(Contabilidade!$M:$M,Contabilidade!$J:$J,$A7,Contabilidade!$X:$X,"3. Sem nota fiscal")</f>
        <v>0</v>
      </c>
      <c r="H7" s="20">
        <f t="shared" si="1"/>
        <v>0</v>
      </c>
      <c r="I7" s="20">
        <f t="shared" si="2"/>
        <v>668.2</v>
      </c>
      <c r="J7" s="21">
        <f t="shared" si="3"/>
        <v>1.5077494871293775E-3</v>
      </c>
    </row>
    <row r="8" spans="1:10" x14ac:dyDescent="0.3">
      <c r="A8" s="33" t="s">
        <v>288</v>
      </c>
      <c r="B8" s="34">
        <f>IFERROR(INDEX(Contabilidade!$K:$K,MATCH($A8,Contabilidade!$J:$J,0)),"")</f>
        <v>2162964000161</v>
      </c>
      <c r="C8" s="35">
        <f>SUMIFS(Contabilidade!$M:$M,Contabilidade!$J:$J,$A8,Contabilidade!$X:$X,"1. Com nota fiscal recolhida")</f>
        <v>662.78</v>
      </c>
      <c r="D8" s="35">
        <f>SUMIFS(Contabilidade!$M:$M,Contabilidade!$J:$J,$A8,Contabilidade!$X:$X,"4. Crédito de estorno (desconto)")</f>
        <v>0</v>
      </c>
      <c r="E8" s="35">
        <f t="shared" si="0"/>
        <v>662.78</v>
      </c>
      <c r="F8" s="35">
        <f>SUMIFS(Contabilidade!$M:$M,Contabilidade!$J:$J,$A8,Contabilidade!$X:$X,"2. Abastecimento cancelado (sem nota)")</f>
        <v>0</v>
      </c>
      <c r="G8" s="35">
        <f>SUMIFS(Contabilidade!$M:$M,Contabilidade!$J:$J,$A8,Contabilidade!$X:$X,"3. Sem nota fiscal")</f>
        <v>0</v>
      </c>
      <c r="H8" s="35">
        <f t="shared" si="1"/>
        <v>0</v>
      </c>
      <c r="I8" s="35">
        <f t="shared" si="2"/>
        <v>662.78</v>
      </c>
      <c r="J8" s="36">
        <f t="shared" si="3"/>
        <v>1.4955196125106386E-3</v>
      </c>
    </row>
    <row r="9" spans="1:10" x14ac:dyDescent="0.3">
      <c r="A9" s="18" t="s">
        <v>252</v>
      </c>
      <c r="B9" s="32">
        <f>IFERROR(INDEX(Contabilidade!$K:$K,MATCH($A9,Contabilidade!$J:$J,0)),"")</f>
        <v>3680814000102</v>
      </c>
      <c r="C9" s="20">
        <f>SUMIFS(Contabilidade!$M:$M,Contabilidade!$J:$J,$A9,Contabilidade!$X:$X,"1. Com nota fiscal recolhida")</f>
        <v>1040.22</v>
      </c>
      <c r="D9" s="20">
        <f>SUMIFS(Contabilidade!$M:$M,Contabilidade!$J:$J,$A9,Contabilidade!$X:$X,"4. Crédito de estorno (desconto)")</f>
        <v>0</v>
      </c>
      <c r="E9" s="20">
        <f t="shared" si="0"/>
        <v>1040.22</v>
      </c>
      <c r="F9" s="20">
        <f>SUMIFS(Contabilidade!$M:$M,Contabilidade!$J:$J,$A9,Contabilidade!$X:$X,"2. Abastecimento cancelado (sem nota)")</f>
        <v>0</v>
      </c>
      <c r="G9" s="20">
        <f>SUMIFS(Contabilidade!$M:$M,Contabilidade!$J:$J,$A9,Contabilidade!$X:$X,"3. Sem nota fiscal")</f>
        <v>0</v>
      </c>
      <c r="H9" s="20">
        <f t="shared" si="1"/>
        <v>0</v>
      </c>
      <c r="I9" s="20">
        <f t="shared" si="2"/>
        <v>1040.22</v>
      </c>
      <c r="J9" s="21">
        <f t="shared" si="3"/>
        <v>2.3471882243366071E-3</v>
      </c>
    </row>
    <row r="10" spans="1:10" x14ac:dyDescent="0.3">
      <c r="A10" s="33" t="s">
        <v>209</v>
      </c>
      <c r="B10" s="34">
        <f>IFERROR(INDEX(Contabilidade!$K:$K,MATCH($A10,Contabilidade!$J:$J,0)),"")</f>
        <v>33360405000190</v>
      </c>
      <c r="C10" s="35">
        <f>SUMIFS(Contabilidade!$M:$M,Contabilidade!$J:$J,$A10,Contabilidade!$X:$X,"1. Com nota fiscal recolhida")</f>
        <v>4803.6900000000005</v>
      </c>
      <c r="D10" s="35">
        <f>SUMIFS(Contabilidade!$M:$M,Contabilidade!$J:$J,$A10,Contabilidade!$X:$X,"4. Crédito de estorno (desconto)")</f>
        <v>0</v>
      </c>
      <c r="E10" s="35">
        <f t="shared" si="0"/>
        <v>4803.6900000000005</v>
      </c>
      <c r="F10" s="35">
        <f>SUMIFS(Contabilidade!$M:$M,Contabilidade!$J:$J,$A10,Contabilidade!$X:$X,"2. Abastecimento cancelado (sem nota)")</f>
        <v>0</v>
      </c>
      <c r="G10" s="35">
        <f>SUMIFS(Contabilidade!$M:$M,Contabilidade!$J:$J,$A10,Contabilidade!$X:$X,"3. Sem nota fiscal")</f>
        <v>0</v>
      </c>
      <c r="H10" s="35">
        <f t="shared" si="1"/>
        <v>0</v>
      </c>
      <c r="I10" s="35">
        <f t="shared" si="2"/>
        <v>4803.6900000000005</v>
      </c>
      <c r="J10" s="36">
        <f t="shared" si="3"/>
        <v>1.0839211514259981E-2</v>
      </c>
    </row>
    <row r="11" spans="1:10" x14ac:dyDescent="0.3">
      <c r="A11" s="18" t="s">
        <v>345</v>
      </c>
      <c r="B11" s="32">
        <f>IFERROR(INDEX(Contabilidade!$K:$K,MATCH($A11,Contabilidade!$J:$J,0)),"")</f>
        <v>656619000230</v>
      </c>
      <c r="C11" s="20">
        <f>SUMIFS(Contabilidade!$M:$M,Contabilidade!$J:$J,$A11,Contabilidade!$X:$X,"1. Com nota fiscal recolhida")</f>
        <v>187.94</v>
      </c>
      <c r="D11" s="20">
        <f>SUMIFS(Contabilidade!$M:$M,Contabilidade!$J:$J,$A11,Contabilidade!$X:$X,"4. Crédito de estorno (desconto)")</f>
        <v>0</v>
      </c>
      <c r="E11" s="20">
        <f t="shared" si="0"/>
        <v>187.94</v>
      </c>
      <c r="F11" s="20">
        <f>SUMIFS(Contabilidade!$M:$M,Contabilidade!$J:$J,$A11,Contabilidade!$X:$X,"2. Abastecimento cancelado (sem nota)")</f>
        <v>0</v>
      </c>
      <c r="G11" s="20">
        <f>SUMIFS(Contabilidade!$M:$M,Contabilidade!$J:$J,$A11,Contabilidade!$X:$X,"3. Sem nota fiscal")</f>
        <v>0</v>
      </c>
      <c r="H11" s="20">
        <f t="shared" si="1"/>
        <v>0</v>
      </c>
      <c r="I11" s="20">
        <f t="shared" si="2"/>
        <v>187.94</v>
      </c>
      <c r="J11" s="21">
        <f t="shared" si="3"/>
        <v>4.2407428705641302E-4</v>
      </c>
    </row>
    <row r="12" spans="1:10" x14ac:dyDescent="0.3">
      <c r="A12" s="33" t="s">
        <v>221</v>
      </c>
      <c r="B12" s="34">
        <f>IFERROR(INDEX(Contabilidade!$K:$K,MATCH($A12,Contabilidade!$J:$J,0)),"")</f>
        <v>8810726000100</v>
      </c>
      <c r="C12" s="35">
        <f>SUMIFS(Contabilidade!$M:$M,Contabilidade!$J:$J,$A12,Contabilidade!$X:$X,"1. Com nota fiscal recolhida")</f>
        <v>3837</v>
      </c>
      <c r="D12" s="35">
        <f>SUMIFS(Contabilidade!$M:$M,Contabilidade!$J:$J,$A12,Contabilidade!$X:$X,"4. Crédito de estorno (desconto)")</f>
        <v>0</v>
      </c>
      <c r="E12" s="35">
        <f t="shared" si="0"/>
        <v>3837</v>
      </c>
      <c r="F12" s="35">
        <f>SUMIFS(Contabilidade!$M:$M,Contabilidade!$J:$J,$A12,Contabilidade!$X:$X,"2. Abastecimento cancelado (sem nota)")</f>
        <v>0</v>
      </c>
      <c r="G12" s="35">
        <f>SUMIFS(Contabilidade!$M:$M,Contabilidade!$J:$J,$A12,Contabilidade!$X:$X,"3. Sem nota fiscal")</f>
        <v>0</v>
      </c>
      <c r="H12" s="35">
        <f t="shared" si="1"/>
        <v>0</v>
      </c>
      <c r="I12" s="35">
        <f t="shared" si="2"/>
        <v>3837</v>
      </c>
      <c r="J12" s="36">
        <f t="shared" si="3"/>
        <v>8.6579389136716856E-3</v>
      </c>
    </row>
    <row r="13" spans="1:10" x14ac:dyDescent="0.3">
      <c r="A13" s="18" t="s">
        <v>157</v>
      </c>
      <c r="B13" s="32">
        <f>IFERROR(INDEX(Contabilidade!$K:$K,MATCH($A13,Contabilidade!$J:$J,0)),"")</f>
        <v>78253424000155</v>
      </c>
      <c r="C13" s="20">
        <f>SUMIFS(Contabilidade!$M:$M,Contabilidade!$J:$J,$A13,Contabilidade!$X:$X,"1. Com nota fiscal recolhida")</f>
        <v>2230.34</v>
      </c>
      <c r="D13" s="20">
        <f>SUMIFS(Contabilidade!$M:$M,Contabilidade!$J:$J,$A13,Contabilidade!$X:$X,"4. Crédito de estorno (desconto)")</f>
        <v>0</v>
      </c>
      <c r="E13" s="20">
        <f t="shared" si="0"/>
        <v>2230.34</v>
      </c>
      <c r="F13" s="20">
        <f>SUMIFS(Contabilidade!$M:$M,Contabilidade!$J:$J,$A13,Contabilidade!$X:$X,"2. Abastecimento cancelado (sem nota)")</f>
        <v>0</v>
      </c>
      <c r="G13" s="20">
        <f>SUMIFS(Contabilidade!$M:$M,Contabilidade!$J:$J,$A13,Contabilidade!$X:$X,"3. Sem nota fiscal")</f>
        <v>0</v>
      </c>
      <c r="H13" s="20">
        <f t="shared" si="1"/>
        <v>0</v>
      </c>
      <c r="I13" s="20">
        <f t="shared" si="2"/>
        <v>2230.34</v>
      </c>
      <c r="J13" s="21">
        <f t="shared" si="3"/>
        <v>5.032615969955306E-3</v>
      </c>
    </row>
    <row r="14" spans="1:10" x14ac:dyDescent="0.3">
      <c r="A14" s="33" t="s">
        <v>20</v>
      </c>
      <c r="B14" s="34">
        <f>IFERROR(INDEX(Contabilidade!$K:$K,MATCH($A14,Contabilidade!$J:$J,0)),"")</f>
        <v>27751075017640</v>
      </c>
      <c r="C14" s="35">
        <f>SUMIFS(Contabilidade!$M:$M,Contabilidade!$J:$J,$A14,Contabilidade!$X:$X,"1. Com nota fiscal recolhida")</f>
        <v>3324.71</v>
      </c>
      <c r="D14" s="35">
        <f>SUMIFS(Contabilidade!$M:$M,Contabilidade!$J:$J,$A14,Contabilidade!$X:$X,"4. Crédito de estorno (desconto)")</f>
        <v>0</v>
      </c>
      <c r="E14" s="35">
        <f t="shared" si="0"/>
        <v>3324.71</v>
      </c>
      <c r="F14" s="35">
        <f>SUMIFS(Contabilidade!$M:$M,Contabilidade!$J:$J,$A14,Contabilidade!$X:$X,"2. Abastecimento cancelado (sem nota)")</f>
        <v>0</v>
      </c>
      <c r="G14" s="35">
        <f>SUMIFS(Contabilidade!$M:$M,Contabilidade!$J:$J,$A14,Contabilidade!$X:$X,"3. Sem nota fiscal")</f>
        <v>0</v>
      </c>
      <c r="H14" s="35">
        <f t="shared" si="1"/>
        <v>0</v>
      </c>
      <c r="I14" s="35">
        <f t="shared" si="2"/>
        <v>3324.71</v>
      </c>
      <c r="J14" s="36">
        <f t="shared" si="3"/>
        <v>7.5019901187577259E-3</v>
      </c>
    </row>
    <row r="15" spans="1:10" x14ac:dyDescent="0.3">
      <c r="A15" s="18" t="s">
        <v>190</v>
      </c>
      <c r="B15" s="32">
        <f>IFERROR(INDEX(Contabilidade!$K:$K,MATCH($A15,Contabilidade!$J:$J,0)),"")</f>
        <v>5773237000129</v>
      </c>
      <c r="C15" s="20">
        <f>SUMIFS(Contabilidade!$M:$M,Contabilidade!$J:$J,$A15,Contabilidade!$X:$X,"1. Com nota fiscal recolhida")</f>
        <v>89.52</v>
      </c>
      <c r="D15" s="20">
        <f>SUMIFS(Contabilidade!$M:$M,Contabilidade!$J:$J,$A15,Contabilidade!$X:$X,"4. Crédito de estorno (desconto)")</f>
        <v>0</v>
      </c>
      <c r="E15" s="20">
        <f t="shared" si="0"/>
        <v>89.52</v>
      </c>
      <c r="F15" s="20">
        <f>SUMIFS(Contabilidade!$M:$M,Contabilidade!$J:$J,$A15,Contabilidade!$X:$X,"2. Abastecimento cancelado (sem nota)")</f>
        <v>0</v>
      </c>
      <c r="G15" s="20">
        <f>SUMIFS(Contabilidade!$M:$M,Contabilidade!$J:$J,$A15,Contabilidade!$X:$X,"3. Sem nota fiscal")</f>
        <v>0</v>
      </c>
      <c r="H15" s="20">
        <f t="shared" si="1"/>
        <v>0</v>
      </c>
      <c r="I15" s="20">
        <f t="shared" si="2"/>
        <v>89.52</v>
      </c>
      <c r="J15" s="21">
        <f t="shared" si="3"/>
        <v>2.0199601030802431E-4</v>
      </c>
    </row>
    <row r="16" spans="1:10" x14ac:dyDescent="0.3">
      <c r="A16" s="33" t="s">
        <v>287</v>
      </c>
      <c r="B16" s="34">
        <f>IFERROR(INDEX(Contabilidade!$K:$K,MATCH($A16,Contabilidade!$J:$J,0)),"")</f>
        <v>38132296000177</v>
      </c>
      <c r="C16" s="35">
        <f>SUMIFS(Contabilidade!$M:$M,Contabilidade!$J:$J,$A16,Contabilidade!$X:$X,"1. Com nota fiscal recolhida")</f>
        <v>652.08999999999992</v>
      </c>
      <c r="D16" s="35">
        <f>SUMIFS(Contabilidade!$M:$M,Contabilidade!$J:$J,$A16,Contabilidade!$X:$X,"4. Crédito de estorno (desconto)")</f>
        <v>0</v>
      </c>
      <c r="E16" s="35">
        <f t="shared" si="0"/>
        <v>652.08999999999992</v>
      </c>
      <c r="F16" s="35">
        <f>SUMIFS(Contabilidade!$M:$M,Contabilidade!$J:$J,$A16,Contabilidade!$X:$X,"2. Abastecimento cancelado (sem nota)")</f>
        <v>0</v>
      </c>
      <c r="G16" s="35">
        <f>SUMIFS(Contabilidade!$M:$M,Contabilidade!$J:$J,$A16,Contabilidade!$X:$X,"3. Sem nota fiscal")</f>
        <v>0</v>
      </c>
      <c r="H16" s="35">
        <f t="shared" si="1"/>
        <v>0</v>
      </c>
      <c r="I16" s="35">
        <f t="shared" si="2"/>
        <v>652.08999999999992</v>
      </c>
      <c r="J16" s="36">
        <f t="shared" si="3"/>
        <v>1.4713983284378861E-3</v>
      </c>
    </row>
    <row r="17" spans="1:10" x14ac:dyDescent="0.3">
      <c r="A17" s="18" t="s">
        <v>117</v>
      </c>
      <c r="B17" s="32">
        <f>IFERROR(INDEX(Contabilidade!$K:$K,MATCH($A17,Contabilidade!$J:$J,0)),"")</f>
        <v>1756915000194</v>
      </c>
      <c r="C17" s="20">
        <f>SUMIFS(Contabilidade!$M:$M,Contabilidade!$J:$J,$A17,Contabilidade!$X:$X,"1. Com nota fiscal recolhida")</f>
        <v>605.19000000000005</v>
      </c>
      <c r="D17" s="20">
        <f>SUMIFS(Contabilidade!$M:$M,Contabilidade!$J:$J,$A17,Contabilidade!$X:$X,"4. Crédito de estorno (desconto)")</f>
        <v>0</v>
      </c>
      <c r="E17" s="20">
        <f t="shared" si="0"/>
        <v>605.19000000000005</v>
      </c>
      <c r="F17" s="20">
        <f>SUMIFS(Contabilidade!$M:$M,Contabilidade!$J:$J,$A17,Contabilidade!$X:$X,"2. Abastecimento cancelado (sem nota)")</f>
        <v>0</v>
      </c>
      <c r="G17" s="20">
        <f>SUMIFS(Contabilidade!$M:$M,Contabilidade!$J:$J,$A17,Contabilidade!$X:$X,"3. Sem nota fiscal")</f>
        <v>0</v>
      </c>
      <c r="H17" s="20">
        <f t="shared" si="1"/>
        <v>0</v>
      </c>
      <c r="I17" s="20">
        <f t="shared" si="2"/>
        <v>605.19000000000005</v>
      </c>
      <c r="J17" s="21">
        <f t="shared" si="3"/>
        <v>1.3655715536004609E-3</v>
      </c>
    </row>
    <row r="18" spans="1:10" x14ac:dyDescent="0.3">
      <c r="A18" s="33" t="s">
        <v>3176</v>
      </c>
      <c r="B18" s="34">
        <f>IFERROR(INDEX(Contabilidade!$K:$K,MATCH($A18,Contabilidade!$J:$J,0)),"")</f>
        <v>81642308000132</v>
      </c>
      <c r="C18" s="35">
        <f>SUMIFS(Contabilidade!$M:$M,Contabilidade!$J:$J,$A18,Contabilidade!$X:$X,"1. Com nota fiscal recolhida")</f>
        <v>283.60000000000002</v>
      </c>
      <c r="D18" s="35">
        <f>SUMIFS(Contabilidade!$M:$M,Contabilidade!$J:$J,$A18,Contabilidade!$X:$X,"4. Crédito de estorno (desconto)")</f>
        <v>0</v>
      </c>
      <c r="E18" s="35">
        <f t="shared" si="0"/>
        <v>283.60000000000002</v>
      </c>
      <c r="F18" s="35">
        <f>SUMIFS(Contabilidade!$M:$M,Contabilidade!$J:$J,$A18,Contabilidade!$X:$X,"2. Abastecimento cancelado (sem nota)")</f>
        <v>0</v>
      </c>
      <c r="G18" s="35">
        <f>SUMIFS(Contabilidade!$M:$M,Contabilidade!$J:$J,$A18,Contabilidade!$X:$X,"3. Sem nota fiscal")</f>
        <v>0</v>
      </c>
      <c r="H18" s="35">
        <f t="shared" si="1"/>
        <v>0</v>
      </c>
      <c r="I18" s="35">
        <f t="shared" si="2"/>
        <v>283.60000000000002</v>
      </c>
      <c r="J18" s="36">
        <f t="shared" si="3"/>
        <v>6.399248047738573E-4</v>
      </c>
    </row>
    <row r="19" spans="1:10" x14ac:dyDescent="0.3">
      <c r="A19" s="18" t="s">
        <v>184</v>
      </c>
      <c r="B19" s="32">
        <f>IFERROR(INDEX(Contabilidade!$K:$K,MATCH($A19,Contabilidade!$J:$J,0)),"")</f>
        <v>8399617000303</v>
      </c>
      <c r="C19" s="20">
        <f>SUMIFS(Contabilidade!$M:$M,Contabilidade!$J:$J,$A19,Contabilidade!$X:$X,"1. Com nota fiscal recolhida")</f>
        <v>101.14</v>
      </c>
      <c r="D19" s="20">
        <f>SUMIFS(Contabilidade!$M:$M,Contabilidade!$J:$J,$A19,Contabilidade!$X:$X,"4. Crédito de estorno (desconto)")</f>
        <v>0</v>
      </c>
      <c r="E19" s="20">
        <f t="shared" si="0"/>
        <v>101.14</v>
      </c>
      <c r="F19" s="20">
        <f>SUMIFS(Contabilidade!$M:$M,Contabilidade!$J:$J,$A19,Contabilidade!$X:$X,"2. Abastecimento cancelado (sem nota)")</f>
        <v>0</v>
      </c>
      <c r="G19" s="20">
        <f>SUMIFS(Contabilidade!$M:$M,Contabilidade!$J:$J,$A19,Contabilidade!$X:$X,"3. Sem nota fiscal")</f>
        <v>89.31</v>
      </c>
      <c r="H19" s="20">
        <f t="shared" si="1"/>
        <v>89.31</v>
      </c>
      <c r="I19" s="20">
        <f t="shared" si="2"/>
        <v>190.45</v>
      </c>
      <c r="J19" s="21">
        <f t="shared" si="3"/>
        <v>4.2973793747948203E-4</v>
      </c>
    </row>
    <row r="20" spans="1:10" x14ac:dyDescent="0.3">
      <c r="A20" s="33" t="s">
        <v>202</v>
      </c>
      <c r="B20" s="34">
        <f>IFERROR(INDEX(Contabilidade!$K:$K,MATCH($A20,Contabilidade!$J:$J,0)),"")</f>
        <v>5065447000162</v>
      </c>
      <c r="C20" s="35">
        <f>SUMIFS(Contabilidade!$M:$M,Contabilidade!$J:$J,$A20,Contabilidade!$X:$X,"1. Com nota fiscal recolhida")</f>
        <v>2132.94</v>
      </c>
      <c r="D20" s="35">
        <f>SUMIFS(Contabilidade!$M:$M,Contabilidade!$J:$J,$A20,Contabilidade!$X:$X,"4. Crédito de estorno (desconto)")</f>
        <v>0</v>
      </c>
      <c r="E20" s="35">
        <f t="shared" si="0"/>
        <v>2132.94</v>
      </c>
      <c r="F20" s="35">
        <f>SUMIFS(Contabilidade!$M:$M,Contabilidade!$J:$J,$A20,Contabilidade!$X:$X,"2. Abastecimento cancelado (sem nota)")</f>
        <v>0</v>
      </c>
      <c r="G20" s="35">
        <f>SUMIFS(Contabilidade!$M:$M,Contabilidade!$J:$J,$A20,Contabilidade!$X:$X,"3. Sem nota fiscal")</f>
        <v>0</v>
      </c>
      <c r="H20" s="35">
        <f t="shared" si="1"/>
        <v>0</v>
      </c>
      <c r="I20" s="35">
        <f t="shared" si="2"/>
        <v>2132.94</v>
      </c>
      <c r="J20" s="36">
        <f t="shared" si="3"/>
        <v>4.8128392563270492E-3</v>
      </c>
    </row>
    <row r="21" spans="1:10" x14ac:dyDescent="0.3">
      <c r="A21" s="18" t="s">
        <v>1032</v>
      </c>
      <c r="B21" s="32">
        <f>IFERROR(INDEX(Contabilidade!$K:$K,MATCH($A21,Contabilidade!$J:$J,0)),"")</f>
        <v>9427958000138</v>
      </c>
      <c r="C21" s="20">
        <f>SUMIFS(Contabilidade!$M:$M,Contabilidade!$J:$J,$A21,Contabilidade!$X:$X,"1. Com nota fiscal recolhida")</f>
        <v>445.12</v>
      </c>
      <c r="D21" s="20">
        <f>SUMIFS(Contabilidade!$M:$M,Contabilidade!$J:$J,$A21,Contabilidade!$X:$X,"4. Crédito de estorno (desconto)")</f>
        <v>0</v>
      </c>
      <c r="E21" s="20">
        <f t="shared" si="0"/>
        <v>445.12</v>
      </c>
      <c r="F21" s="20">
        <f>SUMIFS(Contabilidade!$M:$M,Contabilidade!$J:$J,$A21,Contabilidade!$X:$X,"2. Abastecimento cancelado (sem nota)")</f>
        <v>0</v>
      </c>
      <c r="G21" s="20">
        <f>SUMIFS(Contabilidade!$M:$M,Contabilidade!$J:$J,$A21,Contabilidade!$X:$X,"3. Sem nota fiscal")</f>
        <v>0</v>
      </c>
      <c r="H21" s="20">
        <f t="shared" si="1"/>
        <v>0</v>
      </c>
      <c r="I21" s="20">
        <f t="shared" si="2"/>
        <v>445.12</v>
      </c>
      <c r="J21" s="21">
        <f t="shared" si="3"/>
        <v>1.0043840941499978E-3</v>
      </c>
    </row>
    <row r="22" spans="1:10" x14ac:dyDescent="0.3">
      <c r="A22" s="33" t="s">
        <v>258</v>
      </c>
      <c r="B22" s="34">
        <f>IFERROR(INDEX(Contabilidade!$K:$K,MATCH($A22,Contabilidade!$J:$J,0)),"")</f>
        <v>26602128000119</v>
      </c>
      <c r="C22" s="35">
        <f>SUMIFS(Contabilidade!$M:$M,Contabilidade!$J:$J,$A22,Contabilidade!$X:$X,"1. Com nota fiscal recolhida")</f>
        <v>436.49</v>
      </c>
      <c r="D22" s="35">
        <f>SUMIFS(Contabilidade!$M:$M,Contabilidade!$J:$J,$A22,Contabilidade!$X:$X,"4. Crédito de estorno (desconto)")</f>
        <v>0</v>
      </c>
      <c r="E22" s="35">
        <f t="shared" si="0"/>
        <v>436.49</v>
      </c>
      <c r="F22" s="35">
        <f>SUMIFS(Contabilidade!$M:$M,Contabilidade!$J:$J,$A22,Contabilidade!$X:$X,"2. Abastecimento cancelado (sem nota)")</f>
        <v>0</v>
      </c>
      <c r="G22" s="35">
        <f>SUMIFS(Contabilidade!$M:$M,Contabilidade!$J:$J,$A22,Contabilidade!$X:$X,"3. Sem nota fiscal")</f>
        <v>0</v>
      </c>
      <c r="H22" s="35">
        <f t="shared" si="1"/>
        <v>0</v>
      </c>
      <c r="I22" s="35">
        <f t="shared" si="2"/>
        <v>436.49</v>
      </c>
      <c r="J22" s="36">
        <f t="shared" si="3"/>
        <v>9.849110650061387E-4</v>
      </c>
    </row>
    <row r="23" spans="1:10" x14ac:dyDescent="0.3">
      <c r="A23" s="18" t="s">
        <v>467</v>
      </c>
      <c r="B23" s="32">
        <f>IFERROR(INDEX(Contabilidade!$K:$K,MATCH($A23,Contabilidade!$J:$J,0)),"")</f>
        <v>84923127000172</v>
      </c>
      <c r="C23" s="20">
        <f>SUMIFS(Contabilidade!$M:$M,Contabilidade!$J:$J,$A23,Contabilidade!$X:$X,"1. Com nota fiscal recolhida")</f>
        <v>1115.8900000000001</v>
      </c>
      <c r="D23" s="20">
        <f>SUMIFS(Contabilidade!$M:$M,Contabilidade!$J:$J,$A23,Contabilidade!$X:$X,"4. Crédito de estorno (desconto)")</f>
        <v>0</v>
      </c>
      <c r="E23" s="20">
        <f t="shared" si="0"/>
        <v>1115.8900000000001</v>
      </c>
      <c r="F23" s="20">
        <f>SUMIFS(Contabilidade!$M:$M,Contabilidade!$J:$J,$A23,Contabilidade!$X:$X,"2. Abastecimento cancelado (sem nota)")</f>
        <v>0</v>
      </c>
      <c r="G23" s="20">
        <f>SUMIFS(Contabilidade!$M:$M,Contabilidade!$J:$J,$A23,Contabilidade!$X:$X,"3. Sem nota fiscal")</f>
        <v>0</v>
      </c>
      <c r="H23" s="20">
        <f t="shared" si="1"/>
        <v>0</v>
      </c>
      <c r="I23" s="20">
        <f t="shared" si="2"/>
        <v>1115.8900000000001</v>
      </c>
      <c r="J23" s="21">
        <f t="shared" si="3"/>
        <v>2.5179326177683344E-3</v>
      </c>
    </row>
    <row r="24" spans="1:10" x14ac:dyDescent="0.3">
      <c r="A24" s="33" t="s">
        <v>488</v>
      </c>
      <c r="B24" s="34">
        <f>IFERROR(INDEX(Contabilidade!$K:$K,MATCH($A24,Contabilidade!$J:$J,0)),"")</f>
        <v>54052204000103</v>
      </c>
      <c r="C24" s="35">
        <f>SUMIFS(Contabilidade!$M:$M,Contabilidade!$J:$J,$A24,Contabilidade!$X:$X,"1. Com nota fiscal recolhida")</f>
        <v>1224.6099999999999</v>
      </c>
      <c r="D24" s="35">
        <f>SUMIFS(Contabilidade!$M:$M,Contabilidade!$J:$J,$A24,Contabilidade!$X:$X,"4. Crédito de estorno (desconto)")</f>
        <v>0</v>
      </c>
      <c r="E24" s="35">
        <f t="shared" si="0"/>
        <v>1224.6099999999999</v>
      </c>
      <c r="F24" s="35">
        <f>SUMIFS(Contabilidade!$M:$M,Contabilidade!$J:$J,$A24,Contabilidade!$X:$X,"2. Abastecimento cancelado (sem nota)")</f>
        <v>0</v>
      </c>
      <c r="G24" s="35">
        <f>SUMIFS(Contabilidade!$M:$M,Contabilidade!$J:$J,$A24,Contabilidade!$X:$X,"3. Sem nota fiscal")</f>
        <v>0</v>
      </c>
      <c r="H24" s="35">
        <f t="shared" si="1"/>
        <v>0</v>
      </c>
      <c r="I24" s="35">
        <f t="shared" si="2"/>
        <v>1224.6099999999999</v>
      </c>
      <c r="J24" s="36">
        <f t="shared" si="3"/>
        <v>2.7632521691611893E-3</v>
      </c>
    </row>
    <row r="25" spans="1:10" x14ac:dyDescent="0.3">
      <c r="A25" s="18" t="s">
        <v>94</v>
      </c>
      <c r="B25" s="32">
        <f>IFERROR(INDEX(Contabilidade!$K:$K,MATCH($A25,Contabilidade!$J:$J,0)),"")</f>
        <v>1300979000186</v>
      </c>
      <c r="C25" s="20">
        <f>SUMIFS(Contabilidade!$M:$M,Contabilidade!$J:$J,$A25,Contabilidade!$X:$X,"1. Com nota fiscal recolhida")</f>
        <v>277.36</v>
      </c>
      <c r="D25" s="20">
        <f>SUMIFS(Contabilidade!$M:$M,Contabilidade!$J:$J,$A25,Contabilidade!$X:$X,"4. Crédito de estorno (desconto)")</f>
        <v>0</v>
      </c>
      <c r="E25" s="20">
        <f t="shared" si="0"/>
        <v>277.36</v>
      </c>
      <c r="F25" s="20">
        <f>SUMIFS(Contabilidade!$M:$M,Contabilidade!$J:$J,$A25,Contabilidade!$X:$X,"2. Abastecimento cancelado (sem nota)")</f>
        <v>0</v>
      </c>
      <c r="G25" s="20">
        <f>SUMIFS(Contabilidade!$M:$M,Contabilidade!$J:$J,$A25,Contabilidade!$X:$X,"3. Sem nota fiscal")</f>
        <v>0</v>
      </c>
      <c r="H25" s="20">
        <f t="shared" si="1"/>
        <v>0</v>
      </c>
      <c r="I25" s="20">
        <f t="shared" si="2"/>
        <v>277.36</v>
      </c>
      <c r="J25" s="21">
        <f t="shared" si="3"/>
        <v>6.258446539212872E-4</v>
      </c>
    </row>
    <row r="26" spans="1:10" x14ac:dyDescent="0.3">
      <c r="A26" s="33" t="s">
        <v>16</v>
      </c>
      <c r="B26" s="34">
        <f>IFERROR(INDEX(Contabilidade!$K:$K,MATCH($A26,Contabilidade!$J:$J,0)),"")</f>
        <v>73648610000170</v>
      </c>
      <c r="C26" s="35">
        <f>SUMIFS(Contabilidade!$M:$M,Contabilidade!$J:$J,$A26,Contabilidade!$X:$X,"1. Com nota fiscal recolhida")</f>
        <v>927.51</v>
      </c>
      <c r="D26" s="35">
        <f>SUMIFS(Contabilidade!$M:$M,Contabilidade!$J:$J,$A26,Contabilidade!$X:$X,"4. Crédito de estorno (desconto)")</f>
        <v>0</v>
      </c>
      <c r="E26" s="35">
        <f t="shared" si="0"/>
        <v>927.51</v>
      </c>
      <c r="F26" s="35">
        <f>SUMIFS(Contabilidade!$M:$M,Contabilidade!$J:$J,$A26,Contabilidade!$X:$X,"2. Abastecimento cancelado (sem nota)")</f>
        <v>0</v>
      </c>
      <c r="G26" s="35">
        <f>SUMIFS(Contabilidade!$M:$M,Contabilidade!$J:$J,$A26,Contabilidade!$X:$X,"3. Sem nota fiscal")</f>
        <v>0</v>
      </c>
      <c r="H26" s="35">
        <f t="shared" si="1"/>
        <v>0</v>
      </c>
      <c r="I26" s="35">
        <f t="shared" si="2"/>
        <v>927.51</v>
      </c>
      <c r="J26" s="36">
        <f t="shared" si="3"/>
        <v>2.0928654995620603E-3</v>
      </c>
    </row>
    <row r="27" spans="1:10" x14ac:dyDescent="0.3">
      <c r="A27" s="18" t="s">
        <v>149</v>
      </c>
      <c r="B27" s="32">
        <f>IFERROR(INDEX(Contabilidade!$K:$K,MATCH($A27,Contabilidade!$J:$J,0)),"")</f>
        <v>8512459000186</v>
      </c>
      <c r="C27" s="20">
        <f>SUMIFS(Contabilidade!$M:$M,Contabilidade!$J:$J,$A27,Contabilidade!$X:$X,"1. Com nota fiscal recolhida")</f>
        <v>491.67999999999995</v>
      </c>
      <c r="D27" s="20">
        <f>SUMIFS(Contabilidade!$M:$M,Contabilidade!$J:$J,$A27,Contabilidade!$X:$X,"4. Crédito de estorno (desconto)")</f>
        <v>0</v>
      </c>
      <c r="E27" s="20">
        <f t="shared" si="0"/>
        <v>491.67999999999995</v>
      </c>
      <c r="F27" s="20">
        <f>SUMIFS(Contabilidade!$M:$M,Contabilidade!$J:$J,$A27,Contabilidade!$X:$X,"2. Abastecimento cancelado (sem nota)")</f>
        <v>0</v>
      </c>
      <c r="G27" s="20">
        <f>SUMIFS(Contabilidade!$M:$M,Contabilidade!$J:$J,$A27,Contabilidade!$X:$X,"3. Sem nota fiscal")</f>
        <v>0</v>
      </c>
      <c r="H27" s="20">
        <f t="shared" si="1"/>
        <v>0</v>
      </c>
      <c r="I27" s="20">
        <f t="shared" si="2"/>
        <v>491.67999999999995</v>
      </c>
      <c r="J27" s="21">
        <f t="shared" si="3"/>
        <v>1.1094436812807127E-3</v>
      </c>
    </row>
    <row r="28" spans="1:10" x14ac:dyDescent="0.3">
      <c r="A28" s="33" t="s">
        <v>255</v>
      </c>
      <c r="B28" s="34">
        <f>IFERROR(INDEX(Contabilidade!$K:$K,MATCH($A28,Contabilidade!$J:$J,0)),"")</f>
        <v>8512459000690</v>
      </c>
      <c r="C28" s="35">
        <f>SUMIFS(Contabilidade!$M:$M,Contabilidade!$J:$J,$A28,Contabilidade!$X:$X,"1. Com nota fiscal recolhida")</f>
        <v>516.76</v>
      </c>
      <c r="D28" s="35">
        <f>SUMIFS(Contabilidade!$M:$M,Contabilidade!$J:$J,$A28,Contabilidade!$X:$X,"4. Crédito de estorno (desconto)")</f>
        <v>0</v>
      </c>
      <c r="E28" s="35">
        <f t="shared" si="0"/>
        <v>516.76</v>
      </c>
      <c r="F28" s="35">
        <f>SUMIFS(Contabilidade!$M:$M,Contabilidade!$J:$J,$A28,Contabilidade!$X:$X,"2. Abastecimento cancelado (sem nota)")</f>
        <v>0</v>
      </c>
      <c r="G28" s="35">
        <f>SUMIFS(Contabilidade!$M:$M,Contabilidade!$J:$J,$A28,Contabilidade!$X:$X,"3. Sem nota fiscal")</f>
        <v>0</v>
      </c>
      <c r="H28" s="35">
        <f t="shared" si="1"/>
        <v>0</v>
      </c>
      <c r="I28" s="35">
        <f t="shared" si="2"/>
        <v>516.76</v>
      </c>
      <c r="J28" s="36">
        <f t="shared" si="3"/>
        <v>1.1660350568227732E-3</v>
      </c>
    </row>
    <row r="29" spans="1:10" x14ac:dyDescent="0.3">
      <c r="A29" s="18" t="s">
        <v>98</v>
      </c>
      <c r="B29" s="32">
        <f>IFERROR(INDEX(Contabilidade!$K:$K,MATCH($A29,Contabilidade!$J:$J,0)),"")</f>
        <v>26914325000173</v>
      </c>
      <c r="C29" s="20">
        <f>SUMIFS(Contabilidade!$M:$M,Contabilidade!$J:$J,$A29,Contabilidade!$X:$X,"1. Com nota fiscal recolhida")</f>
        <v>505.86</v>
      </c>
      <c r="D29" s="20">
        <f>SUMIFS(Contabilidade!$M:$M,Contabilidade!$J:$J,$A29,Contabilidade!$X:$X,"4. Crédito de estorno (desconto)")</f>
        <v>0</v>
      </c>
      <c r="E29" s="20">
        <f t="shared" si="0"/>
        <v>505.86</v>
      </c>
      <c r="F29" s="20">
        <f>SUMIFS(Contabilidade!$M:$M,Contabilidade!$J:$J,$A29,Contabilidade!$X:$X,"2. Abastecimento cancelado (sem nota)")</f>
        <v>0</v>
      </c>
      <c r="G29" s="20">
        <f>SUMIFS(Contabilidade!$M:$M,Contabilidade!$J:$J,$A29,Contabilidade!$X:$X,"3. Sem nota fiscal")</f>
        <v>0</v>
      </c>
      <c r="H29" s="20">
        <f t="shared" si="1"/>
        <v>0</v>
      </c>
      <c r="I29" s="20">
        <f t="shared" si="2"/>
        <v>505.86</v>
      </c>
      <c r="J29" s="21">
        <f t="shared" si="3"/>
        <v>1.1414399215194057E-3</v>
      </c>
    </row>
    <row r="30" spans="1:10" x14ac:dyDescent="0.3">
      <c r="A30" s="33" t="s">
        <v>290</v>
      </c>
      <c r="B30" s="34">
        <f>IFERROR(INDEX(Contabilidade!$K:$K,MATCH($A30,Contabilidade!$J:$J,0)),"")</f>
        <v>4283686000126</v>
      </c>
      <c r="C30" s="35">
        <f>SUMIFS(Contabilidade!$M:$M,Contabilidade!$J:$J,$A30,Contabilidade!$X:$X,"1. Com nota fiscal recolhida")</f>
        <v>290.15999999999997</v>
      </c>
      <c r="D30" s="35">
        <f>SUMIFS(Contabilidade!$M:$M,Contabilidade!$J:$J,$A30,Contabilidade!$X:$X,"4. Crédito de estorno (desconto)")</f>
        <v>0</v>
      </c>
      <c r="E30" s="35">
        <f t="shared" si="0"/>
        <v>290.15999999999997</v>
      </c>
      <c r="F30" s="35">
        <f>SUMIFS(Contabilidade!$M:$M,Contabilidade!$J:$J,$A30,Contabilidade!$X:$X,"2. Abastecimento cancelado (sem nota)")</f>
        <v>0</v>
      </c>
      <c r="G30" s="35">
        <f>SUMIFS(Contabilidade!$M:$M,Contabilidade!$J:$J,$A30,Contabilidade!$X:$X,"3. Sem nota fiscal")</f>
        <v>0</v>
      </c>
      <c r="H30" s="35">
        <f t="shared" si="1"/>
        <v>0</v>
      </c>
      <c r="I30" s="35">
        <f t="shared" si="2"/>
        <v>290.15999999999997</v>
      </c>
      <c r="J30" s="36">
        <f t="shared" si="3"/>
        <v>6.5472701464450774E-4</v>
      </c>
    </row>
    <row r="31" spans="1:10" x14ac:dyDescent="0.3">
      <c r="A31" s="18" t="s">
        <v>366</v>
      </c>
      <c r="B31" s="32">
        <f>IFERROR(INDEX(Contabilidade!$K:$K,MATCH($A31,Contabilidade!$J:$J,0)),"")</f>
        <v>27098262000197</v>
      </c>
      <c r="C31" s="20">
        <f>SUMIFS(Contabilidade!$M:$M,Contabilidade!$J:$J,$A31,Contabilidade!$X:$X,"1. Com nota fiscal recolhida")</f>
        <v>220.64</v>
      </c>
      <c r="D31" s="20">
        <f>SUMIFS(Contabilidade!$M:$M,Contabilidade!$J:$J,$A31,Contabilidade!$X:$X,"4. Crédito de estorno (desconto)")</f>
        <v>0</v>
      </c>
      <c r="E31" s="20">
        <f t="shared" si="0"/>
        <v>220.64</v>
      </c>
      <c r="F31" s="20">
        <f>SUMIFS(Contabilidade!$M:$M,Contabilidade!$J:$J,$A31,Contabilidade!$X:$X,"2. Abastecimento cancelado (sem nota)")</f>
        <v>0</v>
      </c>
      <c r="G31" s="20">
        <f>SUMIFS(Contabilidade!$M:$M,Contabilidade!$J:$J,$A31,Contabilidade!$X:$X,"3. Sem nota fiscal")</f>
        <v>0</v>
      </c>
      <c r="H31" s="20">
        <f t="shared" si="1"/>
        <v>0</v>
      </c>
      <c r="I31" s="20">
        <f t="shared" si="2"/>
        <v>220.64</v>
      </c>
      <c r="J31" s="21">
        <f t="shared" si="3"/>
        <v>4.9785969296651568E-4</v>
      </c>
    </row>
    <row r="32" spans="1:10" x14ac:dyDescent="0.3">
      <c r="A32" s="33" t="s">
        <v>303</v>
      </c>
      <c r="B32" s="34">
        <f>IFERROR(INDEX(Contabilidade!$K:$K,MATCH($A32,Contabilidade!$J:$J,0)),"")</f>
        <v>9380191000139</v>
      </c>
      <c r="C32" s="35">
        <f>SUMIFS(Contabilidade!$M:$M,Contabilidade!$J:$J,$A32,Contabilidade!$X:$X,"1. Com nota fiscal recolhida")</f>
        <v>1583.48</v>
      </c>
      <c r="D32" s="35">
        <f>SUMIFS(Contabilidade!$M:$M,Contabilidade!$J:$J,$A32,Contabilidade!$X:$X,"4. Crédito de estorno (desconto)")</f>
        <v>0</v>
      </c>
      <c r="E32" s="35">
        <f t="shared" si="0"/>
        <v>1583.48</v>
      </c>
      <c r="F32" s="35">
        <f>SUMIFS(Contabilidade!$M:$M,Contabilidade!$J:$J,$A32,Contabilidade!$X:$X,"2. Abastecimento cancelado (sem nota)")</f>
        <v>0</v>
      </c>
      <c r="G32" s="35">
        <f>SUMIFS(Contabilidade!$M:$M,Contabilidade!$J:$J,$A32,Contabilidade!$X:$X,"3. Sem nota fiscal")</f>
        <v>0</v>
      </c>
      <c r="H32" s="35">
        <f t="shared" si="1"/>
        <v>0</v>
      </c>
      <c r="I32" s="35">
        <f t="shared" si="2"/>
        <v>1583.48</v>
      </c>
      <c r="J32" s="36">
        <f t="shared" si="3"/>
        <v>3.5730187935941733E-3</v>
      </c>
    </row>
    <row r="33" spans="1:10" x14ac:dyDescent="0.3">
      <c r="A33" s="18" t="s">
        <v>136</v>
      </c>
      <c r="B33" s="32">
        <f>IFERROR(INDEX(Contabilidade!$K:$K,MATCH($A33,Contabilidade!$J:$J,0)),"")</f>
        <v>33855749000170</v>
      </c>
      <c r="C33" s="20">
        <f>SUMIFS(Contabilidade!$M:$M,Contabilidade!$J:$J,$A33,Contabilidade!$X:$X,"1. Com nota fiscal recolhida")</f>
        <v>631.81999999999994</v>
      </c>
      <c r="D33" s="20">
        <f>SUMIFS(Contabilidade!$M:$M,Contabilidade!$J:$J,$A33,Contabilidade!$X:$X,"4. Crédito de estorno (desconto)")</f>
        <v>0</v>
      </c>
      <c r="E33" s="20">
        <f t="shared" si="0"/>
        <v>631.81999999999994</v>
      </c>
      <c r="F33" s="20">
        <f>SUMIFS(Contabilidade!$M:$M,Contabilidade!$J:$J,$A33,Contabilidade!$X:$X,"2. Abastecimento cancelado (sem nota)")</f>
        <v>0</v>
      </c>
      <c r="G33" s="20">
        <f>SUMIFS(Contabilidade!$M:$M,Contabilidade!$J:$J,$A33,Contabilidade!$X:$X,"3. Sem nota fiscal")</f>
        <v>0</v>
      </c>
      <c r="H33" s="20">
        <f t="shared" si="1"/>
        <v>0</v>
      </c>
      <c r="I33" s="20">
        <f t="shared" si="2"/>
        <v>631.81999999999994</v>
      </c>
      <c r="J33" s="21">
        <f t="shared" si="3"/>
        <v>1.4256604025113485E-3</v>
      </c>
    </row>
    <row r="34" spans="1:10" x14ac:dyDescent="0.3">
      <c r="A34" s="33" t="s">
        <v>988</v>
      </c>
      <c r="B34" s="34">
        <f>IFERROR(INDEX(Contabilidade!$K:$K,MATCH($A34,Contabilidade!$J:$J,0)),"")</f>
        <v>93489243003050</v>
      </c>
      <c r="C34" s="35">
        <f>SUMIFS(Contabilidade!$M:$M,Contabilidade!$J:$J,$A34,Contabilidade!$X:$X,"1. Com nota fiscal recolhida")</f>
        <v>272.66000000000003</v>
      </c>
      <c r="D34" s="35">
        <f>SUMIFS(Contabilidade!$M:$M,Contabilidade!$J:$J,$A34,Contabilidade!$X:$X,"4. Crédito de estorno (desconto)")</f>
        <v>0</v>
      </c>
      <c r="E34" s="35">
        <f t="shared" si="0"/>
        <v>272.66000000000003</v>
      </c>
      <c r="F34" s="35">
        <f>SUMIFS(Contabilidade!$M:$M,Contabilidade!$J:$J,$A34,Contabilidade!$X:$X,"2. Abastecimento cancelado (sem nota)")</f>
        <v>0</v>
      </c>
      <c r="G34" s="35">
        <f>SUMIFS(Contabilidade!$M:$M,Contabilidade!$J:$J,$A34,Contabilidade!$X:$X,"3. Sem nota fiscal")</f>
        <v>0</v>
      </c>
      <c r="H34" s="35">
        <f t="shared" si="1"/>
        <v>0</v>
      </c>
      <c r="I34" s="35">
        <f t="shared" si="2"/>
        <v>272.66000000000003</v>
      </c>
      <c r="J34" s="36">
        <f t="shared" si="3"/>
        <v>6.1523941209322972E-4</v>
      </c>
    </row>
    <row r="35" spans="1:10" x14ac:dyDescent="0.3">
      <c r="A35" s="18" t="s">
        <v>482</v>
      </c>
      <c r="B35" s="32">
        <f>IFERROR(INDEX(Contabilidade!$K:$K,MATCH($A35,Contabilidade!$J:$J,0)),"")</f>
        <v>93489243007471</v>
      </c>
      <c r="C35" s="20">
        <f>SUMIFS(Contabilidade!$M:$M,Contabilidade!$J:$J,$A35,Contabilidade!$X:$X,"1. Com nota fiscal recolhida")</f>
        <v>4726.6000000000004</v>
      </c>
      <c r="D35" s="20">
        <f>SUMIFS(Contabilidade!$M:$M,Contabilidade!$J:$J,$A35,Contabilidade!$X:$X,"4. Crédito de estorno (desconto)")</f>
        <v>0</v>
      </c>
      <c r="E35" s="20">
        <f t="shared" si="0"/>
        <v>4726.6000000000004</v>
      </c>
      <c r="F35" s="20">
        <f>SUMIFS(Contabilidade!$M:$M,Contabilidade!$J:$J,$A35,Contabilidade!$X:$X,"2. Abastecimento cancelado (sem nota)")</f>
        <v>0</v>
      </c>
      <c r="G35" s="20">
        <f>SUMIFS(Contabilidade!$M:$M,Contabilidade!$J:$J,$A35,Contabilidade!$X:$X,"3. Sem nota fiscal")</f>
        <v>0</v>
      </c>
      <c r="H35" s="20">
        <f t="shared" si="1"/>
        <v>0</v>
      </c>
      <c r="I35" s="20">
        <f t="shared" si="2"/>
        <v>4726.6000000000004</v>
      </c>
      <c r="J35" s="21">
        <f t="shared" si="3"/>
        <v>1.0665262983935522E-2</v>
      </c>
    </row>
    <row r="36" spans="1:10" x14ac:dyDescent="0.3">
      <c r="A36" s="33" t="s">
        <v>64</v>
      </c>
      <c r="B36" s="34">
        <f>IFERROR(INDEX(Contabilidade!$K:$K,MATCH($A36,Contabilidade!$J:$J,0)),"")</f>
        <v>23448964001921</v>
      </c>
      <c r="C36" s="35">
        <f>SUMIFS(Contabilidade!$M:$M,Contabilidade!$J:$J,$A36,Contabilidade!$X:$X,"1. Com nota fiscal recolhida")</f>
        <v>13175.170000000006</v>
      </c>
      <c r="D36" s="35">
        <f>SUMIFS(Contabilidade!$M:$M,Contabilidade!$J:$J,$A36,Contabilidade!$X:$X,"4. Crédito de estorno (desconto)")</f>
        <v>0</v>
      </c>
      <c r="E36" s="35">
        <f t="shared" si="0"/>
        <v>13175.170000000006</v>
      </c>
      <c r="F36" s="35">
        <f>SUMIFS(Contabilidade!$M:$M,Contabilidade!$J:$J,$A36,Contabilidade!$X:$X,"2. Abastecimento cancelado (sem nota)")</f>
        <v>0</v>
      </c>
      <c r="G36" s="35">
        <f>SUMIFS(Contabilidade!$M:$M,Contabilidade!$J:$J,$A36,Contabilidade!$X:$X,"3. Sem nota fiscal")</f>
        <v>0</v>
      </c>
      <c r="H36" s="35">
        <f t="shared" si="1"/>
        <v>0</v>
      </c>
      <c r="I36" s="35">
        <f t="shared" si="2"/>
        <v>13175.170000000006</v>
      </c>
      <c r="J36" s="36">
        <f t="shared" si="3"/>
        <v>2.972890722888711E-2</v>
      </c>
    </row>
    <row r="37" spans="1:10" x14ac:dyDescent="0.3">
      <c r="A37" s="18" t="s">
        <v>241</v>
      </c>
      <c r="B37" s="32">
        <f>IFERROR(INDEX(Contabilidade!$K:$K,MATCH($A37,Contabilidade!$J:$J,0)),"")</f>
        <v>14948822000103</v>
      </c>
      <c r="C37" s="20">
        <f>SUMIFS(Contabilidade!$M:$M,Contabilidade!$J:$J,$A37,Contabilidade!$X:$X,"1. Com nota fiscal recolhida")</f>
        <v>1639.3000000000002</v>
      </c>
      <c r="D37" s="20">
        <f>SUMIFS(Contabilidade!$M:$M,Contabilidade!$J:$J,$A37,Contabilidade!$X:$X,"4. Crédito de estorno (desconto)")</f>
        <v>0</v>
      </c>
      <c r="E37" s="20">
        <f t="shared" si="0"/>
        <v>1639.3000000000002</v>
      </c>
      <c r="F37" s="20">
        <f>SUMIFS(Contabilidade!$M:$M,Contabilidade!$J:$J,$A37,Contabilidade!$X:$X,"2. Abastecimento cancelado (sem nota)")</f>
        <v>0</v>
      </c>
      <c r="G37" s="20">
        <f>SUMIFS(Contabilidade!$M:$M,Contabilidade!$J:$J,$A37,Contabilidade!$X:$X,"3. Sem nota fiscal")</f>
        <v>0</v>
      </c>
      <c r="H37" s="20">
        <f t="shared" si="1"/>
        <v>0</v>
      </c>
      <c r="I37" s="20">
        <f t="shared" si="2"/>
        <v>1639.3000000000002</v>
      </c>
      <c r="J37" s="21">
        <f t="shared" si="3"/>
        <v>3.6989729635605933E-3</v>
      </c>
    </row>
    <row r="38" spans="1:10" x14ac:dyDescent="0.3">
      <c r="A38" s="33" t="s">
        <v>545</v>
      </c>
      <c r="B38" s="34">
        <f>IFERROR(INDEX(Contabilidade!$K:$K,MATCH($A38,Contabilidade!$J:$J,0)),"")</f>
        <v>30429333000282</v>
      </c>
      <c r="C38" s="35">
        <f>SUMIFS(Contabilidade!$M:$M,Contabilidade!$J:$J,$A38,Contabilidade!$X:$X,"1. Com nota fiscal recolhida")</f>
        <v>4938.08</v>
      </c>
      <c r="D38" s="35">
        <f>SUMIFS(Contabilidade!$M:$M,Contabilidade!$J:$J,$A38,Contabilidade!$X:$X,"4. Crédito de estorno (desconto)")</f>
        <v>0</v>
      </c>
      <c r="E38" s="35">
        <f t="shared" si="0"/>
        <v>4938.08</v>
      </c>
      <c r="F38" s="35">
        <f>SUMIFS(Contabilidade!$M:$M,Contabilidade!$J:$J,$A38,Contabilidade!$X:$X,"2. Abastecimento cancelado (sem nota)")</f>
        <v>0</v>
      </c>
      <c r="G38" s="35">
        <f>SUMIFS(Contabilidade!$M:$M,Contabilidade!$J:$J,$A38,Contabilidade!$X:$X,"3. Sem nota fiscal")</f>
        <v>0</v>
      </c>
      <c r="H38" s="35">
        <f t="shared" si="1"/>
        <v>0</v>
      </c>
      <c r="I38" s="35">
        <f t="shared" si="2"/>
        <v>4938.08</v>
      </c>
      <c r="J38" s="36">
        <f t="shared" si="3"/>
        <v>1.1142453737509482E-2</v>
      </c>
    </row>
    <row r="39" spans="1:10" x14ac:dyDescent="0.3">
      <c r="A39" s="18" t="s">
        <v>144</v>
      </c>
      <c r="B39" s="32">
        <f>IFERROR(INDEX(Contabilidade!$K:$K,MATCH($A39,Contabilidade!$J:$J,0)),"")</f>
        <v>37607755000169</v>
      </c>
      <c r="C39" s="20">
        <f>SUMIFS(Contabilidade!$M:$M,Contabilidade!$J:$J,$A39,Contabilidade!$X:$X,"1. Com nota fiscal recolhida")</f>
        <v>2795.0699999999997</v>
      </c>
      <c r="D39" s="20">
        <f>SUMIFS(Contabilidade!$M:$M,Contabilidade!$J:$J,$A39,Contabilidade!$X:$X,"4. Crédito de estorno (desconto)")</f>
        <v>0</v>
      </c>
      <c r="E39" s="20">
        <f t="shared" si="0"/>
        <v>2795.0699999999997</v>
      </c>
      <c r="F39" s="20">
        <f>SUMIFS(Contabilidade!$M:$M,Contabilidade!$J:$J,$A39,Contabilidade!$X:$X,"2. Abastecimento cancelado (sem nota)")</f>
        <v>0</v>
      </c>
      <c r="G39" s="20">
        <f>SUMIFS(Contabilidade!$M:$M,Contabilidade!$J:$J,$A39,Contabilidade!$X:$X,"3. Sem nota fiscal")</f>
        <v>0</v>
      </c>
      <c r="H39" s="20">
        <f t="shared" si="1"/>
        <v>0</v>
      </c>
      <c r="I39" s="20">
        <f t="shared" si="2"/>
        <v>2795.0699999999997</v>
      </c>
      <c r="J39" s="21">
        <f t="shared" si="3"/>
        <v>6.3068921864572105E-3</v>
      </c>
    </row>
    <row r="40" spans="1:10" x14ac:dyDescent="0.3">
      <c r="A40" s="33" t="s">
        <v>62</v>
      </c>
      <c r="B40" s="34">
        <f>IFERROR(INDEX(Contabilidade!$K:$K,MATCH($A40,Contabilidade!$J:$J,0)),"")</f>
        <v>79964177000591</v>
      </c>
      <c r="C40" s="35">
        <f>SUMIFS(Contabilidade!$M:$M,Contabilidade!$J:$J,$A40,Contabilidade!$X:$X,"1. Com nota fiscal recolhida")</f>
        <v>75880.769999999975</v>
      </c>
      <c r="D40" s="35">
        <f>SUMIFS(Contabilidade!$M:$M,Contabilidade!$J:$J,$A40,Contabilidade!$X:$X,"4. Crédito de estorno (desconto)")</f>
        <v>0</v>
      </c>
      <c r="E40" s="35">
        <f t="shared" si="0"/>
        <v>75880.769999999975</v>
      </c>
      <c r="F40" s="35">
        <f>SUMIFS(Contabilidade!$M:$M,Contabilidade!$J:$J,$A40,Contabilidade!$X:$X,"2. Abastecimento cancelado (sem nota)")</f>
        <v>0</v>
      </c>
      <c r="G40" s="35">
        <f>SUMIFS(Contabilidade!$M:$M,Contabilidade!$J:$J,$A40,Contabilidade!$X:$X,"3. Sem nota fiscal")</f>
        <v>0</v>
      </c>
      <c r="H40" s="35">
        <f t="shared" si="1"/>
        <v>0</v>
      </c>
      <c r="I40" s="35">
        <f t="shared" si="2"/>
        <v>75880.769999999975</v>
      </c>
      <c r="J40" s="36">
        <f t="shared" si="3"/>
        <v>0.17121998211685455</v>
      </c>
    </row>
    <row r="41" spans="1:10" x14ac:dyDescent="0.3">
      <c r="A41" s="18" t="s">
        <v>72</v>
      </c>
      <c r="B41" s="32">
        <f>IFERROR(INDEX(Contabilidade!$K:$K,MATCH($A41,Contabilidade!$J:$J,0)),"")</f>
        <v>79964177000168</v>
      </c>
      <c r="C41" s="20">
        <f>SUMIFS(Contabilidade!$M:$M,Contabilidade!$J:$J,$A41,Contabilidade!$X:$X,"1. Com nota fiscal recolhida")</f>
        <v>3907.46</v>
      </c>
      <c r="D41" s="20">
        <f>SUMIFS(Contabilidade!$M:$M,Contabilidade!$J:$J,$A41,Contabilidade!$X:$X,"4. Crédito de estorno (desconto)")</f>
        <v>0</v>
      </c>
      <c r="E41" s="20">
        <f t="shared" si="0"/>
        <v>3907.46</v>
      </c>
      <c r="F41" s="20">
        <f>SUMIFS(Contabilidade!$M:$M,Contabilidade!$J:$J,$A41,Contabilidade!$X:$X,"2. Abastecimento cancelado (sem nota)")</f>
        <v>0</v>
      </c>
      <c r="G41" s="20">
        <f>SUMIFS(Contabilidade!$M:$M,Contabilidade!$J:$J,$A41,Contabilidade!$X:$X,"3. Sem nota fiscal")</f>
        <v>0</v>
      </c>
      <c r="H41" s="20">
        <f t="shared" si="1"/>
        <v>0</v>
      </c>
      <c r="I41" s="20">
        <f t="shared" si="2"/>
        <v>3907.46</v>
      </c>
      <c r="J41" s="21">
        <f t="shared" si="3"/>
        <v>8.8169272837152896E-3</v>
      </c>
    </row>
    <row r="42" spans="1:10" x14ac:dyDescent="0.3">
      <c r="A42" s="33" t="s">
        <v>1152</v>
      </c>
      <c r="B42" s="34">
        <f>IFERROR(INDEX(Contabilidade!$K:$K,MATCH($A42,Contabilidade!$J:$J,0)),"")</f>
        <v>17695813000146</v>
      </c>
      <c r="C42" s="35">
        <f>SUMIFS(Contabilidade!$M:$M,Contabilidade!$J:$J,$A42,Contabilidade!$X:$X,"1. Com nota fiscal recolhida")</f>
        <v>0</v>
      </c>
      <c r="D42" s="35">
        <f>SUMIFS(Contabilidade!$M:$M,Contabilidade!$J:$J,$A42,Contabilidade!$X:$X,"4. Crédito de estorno (desconto)")</f>
        <v>0</v>
      </c>
      <c r="E42" s="35">
        <f t="shared" si="0"/>
        <v>0</v>
      </c>
      <c r="F42" s="35">
        <f>SUMIFS(Contabilidade!$M:$M,Contabilidade!$J:$J,$A42,Contabilidade!$X:$X,"2. Abastecimento cancelado (sem nota)")</f>
        <v>0</v>
      </c>
      <c r="G42" s="35">
        <f>SUMIFS(Contabilidade!$M:$M,Contabilidade!$J:$J,$A42,Contabilidade!$X:$X,"3. Sem nota fiscal")</f>
        <v>906.81</v>
      </c>
      <c r="H42" s="35">
        <f t="shared" si="1"/>
        <v>906.81</v>
      </c>
      <c r="I42" s="35">
        <f t="shared" si="2"/>
        <v>906.81</v>
      </c>
      <c r="J42" s="36">
        <f t="shared" si="3"/>
        <v>2.0461573068299771E-3</v>
      </c>
    </row>
    <row r="43" spans="1:10" x14ac:dyDescent="0.3">
      <c r="A43" s="18" t="s">
        <v>27</v>
      </c>
      <c r="B43" s="32">
        <f>IFERROR(INDEX(Contabilidade!$K:$K,MATCH($A43,Contabilidade!$J:$J,0)),"")</f>
        <v>2031363000110</v>
      </c>
      <c r="C43" s="20">
        <f>SUMIFS(Contabilidade!$M:$M,Contabilidade!$J:$J,$A43,Contabilidade!$X:$X,"1. Com nota fiscal recolhida")</f>
        <v>1354.49</v>
      </c>
      <c r="D43" s="20">
        <f>SUMIFS(Contabilidade!$M:$M,Contabilidade!$J:$J,$A43,Contabilidade!$X:$X,"4. Crédito de estorno (desconto)")</f>
        <v>0</v>
      </c>
      <c r="E43" s="20">
        <f t="shared" si="0"/>
        <v>1354.49</v>
      </c>
      <c r="F43" s="20">
        <f>SUMIFS(Contabilidade!$M:$M,Contabilidade!$J:$J,$A43,Contabilidade!$X:$X,"2. Abastecimento cancelado (sem nota)")</f>
        <v>0</v>
      </c>
      <c r="G43" s="20">
        <f>SUMIFS(Contabilidade!$M:$M,Contabilidade!$J:$J,$A43,Contabilidade!$X:$X,"3. Sem nota fiscal")</f>
        <v>0</v>
      </c>
      <c r="H43" s="20">
        <f t="shared" si="1"/>
        <v>0</v>
      </c>
      <c r="I43" s="20">
        <f t="shared" si="2"/>
        <v>1354.49</v>
      </c>
      <c r="J43" s="21">
        <f t="shared" si="3"/>
        <v>3.0563178731246188E-3</v>
      </c>
    </row>
    <row r="44" spans="1:10" x14ac:dyDescent="0.3">
      <c r="A44" s="33" t="s">
        <v>57</v>
      </c>
      <c r="B44" s="34">
        <f>IFERROR(INDEX(Contabilidade!$K:$K,MATCH($A44,Contabilidade!$J:$J,0)),"")</f>
        <v>50206655000199</v>
      </c>
      <c r="C44" s="35">
        <f>SUMIFS(Contabilidade!$M:$M,Contabilidade!$J:$J,$A44,Contabilidade!$X:$X,"1. Com nota fiscal recolhida")</f>
        <v>4758.3300000000008</v>
      </c>
      <c r="D44" s="35">
        <f>SUMIFS(Contabilidade!$M:$M,Contabilidade!$J:$J,$A44,Contabilidade!$X:$X,"4. Crédito de estorno (desconto)")</f>
        <v>0</v>
      </c>
      <c r="E44" s="35">
        <f t="shared" si="0"/>
        <v>4758.3300000000008</v>
      </c>
      <c r="F44" s="35">
        <f>SUMIFS(Contabilidade!$M:$M,Contabilidade!$J:$J,$A44,Contabilidade!$X:$X,"2. Abastecimento cancelado (sem nota)")</f>
        <v>0</v>
      </c>
      <c r="G44" s="35">
        <f>SUMIFS(Contabilidade!$M:$M,Contabilidade!$J:$J,$A44,Contabilidade!$X:$X,"3. Sem nota fiscal")</f>
        <v>0</v>
      </c>
      <c r="H44" s="35">
        <f t="shared" si="1"/>
        <v>0</v>
      </c>
      <c r="I44" s="35">
        <f t="shared" si="2"/>
        <v>4758.3300000000008</v>
      </c>
      <c r="J44" s="36">
        <f t="shared" si="3"/>
        <v>1.0736859648447068E-2</v>
      </c>
    </row>
    <row r="45" spans="1:10" x14ac:dyDescent="0.3">
      <c r="A45" s="18" t="s">
        <v>1407</v>
      </c>
      <c r="B45" s="32">
        <f>IFERROR(INDEX(Contabilidade!$K:$K,MATCH($A45,Contabilidade!$J:$J,0)),"")</f>
        <v>30166354000171</v>
      </c>
      <c r="C45" s="20">
        <f>SUMIFS(Contabilidade!$M:$M,Contabilidade!$J:$J,$A45,Contabilidade!$X:$X,"1. Com nota fiscal recolhida")</f>
        <v>1369.61</v>
      </c>
      <c r="D45" s="20">
        <f>SUMIFS(Contabilidade!$M:$M,Contabilidade!$J:$J,$A45,Contabilidade!$X:$X,"4. Crédito de estorno (desconto)")</f>
        <v>0</v>
      </c>
      <c r="E45" s="20">
        <f t="shared" si="0"/>
        <v>1369.61</v>
      </c>
      <c r="F45" s="20">
        <f>SUMIFS(Contabilidade!$M:$M,Contabilidade!$J:$J,$A45,Contabilidade!$X:$X,"2. Abastecimento cancelado (sem nota)")</f>
        <v>0</v>
      </c>
      <c r="G45" s="20">
        <f>SUMIFS(Contabilidade!$M:$M,Contabilidade!$J:$J,$A45,Contabilidade!$X:$X,"3. Sem nota fiscal")</f>
        <v>0</v>
      </c>
      <c r="H45" s="20">
        <f t="shared" si="1"/>
        <v>0</v>
      </c>
      <c r="I45" s="20">
        <f t="shared" si="2"/>
        <v>1369.61</v>
      </c>
      <c r="J45" s="21">
        <f t="shared" si="3"/>
        <v>3.0904351617289231E-3</v>
      </c>
    </row>
    <row r="46" spans="1:10" x14ac:dyDescent="0.3">
      <c r="A46" s="33" t="s">
        <v>92</v>
      </c>
      <c r="B46" s="34">
        <f>IFERROR(INDEX(Contabilidade!$K:$K,MATCH($A46,Contabilidade!$J:$J,0)),"")</f>
        <v>2310460000141</v>
      </c>
      <c r="C46" s="35">
        <f>SUMIFS(Contabilidade!$M:$M,Contabilidade!$J:$J,$A46,Contabilidade!$X:$X,"1. Com nota fiscal recolhida")</f>
        <v>996.71</v>
      </c>
      <c r="D46" s="35">
        <f>SUMIFS(Contabilidade!$M:$M,Contabilidade!$J:$J,$A46,Contabilidade!$X:$X,"4. Crédito de estorno (desconto)")</f>
        <v>0</v>
      </c>
      <c r="E46" s="35">
        <f t="shared" si="0"/>
        <v>996.71</v>
      </c>
      <c r="F46" s="35">
        <f>SUMIFS(Contabilidade!$M:$M,Contabilidade!$J:$J,$A46,Contabilidade!$X:$X,"2. Abastecimento cancelado (sem nota)")</f>
        <v>0</v>
      </c>
      <c r="G46" s="35">
        <f>SUMIFS(Contabilidade!$M:$M,Contabilidade!$J:$J,$A46,Contabilidade!$X:$X,"3. Sem nota fiscal")</f>
        <v>0</v>
      </c>
      <c r="H46" s="35">
        <f t="shared" si="1"/>
        <v>0</v>
      </c>
      <c r="I46" s="35">
        <f t="shared" si="2"/>
        <v>996.71</v>
      </c>
      <c r="J46" s="36">
        <f t="shared" si="3"/>
        <v>2.2490107622219722E-3</v>
      </c>
    </row>
    <row r="47" spans="1:10" x14ac:dyDescent="0.3">
      <c r="A47" s="18" t="s">
        <v>299</v>
      </c>
      <c r="B47" s="32">
        <f>IFERROR(INDEX(Contabilidade!$K:$K,MATCH($A47,Contabilidade!$J:$J,0)),"")</f>
        <v>7388800000170</v>
      </c>
      <c r="C47" s="20">
        <f>SUMIFS(Contabilidade!$M:$M,Contabilidade!$J:$J,$A47,Contabilidade!$X:$X,"1. Com nota fiscal recolhida")</f>
        <v>3134.1600000000003</v>
      </c>
      <c r="D47" s="20">
        <f>SUMIFS(Contabilidade!$M:$M,Contabilidade!$J:$J,$A47,Contabilidade!$X:$X,"4. Crédito de estorno (desconto)")</f>
        <v>0</v>
      </c>
      <c r="E47" s="20">
        <f t="shared" si="0"/>
        <v>3134.1600000000003</v>
      </c>
      <c r="F47" s="20">
        <f>SUMIFS(Contabilidade!$M:$M,Contabilidade!$J:$J,$A47,Contabilidade!$X:$X,"2. Abastecimento cancelado (sem nota)")</f>
        <v>0</v>
      </c>
      <c r="G47" s="20">
        <f>SUMIFS(Contabilidade!$M:$M,Contabilidade!$J:$J,$A47,Contabilidade!$X:$X,"3. Sem nota fiscal")</f>
        <v>0</v>
      </c>
      <c r="H47" s="20">
        <f t="shared" si="1"/>
        <v>0</v>
      </c>
      <c r="I47" s="20">
        <f t="shared" si="2"/>
        <v>3134.1600000000003</v>
      </c>
      <c r="J47" s="21">
        <f t="shared" si="3"/>
        <v>7.0720265378350937E-3</v>
      </c>
    </row>
    <row r="48" spans="1:10" x14ac:dyDescent="0.3">
      <c r="A48" s="33" t="s">
        <v>48</v>
      </c>
      <c r="B48" s="34">
        <f>IFERROR(INDEX(Contabilidade!$K:$K,MATCH($A48,Contabilidade!$J:$J,0)),"")</f>
        <v>1272434001002</v>
      </c>
      <c r="C48" s="35">
        <f>SUMIFS(Contabilidade!$M:$M,Contabilidade!$J:$J,$A48,Contabilidade!$X:$X,"1. Com nota fiscal recolhida")</f>
        <v>12711.669999999998</v>
      </c>
      <c r="D48" s="35">
        <f>SUMIFS(Contabilidade!$M:$M,Contabilidade!$J:$J,$A48,Contabilidade!$X:$X,"4. Crédito de estorno (desconto)")</f>
        <v>0</v>
      </c>
      <c r="E48" s="35">
        <f t="shared" si="0"/>
        <v>12711.669999999998</v>
      </c>
      <c r="F48" s="35">
        <f>SUMIFS(Contabilidade!$M:$M,Contabilidade!$J:$J,$A48,Contabilidade!$X:$X,"2. Abastecimento cancelado (sem nota)")</f>
        <v>0</v>
      </c>
      <c r="G48" s="35">
        <f>SUMIFS(Contabilidade!$M:$M,Contabilidade!$J:$J,$A48,Contabilidade!$X:$X,"3. Sem nota fiscal")</f>
        <v>0</v>
      </c>
      <c r="H48" s="35">
        <f t="shared" si="1"/>
        <v>0</v>
      </c>
      <c r="I48" s="35">
        <f t="shared" si="2"/>
        <v>12711.669999999998</v>
      </c>
      <c r="J48" s="36">
        <f t="shared" si="3"/>
        <v>2.8683049869886096E-2</v>
      </c>
    </row>
    <row r="49" spans="1:10" x14ac:dyDescent="0.3">
      <c r="A49" s="18" t="s">
        <v>127</v>
      </c>
      <c r="B49" s="32">
        <f>IFERROR(INDEX(Contabilidade!$K:$K,MATCH($A49,Contabilidade!$J:$J,0)),"")</f>
        <v>76493295000147</v>
      </c>
      <c r="C49" s="20">
        <f>SUMIFS(Contabilidade!$M:$M,Contabilidade!$J:$J,$A49,Contabilidade!$X:$X,"1. Com nota fiscal recolhida")</f>
        <v>9267.4600000000009</v>
      </c>
      <c r="D49" s="20">
        <f>SUMIFS(Contabilidade!$M:$M,Contabilidade!$J:$J,$A49,Contabilidade!$X:$X,"4. Crédito de estorno (desconto)")</f>
        <v>0</v>
      </c>
      <c r="E49" s="20">
        <f t="shared" si="0"/>
        <v>9267.4600000000009</v>
      </c>
      <c r="F49" s="20">
        <f>SUMIFS(Contabilidade!$M:$M,Contabilidade!$J:$J,$A49,Contabilidade!$X:$X,"2. Abastecimento cancelado (sem nota)")</f>
        <v>0</v>
      </c>
      <c r="G49" s="20">
        <f>SUMIFS(Contabilidade!$M:$M,Contabilidade!$J:$J,$A49,Contabilidade!$X:$X,"3. Sem nota fiscal")</f>
        <v>0</v>
      </c>
      <c r="H49" s="20">
        <f t="shared" si="1"/>
        <v>0</v>
      </c>
      <c r="I49" s="20">
        <f t="shared" si="2"/>
        <v>9267.4600000000009</v>
      </c>
      <c r="J49" s="21">
        <f t="shared" si="3"/>
        <v>2.0911415836563935E-2</v>
      </c>
    </row>
    <row r="50" spans="1:10" x14ac:dyDescent="0.3">
      <c r="A50" s="33" t="s">
        <v>683</v>
      </c>
      <c r="B50" s="34">
        <f>IFERROR(INDEX(Contabilidade!$K:$K,MATCH($A50,Contabilidade!$J:$J,0)),"")</f>
        <v>1272434000618</v>
      </c>
      <c r="C50" s="35">
        <f>SUMIFS(Contabilidade!$M:$M,Contabilidade!$J:$J,$A50,Contabilidade!$X:$X,"1. Com nota fiscal recolhida")</f>
        <v>59.8</v>
      </c>
      <c r="D50" s="35">
        <f>SUMIFS(Contabilidade!$M:$M,Contabilidade!$J:$J,$A50,Contabilidade!$X:$X,"4. Crédito de estorno (desconto)")</f>
        <v>0</v>
      </c>
      <c r="E50" s="35">
        <f t="shared" si="0"/>
        <v>59.8</v>
      </c>
      <c r="F50" s="35">
        <f>SUMIFS(Contabilidade!$M:$M,Contabilidade!$J:$J,$A50,Contabilidade!$X:$X,"2. Abastecimento cancelado (sem nota)")</f>
        <v>0</v>
      </c>
      <c r="G50" s="35">
        <f>SUMIFS(Contabilidade!$M:$M,Contabilidade!$J:$J,$A50,Contabilidade!$X:$X,"3. Sem nota fiscal")</f>
        <v>0</v>
      </c>
      <c r="H50" s="35">
        <f t="shared" si="1"/>
        <v>0</v>
      </c>
      <c r="I50" s="35">
        <f t="shared" si="2"/>
        <v>59.8</v>
      </c>
      <c r="J50" s="36">
        <f t="shared" si="3"/>
        <v>1.3493477900379641E-4</v>
      </c>
    </row>
    <row r="51" spans="1:10" x14ac:dyDescent="0.3">
      <c r="A51" s="18" t="s">
        <v>678</v>
      </c>
      <c r="B51" s="32">
        <f>IFERROR(INDEX(Contabilidade!$K:$K,MATCH($A51,Contabilidade!$J:$J,0)),"")</f>
        <v>2651099000117</v>
      </c>
      <c r="C51" s="20">
        <f>SUMIFS(Contabilidade!$M:$M,Contabilidade!$J:$J,$A51,Contabilidade!$X:$X,"1. Com nota fiscal recolhida")</f>
        <v>336.85</v>
      </c>
      <c r="D51" s="20">
        <f>SUMIFS(Contabilidade!$M:$M,Contabilidade!$J:$J,$A51,Contabilidade!$X:$X,"4. Crédito de estorno (desconto)")</f>
        <v>-331.89</v>
      </c>
      <c r="E51" s="20">
        <f t="shared" si="0"/>
        <v>4.9600000000000364</v>
      </c>
      <c r="F51" s="20">
        <f>SUMIFS(Contabilidade!$M:$M,Contabilidade!$J:$J,$A51,Contabilidade!$X:$X,"2. Abastecimento cancelado (sem nota)")</f>
        <v>331.89</v>
      </c>
      <c r="G51" s="20">
        <f>SUMIFS(Contabilidade!$M:$M,Contabilidade!$J:$J,$A51,Contabilidade!$X:$X,"3. Sem nota fiscal")</f>
        <v>0</v>
      </c>
      <c r="H51" s="20">
        <f t="shared" si="1"/>
        <v>331.89</v>
      </c>
      <c r="I51" s="20">
        <f t="shared" si="2"/>
        <v>336.85</v>
      </c>
      <c r="J51" s="21">
        <f t="shared" si="3"/>
        <v>7.600799382513182E-4</v>
      </c>
    </row>
    <row r="52" spans="1:10" x14ac:dyDescent="0.3">
      <c r="A52" s="33" t="s">
        <v>1974</v>
      </c>
      <c r="B52" s="34">
        <f>IFERROR(INDEX(Contabilidade!$K:$K,MATCH($A52,Contabilidade!$J:$J,0)),"")</f>
        <v>5658776000117</v>
      </c>
      <c r="C52" s="35">
        <f>SUMIFS(Contabilidade!$M:$M,Contabilidade!$J:$J,$A52,Contabilidade!$X:$X,"1. Com nota fiscal recolhida")</f>
        <v>239.1</v>
      </c>
      <c r="D52" s="35">
        <f>SUMIFS(Contabilidade!$M:$M,Contabilidade!$J:$J,$A52,Contabilidade!$X:$X,"4. Crédito de estorno (desconto)")</f>
        <v>0</v>
      </c>
      <c r="E52" s="35">
        <f t="shared" si="0"/>
        <v>239.1</v>
      </c>
      <c r="F52" s="35">
        <f>SUMIFS(Contabilidade!$M:$M,Contabilidade!$J:$J,$A52,Contabilidade!$X:$X,"2. Abastecimento cancelado (sem nota)")</f>
        <v>0</v>
      </c>
      <c r="G52" s="35">
        <f>SUMIFS(Contabilidade!$M:$M,Contabilidade!$J:$J,$A52,Contabilidade!$X:$X,"3. Sem nota fiscal")</f>
        <v>0</v>
      </c>
      <c r="H52" s="35">
        <f t="shared" si="1"/>
        <v>0</v>
      </c>
      <c r="I52" s="35">
        <f t="shared" si="2"/>
        <v>239.1</v>
      </c>
      <c r="J52" s="36">
        <f t="shared" si="3"/>
        <v>5.3951347257203547E-4</v>
      </c>
    </row>
    <row r="53" spans="1:10" x14ac:dyDescent="0.3">
      <c r="A53" s="18" t="s">
        <v>385</v>
      </c>
      <c r="B53" s="32">
        <f>IFERROR(INDEX(Contabilidade!$K:$K,MATCH($A53,Contabilidade!$J:$J,0)),"")</f>
        <v>75176859000155</v>
      </c>
      <c r="C53" s="20">
        <f>SUMIFS(Contabilidade!$M:$M,Contabilidade!$J:$J,$A53,Contabilidade!$X:$X,"1. Com nota fiscal recolhida")</f>
        <v>548.24</v>
      </c>
      <c r="D53" s="20">
        <f>SUMIFS(Contabilidade!$M:$M,Contabilidade!$J:$J,$A53,Contabilidade!$X:$X,"4. Crédito de estorno (desconto)")</f>
        <v>0</v>
      </c>
      <c r="E53" s="20">
        <f t="shared" si="0"/>
        <v>548.24</v>
      </c>
      <c r="F53" s="20">
        <f>SUMIFS(Contabilidade!$M:$M,Contabilidade!$J:$J,$A53,Contabilidade!$X:$X,"2. Abastecimento cancelado (sem nota)")</f>
        <v>0</v>
      </c>
      <c r="G53" s="20">
        <f>SUMIFS(Contabilidade!$M:$M,Contabilidade!$J:$J,$A53,Contabilidade!$X:$X,"3. Sem nota fiscal")</f>
        <v>0</v>
      </c>
      <c r="H53" s="20">
        <f t="shared" si="1"/>
        <v>0</v>
      </c>
      <c r="I53" s="20">
        <f t="shared" si="2"/>
        <v>548.24</v>
      </c>
      <c r="J53" s="21">
        <f t="shared" si="3"/>
        <v>1.2370676127264439E-3</v>
      </c>
    </row>
    <row r="54" spans="1:10" x14ac:dyDescent="0.3">
      <c r="A54" s="33" t="s">
        <v>277</v>
      </c>
      <c r="B54" s="34">
        <f>IFERROR(INDEX(Contabilidade!$K:$K,MATCH($A54,Contabilidade!$J:$J,0)),"")</f>
        <v>15361488000150</v>
      </c>
      <c r="C54" s="35">
        <f>SUMIFS(Contabilidade!$M:$M,Contabilidade!$J:$J,$A54,Contabilidade!$X:$X,"1. Com nota fiscal recolhida")</f>
        <v>127.97</v>
      </c>
      <c r="D54" s="35">
        <f>SUMIFS(Contabilidade!$M:$M,Contabilidade!$J:$J,$A54,Contabilidade!$X:$X,"4. Crédito de estorno (desconto)")</f>
        <v>0</v>
      </c>
      <c r="E54" s="35">
        <f t="shared" si="0"/>
        <v>127.97</v>
      </c>
      <c r="F54" s="35">
        <f>SUMIFS(Contabilidade!$M:$M,Contabilidade!$J:$J,$A54,Contabilidade!$X:$X,"2. Abastecimento cancelado (sem nota)")</f>
        <v>0</v>
      </c>
      <c r="G54" s="35">
        <f>SUMIFS(Contabilidade!$M:$M,Contabilidade!$J:$J,$A54,Contabilidade!$X:$X,"3. Sem nota fiscal")</f>
        <v>0</v>
      </c>
      <c r="H54" s="35">
        <f t="shared" si="1"/>
        <v>0</v>
      </c>
      <c r="I54" s="35">
        <f t="shared" si="2"/>
        <v>127.97</v>
      </c>
      <c r="J54" s="36">
        <f t="shared" si="3"/>
        <v>2.8875591419926135E-4</v>
      </c>
    </row>
    <row r="55" spans="1:10" x14ac:dyDescent="0.3">
      <c r="A55" s="18" t="s">
        <v>2612</v>
      </c>
      <c r="B55" s="32">
        <f>IFERROR(INDEX(Contabilidade!$K:$K,MATCH($A55,Contabilidade!$J:$J,0)),"")</f>
        <v>32962458000118</v>
      </c>
      <c r="C55" s="20">
        <f>SUMIFS(Contabilidade!$M:$M,Contabilidade!$J:$J,$A55,Contabilidade!$X:$X,"1. Com nota fiscal recolhida")</f>
        <v>175.53</v>
      </c>
      <c r="D55" s="20">
        <f>SUMIFS(Contabilidade!$M:$M,Contabilidade!$J:$J,$A55,Contabilidade!$X:$X,"4. Crédito de estorno (desconto)")</f>
        <v>0</v>
      </c>
      <c r="E55" s="20">
        <f t="shared" si="0"/>
        <v>175.53</v>
      </c>
      <c r="F55" s="20">
        <f>SUMIFS(Contabilidade!$M:$M,Contabilidade!$J:$J,$A55,Contabilidade!$X:$X,"2. Abastecimento cancelado (sem nota)")</f>
        <v>0</v>
      </c>
      <c r="G55" s="20">
        <f>SUMIFS(Contabilidade!$M:$M,Contabilidade!$J:$J,$A55,Contabilidade!$X:$X,"3. Sem nota fiscal")</f>
        <v>0</v>
      </c>
      <c r="H55" s="20">
        <f t="shared" si="1"/>
        <v>0</v>
      </c>
      <c r="I55" s="20">
        <f t="shared" si="2"/>
        <v>175.53</v>
      </c>
      <c r="J55" s="21">
        <f t="shared" si="3"/>
        <v>3.9607193576147803E-4</v>
      </c>
    </row>
    <row r="56" spans="1:10" x14ac:dyDescent="0.3">
      <c r="A56" s="33" t="s">
        <v>339</v>
      </c>
      <c r="B56" s="34">
        <f>IFERROR(INDEX(Contabilidade!$K:$K,MATCH($A56,Contabilidade!$J:$J,0)),"")</f>
        <v>53741408000180</v>
      </c>
      <c r="C56" s="35">
        <f>SUMIFS(Contabilidade!$M:$M,Contabilidade!$J:$J,$A56,Contabilidade!$X:$X,"1. Com nota fiscal recolhida")</f>
        <v>369.76</v>
      </c>
      <c r="D56" s="35">
        <f>SUMIFS(Contabilidade!$M:$M,Contabilidade!$J:$J,$A56,Contabilidade!$X:$X,"4. Crédito de estorno (desconto)")</f>
        <v>0</v>
      </c>
      <c r="E56" s="35">
        <f t="shared" si="0"/>
        <v>369.76</v>
      </c>
      <c r="F56" s="35">
        <f>SUMIFS(Contabilidade!$M:$M,Contabilidade!$J:$J,$A56,Contabilidade!$X:$X,"2. Abastecimento cancelado (sem nota)")</f>
        <v>0</v>
      </c>
      <c r="G56" s="35">
        <f>SUMIFS(Contabilidade!$M:$M,Contabilidade!$J:$J,$A56,Contabilidade!$X:$X,"3. Sem nota fiscal")</f>
        <v>0</v>
      </c>
      <c r="H56" s="35">
        <f t="shared" si="1"/>
        <v>0</v>
      </c>
      <c r="I56" s="35">
        <f t="shared" si="2"/>
        <v>369.76</v>
      </c>
      <c r="J56" s="36">
        <f t="shared" si="3"/>
        <v>8.3433919539203612E-4</v>
      </c>
    </row>
    <row r="57" spans="1:10" x14ac:dyDescent="0.3">
      <c r="A57" s="18" t="s">
        <v>29</v>
      </c>
      <c r="B57" s="32">
        <f>IFERROR(INDEX(Contabilidade!$K:$K,MATCH($A57,Contabilidade!$J:$J,0)),"")</f>
        <v>47377960000139</v>
      </c>
      <c r="C57" s="20">
        <f>SUMIFS(Contabilidade!$M:$M,Contabilidade!$J:$J,$A57,Contabilidade!$X:$X,"1. Com nota fiscal recolhida")</f>
        <v>1893.0799999999997</v>
      </c>
      <c r="D57" s="20">
        <f>SUMIFS(Contabilidade!$M:$M,Contabilidade!$J:$J,$A57,Contabilidade!$X:$X,"4. Crédito de estorno (desconto)")</f>
        <v>0</v>
      </c>
      <c r="E57" s="20">
        <f t="shared" si="0"/>
        <v>1893.0799999999997</v>
      </c>
      <c r="F57" s="20">
        <f>SUMIFS(Contabilidade!$M:$M,Contabilidade!$J:$J,$A57,Contabilidade!$X:$X,"2. Abastecimento cancelado (sem nota)")</f>
        <v>0</v>
      </c>
      <c r="G57" s="20">
        <f>SUMIFS(Contabilidade!$M:$M,Contabilidade!$J:$J,$A57,Contabilidade!$X:$X,"3. Sem nota fiscal")</f>
        <v>0</v>
      </c>
      <c r="H57" s="20">
        <f t="shared" si="1"/>
        <v>0</v>
      </c>
      <c r="I57" s="20">
        <f t="shared" si="2"/>
        <v>1893.0799999999997</v>
      </c>
      <c r="J57" s="21">
        <f t="shared" si="3"/>
        <v>4.2716108935870719E-3</v>
      </c>
    </row>
    <row r="58" spans="1:10" x14ac:dyDescent="0.3">
      <c r="A58" s="33" t="s">
        <v>42</v>
      </c>
      <c r="B58" s="34">
        <f>IFERROR(INDEX(Contabilidade!$K:$K,MATCH($A58,Contabilidade!$J:$J,0)),"")</f>
        <v>82156977000248</v>
      </c>
      <c r="C58" s="35">
        <f>SUMIFS(Contabilidade!$M:$M,Contabilidade!$J:$J,$A58,Contabilidade!$X:$X,"1. Com nota fiscal recolhida")</f>
        <v>15487.819999999998</v>
      </c>
      <c r="D58" s="35">
        <f>SUMIFS(Contabilidade!$M:$M,Contabilidade!$J:$J,$A58,Contabilidade!$X:$X,"4. Crédito de estorno (desconto)")</f>
        <v>0</v>
      </c>
      <c r="E58" s="35">
        <f t="shared" si="0"/>
        <v>15487.819999999998</v>
      </c>
      <c r="F58" s="35">
        <f>SUMIFS(Contabilidade!$M:$M,Contabilidade!$J:$J,$A58,Contabilidade!$X:$X,"2. Abastecimento cancelado (sem nota)")</f>
        <v>0</v>
      </c>
      <c r="G58" s="35">
        <f>SUMIFS(Contabilidade!$M:$M,Contabilidade!$J:$J,$A58,Contabilidade!$X:$X,"3. Sem nota fiscal")</f>
        <v>0</v>
      </c>
      <c r="H58" s="35">
        <f t="shared" si="1"/>
        <v>0</v>
      </c>
      <c r="I58" s="35">
        <f t="shared" si="2"/>
        <v>15487.819999999998</v>
      </c>
      <c r="J58" s="36">
        <f t="shared" si="3"/>
        <v>3.4947250316899298E-2</v>
      </c>
    </row>
    <row r="59" spans="1:10" x14ac:dyDescent="0.3">
      <c r="A59" s="18" t="s">
        <v>130</v>
      </c>
      <c r="B59" s="32">
        <f>IFERROR(INDEX(Contabilidade!$K:$K,MATCH($A59,Contabilidade!$J:$J,0)),"")</f>
        <v>1594553000182</v>
      </c>
      <c r="C59" s="20">
        <f>SUMIFS(Contabilidade!$M:$M,Contabilidade!$J:$J,$A59,Contabilidade!$X:$X,"1. Com nota fiscal recolhida")</f>
        <v>313.05</v>
      </c>
      <c r="D59" s="20">
        <f>SUMIFS(Contabilidade!$M:$M,Contabilidade!$J:$J,$A59,Contabilidade!$X:$X,"4. Crédito de estorno (desconto)")</f>
        <v>0</v>
      </c>
      <c r="E59" s="20">
        <f t="shared" si="0"/>
        <v>313.05</v>
      </c>
      <c r="F59" s="20">
        <f>SUMIFS(Contabilidade!$M:$M,Contabilidade!$J:$J,$A59,Contabilidade!$X:$X,"2. Abastecimento cancelado (sem nota)")</f>
        <v>0</v>
      </c>
      <c r="G59" s="20">
        <f>SUMIFS(Contabilidade!$M:$M,Contabilidade!$J:$J,$A59,Contabilidade!$X:$X,"3. Sem nota fiscal")</f>
        <v>0</v>
      </c>
      <c r="H59" s="20">
        <f t="shared" si="1"/>
        <v>0</v>
      </c>
      <c r="I59" s="20">
        <f t="shared" si="2"/>
        <v>313.05</v>
      </c>
      <c r="J59" s="21">
        <f t="shared" si="3"/>
        <v>7.0637679878157971E-4</v>
      </c>
    </row>
    <row r="60" spans="1:10" x14ac:dyDescent="0.3">
      <c r="A60" s="33" t="s">
        <v>496</v>
      </c>
      <c r="B60" s="34">
        <f>IFERROR(INDEX(Contabilidade!$K:$K,MATCH($A60,Contabilidade!$J:$J,0)),"")</f>
        <v>6073995000105</v>
      </c>
      <c r="C60" s="35">
        <f>SUMIFS(Contabilidade!$M:$M,Contabilidade!$J:$J,$A60,Contabilidade!$X:$X,"1. Com nota fiscal recolhida")</f>
        <v>418.64</v>
      </c>
      <c r="D60" s="35">
        <f>SUMIFS(Contabilidade!$M:$M,Contabilidade!$J:$J,$A60,Contabilidade!$X:$X,"4. Crédito de estorno (desconto)")</f>
        <v>0</v>
      </c>
      <c r="E60" s="35">
        <f t="shared" si="0"/>
        <v>418.64</v>
      </c>
      <c r="F60" s="35">
        <f>SUMIFS(Contabilidade!$M:$M,Contabilidade!$J:$J,$A60,Contabilidade!$X:$X,"2. Abastecimento cancelado (sem nota)")</f>
        <v>0</v>
      </c>
      <c r="G60" s="35">
        <f>SUMIFS(Contabilidade!$M:$M,Contabilidade!$J:$J,$A60,Contabilidade!$X:$X,"3. Sem nota fiscal")</f>
        <v>0</v>
      </c>
      <c r="H60" s="35">
        <f t="shared" si="1"/>
        <v>0</v>
      </c>
      <c r="I60" s="35">
        <f t="shared" si="2"/>
        <v>418.64</v>
      </c>
      <c r="J60" s="36">
        <f t="shared" si="3"/>
        <v>9.4463371040383499E-4</v>
      </c>
    </row>
    <row r="61" spans="1:10" x14ac:dyDescent="0.3">
      <c r="A61" s="18" t="s">
        <v>150</v>
      </c>
      <c r="B61" s="32">
        <f>IFERROR(INDEX(Contabilidade!$K:$K,MATCH($A61,Contabilidade!$J:$J,0)),"")</f>
        <v>27643038000139</v>
      </c>
      <c r="C61" s="20">
        <f>SUMIFS(Contabilidade!$M:$M,Contabilidade!$J:$J,$A61,Contabilidade!$X:$X,"1. Com nota fiscal recolhida")</f>
        <v>4078.09</v>
      </c>
      <c r="D61" s="20">
        <f>SUMIFS(Contabilidade!$M:$M,Contabilidade!$J:$J,$A61,Contabilidade!$X:$X,"4. Crédito de estorno (desconto)")</f>
        <v>0</v>
      </c>
      <c r="E61" s="20">
        <f t="shared" si="0"/>
        <v>4078.09</v>
      </c>
      <c r="F61" s="20">
        <f>SUMIFS(Contabilidade!$M:$M,Contabilidade!$J:$J,$A61,Contabilidade!$X:$X,"2. Abastecimento cancelado (sem nota)")</f>
        <v>0</v>
      </c>
      <c r="G61" s="20">
        <f>SUMIFS(Contabilidade!$M:$M,Contabilidade!$J:$J,$A61,Contabilidade!$X:$X,"3. Sem nota fiscal")</f>
        <v>0</v>
      </c>
      <c r="H61" s="20">
        <f t="shared" si="1"/>
        <v>0</v>
      </c>
      <c r="I61" s="20">
        <f t="shared" si="2"/>
        <v>4078.09</v>
      </c>
      <c r="J61" s="21">
        <f t="shared" si="3"/>
        <v>9.2019426907624102E-3</v>
      </c>
    </row>
    <row r="62" spans="1:10" x14ac:dyDescent="0.3">
      <c r="A62" s="33" t="s">
        <v>2226</v>
      </c>
      <c r="B62" s="34">
        <f>IFERROR(INDEX(Contabilidade!$K:$K,MATCH($A62,Contabilidade!$J:$J,0)),"")</f>
        <v>45587003000101</v>
      </c>
      <c r="C62" s="35">
        <f>SUMIFS(Contabilidade!$M:$M,Contabilidade!$J:$J,$A62,Contabilidade!$X:$X,"1. Com nota fiscal recolhida")</f>
        <v>2471.84</v>
      </c>
      <c r="D62" s="35">
        <f>SUMIFS(Contabilidade!$M:$M,Contabilidade!$J:$J,$A62,Contabilidade!$X:$X,"4. Crédito de estorno (desconto)")</f>
        <v>0</v>
      </c>
      <c r="E62" s="35">
        <f t="shared" si="0"/>
        <v>2471.84</v>
      </c>
      <c r="F62" s="35">
        <f>SUMIFS(Contabilidade!$M:$M,Contabilidade!$J:$J,$A62,Contabilidade!$X:$X,"2. Abastecimento cancelado (sem nota)")</f>
        <v>0</v>
      </c>
      <c r="G62" s="35">
        <f>SUMIFS(Contabilidade!$M:$M,Contabilidade!$J:$J,$A62,Contabilidade!$X:$X,"3. Sem nota fiscal")</f>
        <v>0</v>
      </c>
      <c r="H62" s="35">
        <f t="shared" si="1"/>
        <v>0</v>
      </c>
      <c r="I62" s="35">
        <f t="shared" si="2"/>
        <v>2471.84</v>
      </c>
      <c r="J62" s="36">
        <f t="shared" si="3"/>
        <v>5.5775448851629458E-3</v>
      </c>
    </row>
    <row r="63" spans="1:10" x14ac:dyDescent="0.3">
      <c r="A63" s="18" t="s">
        <v>152</v>
      </c>
      <c r="B63" s="32">
        <f>IFERROR(INDEX(Contabilidade!$K:$K,MATCH($A63,Contabilidade!$J:$J,0)),"")</f>
        <v>23891404000118</v>
      </c>
      <c r="C63" s="20">
        <f>SUMIFS(Contabilidade!$M:$M,Contabilidade!$J:$J,$A63,Contabilidade!$X:$X,"1. Com nota fiscal recolhida")</f>
        <v>2748.76</v>
      </c>
      <c r="D63" s="20">
        <f>SUMIFS(Contabilidade!$M:$M,Contabilidade!$J:$J,$A63,Contabilidade!$X:$X,"4. Crédito de estorno (desconto)")</f>
        <v>0</v>
      </c>
      <c r="E63" s="20">
        <f t="shared" si="0"/>
        <v>2748.76</v>
      </c>
      <c r="F63" s="20">
        <f>SUMIFS(Contabilidade!$M:$M,Contabilidade!$J:$J,$A63,Contabilidade!$X:$X,"2. Abastecimento cancelado (sem nota)")</f>
        <v>0</v>
      </c>
      <c r="G63" s="20">
        <f>SUMIFS(Contabilidade!$M:$M,Contabilidade!$J:$J,$A63,Contabilidade!$X:$X,"3. Sem nota fiscal")</f>
        <v>0</v>
      </c>
      <c r="H63" s="20">
        <f t="shared" si="1"/>
        <v>0</v>
      </c>
      <c r="I63" s="20">
        <f t="shared" si="2"/>
        <v>2748.76</v>
      </c>
      <c r="J63" s="21">
        <f t="shared" si="3"/>
        <v>6.2023967079343724E-3</v>
      </c>
    </row>
    <row r="64" spans="1:10" x14ac:dyDescent="0.3">
      <c r="A64" s="33" t="s">
        <v>3291</v>
      </c>
      <c r="B64" s="34">
        <f>IFERROR(INDEX(Contabilidade!$K:$K,MATCH($A64,Contabilidade!$J:$J,0)),"")</f>
        <v>2982547000165</v>
      </c>
      <c r="C64" s="35">
        <f>SUMIFS(Contabilidade!$M:$M,Contabilidade!$J:$J,$A64,Contabilidade!$X:$X,"1. Com nota fiscal recolhida")</f>
        <v>331.7</v>
      </c>
      <c r="D64" s="35">
        <f>SUMIFS(Contabilidade!$M:$M,Contabilidade!$J:$J,$A64,Contabilidade!$X:$X,"4. Crédito de estorno (desconto)")</f>
        <v>0</v>
      </c>
      <c r="E64" s="35">
        <f t="shared" si="0"/>
        <v>331.7</v>
      </c>
      <c r="F64" s="35">
        <f>SUMIFS(Contabilidade!$M:$M,Contabilidade!$J:$J,$A64,Contabilidade!$X:$X,"2. Abastecimento cancelado (sem nota)")</f>
        <v>0</v>
      </c>
      <c r="G64" s="35">
        <f>SUMIFS(Contabilidade!$M:$M,Contabilidade!$J:$J,$A64,Contabilidade!$X:$X,"3. Sem nota fiscal")</f>
        <v>0</v>
      </c>
      <c r="H64" s="35">
        <f t="shared" si="1"/>
        <v>0</v>
      </c>
      <c r="I64" s="35">
        <f t="shared" si="2"/>
        <v>331.7</v>
      </c>
      <c r="J64" s="36">
        <f t="shared" si="3"/>
        <v>7.4845930092908475E-4</v>
      </c>
    </row>
    <row r="65" spans="1:10" x14ac:dyDescent="0.3">
      <c r="A65" s="18" t="s">
        <v>210</v>
      </c>
      <c r="B65" s="32">
        <f>IFERROR(INDEX(Contabilidade!$K:$K,MATCH($A65,Contabilidade!$J:$J,0)),"")</f>
        <v>55973291000196</v>
      </c>
      <c r="C65" s="20">
        <f>SUMIFS(Contabilidade!$M:$M,Contabilidade!$J:$J,$A65,Contabilidade!$X:$X,"1. Com nota fiscal recolhida")</f>
        <v>1235.94</v>
      </c>
      <c r="D65" s="20">
        <f>SUMIFS(Contabilidade!$M:$M,Contabilidade!$J:$J,$A65,Contabilidade!$X:$X,"4. Crédito de estorno (desconto)")</f>
        <v>0</v>
      </c>
      <c r="E65" s="20">
        <f t="shared" si="0"/>
        <v>1235.94</v>
      </c>
      <c r="F65" s="20">
        <f>SUMIFS(Contabilidade!$M:$M,Contabilidade!$J:$J,$A65,Contabilidade!$X:$X,"2. Abastecimento cancelado (sem nota)")</f>
        <v>0</v>
      </c>
      <c r="G65" s="20">
        <f>SUMIFS(Contabilidade!$M:$M,Contabilidade!$J:$J,$A65,Contabilidade!$X:$X,"3. Sem nota fiscal")</f>
        <v>0</v>
      </c>
      <c r="H65" s="20">
        <f t="shared" si="1"/>
        <v>0</v>
      </c>
      <c r="I65" s="20">
        <f t="shared" si="2"/>
        <v>1235.94</v>
      </c>
      <c r="J65" s="21">
        <f t="shared" si="3"/>
        <v>2.7888175712701027E-3</v>
      </c>
    </row>
    <row r="66" spans="1:10" x14ac:dyDescent="0.3">
      <c r="A66" s="33" t="s">
        <v>4297</v>
      </c>
      <c r="B66" s="34">
        <f>IFERROR(INDEX(Contabilidade!$K:$K,MATCH($A66,Contabilidade!$J:$J,0)),"")</f>
        <v>78793189000104</v>
      </c>
      <c r="C66" s="35">
        <f>SUMIFS(Contabilidade!$M:$M,Contabilidade!$J:$J,$A66,Contabilidade!$X:$X,"1. Com nota fiscal recolhida")</f>
        <v>305.2</v>
      </c>
      <c r="D66" s="35">
        <f>SUMIFS(Contabilidade!$M:$M,Contabilidade!$J:$J,$A66,Contabilidade!$X:$X,"4. Crédito de estorno (desconto)")</f>
        <v>0</v>
      </c>
      <c r="E66" s="35">
        <f t="shared" si="0"/>
        <v>305.2</v>
      </c>
      <c r="F66" s="35">
        <f>SUMIFS(Contabilidade!$M:$M,Contabilidade!$J:$J,$A66,Contabilidade!$X:$X,"2. Abastecimento cancelado (sem nota)")</f>
        <v>0</v>
      </c>
      <c r="G66" s="35">
        <f>SUMIFS(Contabilidade!$M:$M,Contabilidade!$J:$J,$A66,Contabilidade!$X:$X,"3. Sem nota fiscal")</f>
        <v>0</v>
      </c>
      <c r="H66" s="35">
        <f t="shared" si="1"/>
        <v>0</v>
      </c>
      <c r="I66" s="35">
        <f t="shared" si="2"/>
        <v>305.2</v>
      </c>
      <c r="J66" s="36">
        <f t="shared" si="3"/>
        <v>6.8866378849429205E-4</v>
      </c>
    </row>
    <row r="67" spans="1:10" x14ac:dyDescent="0.3">
      <c r="A67" s="18" t="s">
        <v>230</v>
      </c>
      <c r="B67" s="32">
        <f>IFERROR(INDEX(Contabilidade!$K:$K,MATCH($A67,Contabilidade!$J:$J,0)),"")</f>
        <v>19770285000178</v>
      </c>
      <c r="C67" s="20">
        <f>SUMIFS(Contabilidade!$M:$M,Contabilidade!$J:$J,$A67,Contabilidade!$X:$X,"1. Com nota fiscal recolhida")</f>
        <v>952.48</v>
      </c>
      <c r="D67" s="20">
        <f>SUMIFS(Contabilidade!$M:$M,Contabilidade!$J:$J,$A67,Contabilidade!$X:$X,"4. Crédito de estorno (desconto)")</f>
        <v>0</v>
      </c>
      <c r="E67" s="20">
        <f t="shared" si="0"/>
        <v>952.48</v>
      </c>
      <c r="F67" s="20">
        <f>SUMIFS(Contabilidade!$M:$M,Contabilidade!$J:$J,$A67,Contabilidade!$X:$X,"2. Abastecimento cancelado (sem nota)")</f>
        <v>0</v>
      </c>
      <c r="G67" s="20">
        <f>SUMIFS(Contabilidade!$M:$M,Contabilidade!$J:$J,$A67,Contabilidade!$X:$X,"3. Sem nota fiscal")</f>
        <v>0</v>
      </c>
      <c r="H67" s="20">
        <f t="shared" si="1"/>
        <v>0</v>
      </c>
      <c r="I67" s="20">
        <f t="shared" si="2"/>
        <v>952.48</v>
      </c>
      <c r="J67" s="21">
        <f t="shared" si="3"/>
        <v>2.1492086673166556E-3</v>
      </c>
    </row>
    <row r="68" spans="1:10" x14ac:dyDescent="0.3">
      <c r="A68" s="33" t="s">
        <v>348</v>
      </c>
      <c r="B68" s="34">
        <f>IFERROR(INDEX(Contabilidade!$K:$K,MATCH($A68,Contabilidade!$J:$J,0)),"")</f>
        <v>26416003000102</v>
      </c>
      <c r="C68" s="35">
        <f>SUMIFS(Contabilidade!$M:$M,Contabilidade!$J:$J,$A68,Contabilidade!$X:$X,"1. Com nota fiscal recolhida")</f>
        <v>1627.0600000000002</v>
      </c>
      <c r="D68" s="35">
        <f>SUMIFS(Contabilidade!$M:$M,Contabilidade!$J:$J,$A68,Contabilidade!$X:$X,"4. Crédito de estorno (desconto)")</f>
        <v>0</v>
      </c>
      <c r="E68" s="35">
        <f t="shared" ref="E68:E131" si="4">C68+D68</f>
        <v>1627.0600000000002</v>
      </c>
      <c r="F68" s="35">
        <f>SUMIFS(Contabilidade!$M:$M,Contabilidade!$J:$J,$A68,Contabilidade!$X:$X,"2. Abastecimento cancelado (sem nota)")</f>
        <v>0</v>
      </c>
      <c r="G68" s="35">
        <f>SUMIFS(Contabilidade!$M:$M,Contabilidade!$J:$J,$A68,Contabilidade!$X:$X,"3. Sem nota fiscal")</f>
        <v>0</v>
      </c>
      <c r="H68" s="35">
        <f t="shared" ref="H68:H131" si="5">F68+G68</f>
        <v>0</v>
      </c>
      <c r="I68" s="35">
        <f t="shared" ref="I68:I131" si="6">E68+H68</f>
        <v>1627.0600000000002</v>
      </c>
      <c r="J68" s="36">
        <f t="shared" ref="J68:J131" si="7">IF(I$208,I68/I$208,0)</f>
        <v>3.6713542061190137E-3</v>
      </c>
    </row>
    <row r="69" spans="1:10" x14ac:dyDescent="0.3">
      <c r="A69" s="18" t="s">
        <v>315</v>
      </c>
      <c r="B69" s="32">
        <f>IFERROR(INDEX(Contabilidade!$K:$K,MATCH($A69,Contabilidade!$J:$J,0)),"")</f>
        <v>2322969000104</v>
      </c>
      <c r="C69" s="20">
        <f>SUMIFS(Contabilidade!$M:$M,Contabilidade!$J:$J,$A69,Contabilidade!$X:$X,"1. Com nota fiscal recolhida")</f>
        <v>1269.3000000000002</v>
      </c>
      <c r="D69" s="20">
        <f>SUMIFS(Contabilidade!$M:$M,Contabilidade!$J:$J,$A69,Contabilidade!$X:$X,"4. Crédito de estorno (desconto)")</f>
        <v>0</v>
      </c>
      <c r="E69" s="20">
        <f t="shared" si="4"/>
        <v>1269.3000000000002</v>
      </c>
      <c r="F69" s="20">
        <f>SUMIFS(Contabilidade!$M:$M,Contabilidade!$J:$J,$A69,Contabilidade!$X:$X,"2. Abastecimento cancelado (sem nota)")</f>
        <v>0</v>
      </c>
      <c r="G69" s="20">
        <f>SUMIFS(Contabilidade!$M:$M,Contabilidade!$J:$J,$A69,Contabilidade!$X:$X,"3. Sem nota fiscal")</f>
        <v>277.58</v>
      </c>
      <c r="H69" s="20">
        <f t="shared" si="5"/>
        <v>277.58</v>
      </c>
      <c r="I69" s="20">
        <f t="shared" si="6"/>
        <v>1546.88</v>
      </c>
      <c r="J69" s="21">
        <f t="shared" si="7"/>
        <v>3.4904332934012142E-3</v>
      </c>
    </row>
    <row r="70" spans="1:10" x14ac:dyDescent="0.3">
      <c r="A70" s="33" t="s">
        <v>3</v>
      </c>
      <c r="B70" s="34">
        <f>IFERROR(INDEX(Contabilidade!$K:$K,MATCH($A70,Contabilidade!$J:$J,0)),"")</f>
        <v>81326258001156</v>
      </c>
      <c r="C70" s="35">
        <f>SUMIFS(Contabilidade!$M:$M,Contabilidade!$J:$J,$A70,Contabilidade!$X:$X,"1. Com nota fiscal recolhida")</f>
        <v>321.01</v>
      </c>
      <c r="D70" s="35">
        <f>SUMIFS(Contabilidade!$M:$M,Contabilidade!$J:$J,$A70,Contabilidade!$X:$X,"4. Crédito de estorno (desconto)")</f>
        <v>0</v>
      </c>
      <c r="E70" s="35">
        <f t="shared" si="4"/>
        <v>321.01</v>
      </c>
      <c r="F70" s="35">
        <f>SUMIFS(Contabilidade!$M:$M,Contabilidade!$J:$J,$A70,Contabilidade!$X:$X,"2. Abastecimento cancelado (sem nota)")</f>
        <v>0</v>
      </c>
      <c r="G70" s="35">
        <f>SUMIFS(Contabilidade!$M:$M,Contabilidade!$J:$J,$A70,Contabilidade!$X:$X,"3. Sem nota fiscal")</f>
        <v>0</v>
      </c>
      <c r="H70" s="35">
        <f t="shared" si="5"/>
        <v>0</v>
      </c>
      <c r="I70" s="35">
        <f t="shared" si="6"/>
        <v>321.01</v>
      </c>
      <c r="J70" s="36">
        <f t="shared" si="7"/>
        <v>7.2433801685633256E-4</v>
      </c>
    </row>
    <row r="71" spans="1:10" x14ac:dyDescent="0.3">
      <c r="A71" s="18" t="s">
        <v>1026</v>
      </c>
      <c r="B71" s="32">
        <f>IFERROR(INDEX(Contabilidade!$K:$K,MATCH($A71,Contabilidade!$J:$J,0)),"")</f>
        <v>81326258001407</v>
      </c>
      <c r="C71" s="20">
        <f>SUMIFS(Contabilidade!$M:$M,Contabilidade!$J:$J,$A71,Contabilidade!$X:$X,"1. Com nota fiscal recolhida")</f>
        <v>3454.2</v>
      </c>
      <c r="D71" s="20">
        <f>SUMIFS(Contabilidade!$M:$M,Contabilidade!$J:$J,$A71,Contabilidade!$X:$X,"4. Crédito de estorno (desconto)")</f>
        <v>0</v>
      </c>
      <c r="E71" s="20">
        <f t="shared" si="4"/>
        <v>3454.2</v>
      </c>
      <c r="F71" s="20">
        <f>SUMIFS(Contabilidade!$M:$M,Contabilidade!$J:$J,$A71,Contabilidade!$X:$X,"2. Abastecimento cancelado (sem nota)")</f>
        <v>0</v>
      </c>
      <c r="G71" s="20">
        <f>SUMIFS(Contabilidade!$M:$M,Contabilidade!$J:$J,$A71,Contabilidade!$X:$X,"3. Sem nota fiscal")</f>
        <v>0</v>
      </c>
      <c r="H71" s="20">
        <f t="shared" si="5"/>
        <v>0</v>
      </c>
      <c r="I71" s="20">
        <f t="shared" si="6"/>
        <v>3454.2</v>
      </c>
      <c r="J71" s="21">
        <f t="shared" si="7"/>
        <v>7.7941758132928692E-3</v>
      </c>
    </row>
    <row r="72" spans="1:10" x14ac:dyDescent="0.3">
      <c r="A72" s="33" t="s">
        <v>134</v>
      </c>
      <c r="B72" s="34">
        <f>IFERROR(INDEX(Contabilidade!$K:$K,MATCH($A72,Contabilidade!$J:$J,0)),"")</f>
        <v>81326258000770</v>
      </c>
      <c r="C72" s="35">
        <f>SUMIFS(Contabilidade!$M:$M,Contabilidade!$J:$J,$A72,Contabilidade!$X:$X,"1. Com nota fiscal recolhida")</f>
        <v>2463.58</v>
      </c>
      <c r="D72" s="35">
        <f>SUMIFS(Contabilidade!$M:$M,Contabilidade!$J:$J,$A72,Contabilidade!$X:$X,"4. Crédito de estorno (desconto)")</f>
        <v>0</v>
      </c>
      <c r="E72" s="35">
        <f t="shared" si="4"/>
        <v>2463.58</v>
      </c>
      <c r="F72" s="35">
        <f>SUMIFS(Contabilidade!$M:$M,Contabilidade!$J:$J,$A72,Contabilidade!$X:$X,"2. Abastecimento cancelado (sem nota)")</f>
        <v>0</v>
      </c>
      <c r="G72" s="35">
        <f>SUMIFS(Contabilidade!$M:$M,Contabilidade!$J:$J,$A72,Contabilidade!$X:$X,"3. Sem nota fiscal")</f>
        <v>0</v>
      </c>
      <c r="H72" s="35">
        <f t="shared" si="5"/>
        <v>0</v>
      </c>
      <c r="I72" s="35">
        <f t="shared" si="6"/>
        <v>2463.58</v>
      </c>
      <c r="J72" s="36">
        <f t="shared" si="7"/>
        <v>5.5589067367587423E-3</v>
      </c>
    </row>
    <row r="73" spans="1:10" x14ac:dyDescent="0.3">
      <c r="A73" s="18" t="s">
        <v>234</v>
      </c>
      <c r="B73" s="32">
        <f>IFERROR(INDEX(Contabilidade!$K:$K,MATCH($A73,Contabilidade!$J:$J,0)),"")</f>
        <v>81326258001580</v>
      </c>
      <c r="C73" s="20">
        <f>SUMIFS(Contabilidade!$M:$M,Contabilidade!$J:$J,$A73,Contabilidade!$X:$X,"1. Com nota fiscal recolhida")</f>
        <v>332.17</v>
      </c>
      <c r="D73" s="20">
        <f>SUMIFS(Contabilidade!$M:$M,Contabilidade!$J:$J,$A73,Contabilidade!$X:$X,"4. Crédito de estorno (desconto)")</f>
        <v>0</v>
      </c>
      <c r="E73" s="20">
        <f t="shared" si="4"/>
        <v>332.17</v>
      </c>
      <c r="F73" s="20">
        <f>SUMIFS(Contabilidade!$M:$M,Contabilidade!$J:$J,$A73,Contabilidade!$X:$X,"2. Abastecimento cancelado (sem nota)")</f>
        <v>0</v>
      </c>
      <c r="G73" s="20">
        <f>SUMIFS(Contabilidade!$M:$M,Contabilidade!$J:$J,$A73,Contabilidade!$X:$X,"3. Sem nota fiscal")</f>
        <v>0</v>
      </c>
      <c r="H73" s="20">
        <f t="shared" si="5"/>
        <v>0</v>
      </c>
      <c r="I73" s="20">
        <f t="shared" si="6"/>
        <v>332.17</v>
      </c>
      <c r="J73" s="21">
        <f t="shared" si="7"/>
        <v>7.4951982511189063E-4</v>
      </c>
    </row>
    <row r="74" spans="1:10" x14ac:dyDescent="0.3">
      <c r="A74" s="33" t="s">
        <v>471</v>
      </c>
      <c r="B74" s="34">
        <f>IFERROR(INDEX(Contabilidade!$K:$K,MATCH($A74,Contabilidade!$J:$J,0)),"")</f>
        <v>300969000188</v>
      </c>
      <c r="C74" s="35">
        <f>SUMIFS(Contabilidade!$M:$M,Contabilidade!$J:$J,$A74,Contabilidade!$X:$X,"1. Com nota fiscal recolhida")</f>
        <v>339.6</v>
      </c>
      <c r="D74" s="35">
        <f>SUMIFS(Contabilidade!$M:$M,Contabilidade!$J:$J,$A74,Contabilidade!$X:$X,"4. Crédito de estorno (desconto)")</f>
        <v>0</v>
      </c>
      <c r="E74" s="35">
        <f t="shared" si="4"/>
        <v>339.6</v>
      </c>
      <c r="F74" s="35">
        <f>SUMIFS(Contabilidade!$M:$M,Contabilidade!$J:$J,$A74,Contabilidade!$X:$X,"2. Abastecimento cancelado (sem nota)")</f>
        <v>0</v>
      </c>
      <c r="G74" s="35">
        <f>SUMIFS(Contabilidade!$M:$M,Contabilidade!$J:$J,$A74,Contabilidade!$X:$X,"3. Sem nota fiscal")</f>
        <v>0</v>
      </c>
      <c r="H74" s="35">
        <f t="shared" si="5"/>
        <v>0</v>
      </c>
      <c r="I74" s="35">
        <f t="shared" si="6"/>
        <v>339.6</v>
      </c>
      <c r="J74" s="36">
        <f t="shared" si="7"/>
        <v>7.6628513293794756E-4</v>
      </c>
    </row>
    <row r="75" spans="1:10" x14ac:dyDescent="0.3">
      <c r="A75" s="18" t="s">
        <v>24</v>
      </c>
      <c r="B75" s="32">
        <f>IFERROR(INDEX(Contabilidade!$K:$K,MATCH($A75,Contabilidade!$J:$J,0)),"")</f>
        <v>46472822000176</v>
      </c>
      <c r="C75" s="20">
        <f>SUMIFS(Contabilidade!$M:$M,Contabilidade!$J:$J,$A75,Contabilidade!$X:$X,"1. Com nota fiscal recolhida")</f>
        <v>4072.56</v>
      </c>
      <c r="D75" s="20">
        <f>SUMIFS(Contabilidade!$M:$M,Contabilidade!$J:$J,$A75,Contabilidade!$X:$X,"4. Crédito de estorno (desconto)")</f>
        <v>0</v>
      </c>
      <c r="E75" s="20">
        <f t="shared" si="4"/>
        <v>4072.56</v>
      </c>
      <c r="F75" s="20">
        <f>SUMIFS(Contabilidade!$M:$M,Contabilidade!$J:$J,$A75,Contabilidade!$X:$X,"2. Abastecimento cancelado (sem nota)")</f>
        <v>0</v>
      </c>
      <c r="G75" s="20">
        <f>SUMIFS(Contabilidade!$M:$M,Contabilidade!$J:$J,$A75,Contabilidade!$X:$X,"3. Sem nota fiscal")</f>
        <v>0</v>
      </c>
      <c r="H75" s="20">
        <f t="shared" si="5"/>
        <v>0</v>
      </c>
      <c r="I75" s="20">
        <f t="shared" si="6"/>
        <v>4072.56</v>
      </c>
      <c r="J75" s="21">
        <f t="shared" si="7"/>
        <v>9.1894646083562053E-3</v>
      </c>
    </row>
    <row r="76" spans="1:10" x14ac:dyDescent="0.3">
      <c r="A76" s="33" t="s">
        <v>591</v>
      </c>
      <c r="B76" s="34">
        <f>IFERROR(INDEX(Contabilidade!$K:$K,MATCH($A76,Contabilidade!$J:$J,0)),"")</f>
        <v>41779350000185</v>
      </c>
      <c r="C76" s="35">
        <f>SUMIFS(Contabilidade!$M:$M,Contabilidade!$J:$J,$A76,Contabilidade!$X:$X,"1. Com nota fiscal recolhida")</f>
        <v>209.51</v>
      </c>
      <c r="D76" s="35">
        <f>SUMIFS(Contabilidade!$M:$M,Contabilidade!$J:$J,$A76,Contabilidade!$X:$X,"4. Crédito de estorno (desconto)")</f>
        <v>0</v>
      </c>
      <c r="E76" s="35">
        <f t="shared" si="4"/>
        <v>209.51</v>
      </c>
      <c r="F76" s="35">
        <f>SUMIFS(Contabilidade!$M:$M,Contabilidade!$J:$J,$A76,Contabilidade!$X:$X,"2. Abastecimento cancelado (sem nota)")</f>
        <v>0</v>
      </c>
      <c r="G76" s="35">
        <f>SUMIFS(Contabilidade!$M:$M,Contabilidade!$J:$J,$A76,Contabilidade!$X:$X,"3. Sem nota fiscal")</f>
        <v>0</v>
      </c>
      <c r="H76" s="35">
        <f t="shared" si="5"/>
        <v>0</v>
      </c>
      <c r="I76" s="35">
        <f t="shared" si="6"/>
        <v>209.51</v>
      </c>
      <c r="J76" s="36">
        <f t="shared" si="7"/>
        <v>4.727455777439028E-4</v>
      </c>
    </row>
    <row r="77" spans="1:10" x14ac:dyDescent="0.3">
      <c r="A77" s="18" t="s">
        <v>507</v>
      </c>
      <c r="B77" s="32">
        <f>IFERROR(INDEX(Contabilidade!$K:$K,MATCH($A77,Contabilidade!$J:$J,0)),"")</f>
        <v>3626094001330</v>
      </c>
      <c r="C77" s="20">
        <f>SUMIFS(Contabilidade!$M:$M,Contabilidade!$J:$J,$A77,Contabilidade!$X:$X,"1. Com nota fiscal recolhida")</f>
        <v>5461.8399999999992</v>
      </c>
      <c r="D77" s="20">
        <f>SUMIFS(Contabilidade!$M:$M,Contabilidade!$J:$J,$A77,Contabilidade!$X:$X,"4. Crédito de estorno (desconto)")</f>
        <v>0</v>
      </c>
      <c r="E77" s="20">
        <f t="shared" si="4"/>
        <v>5461.8399999999992</v>
      </c>
      <c r="F77" s="20">
        <f>SUMIFS(Contabilidade!$M:$M,Contabilidade!$J:$J,$A77,Contabilidade!$X:$X,"2. Abastecimento cancelado (sem nota)")</f>
        <v>0</v>
      </c>
      <c r="G77" s="20">
        <f>SUMIFS(Contabilidade!$M:$M,Contabilidade!$J:$J,$A77,Contabilidade!$X:$X,"3. Sem nota fiscal")</f>
        <v>0</v>
      </c>
      <c r="H77" s="20">
        <f t="shared" si="5"/>
        <v>0</v>
      </c>
      <c r="I77" s="20">
        <f t="shared" si="6"/>
        <v>5461.8399999999992</v>
      </c>
      <c r="J77" s="21">
        <f t="shared" si="7"/>
        <v>1.2324283835352765E-2</v>
      </c>
    </row>
    <row r="78" spans="1:10" x14ac:dyDescent="0.3">
      <c r="A78" s="33" t="s">
        <v>142</v>
      </c>
      <c r="B78" s="34">
        <f>IFERROR(INDEX(Contabilidade!$K:$K,MATCH($A78,Contabilidade!$J:$J,0)),"")</f>
        <v>54494203000100</v>
      </c>
      <c r="C78" s="35">
        <f>SUMIFS(Contabilidade!$M:$M,Contabilidade!$J:$J,$A78,Contabilidade!$X:$X,"1. Com nota fiscal recolhida")</f>
        <v>1304.29</v>
      </c>
      <c r="D78" s="35">
        <f>SUMIFS(Contabilidade!$M:$M,Contabilidade!$J:$J,$A78,Contabilidade!$X:$X,"4. Crédito de estorno (desconto)")</f>
        <v>0</v>
      </c>
      <c r="E78" s="35">
        <f t="shared" si="4"/>
        <v>1304.29</v>
      </c>
      <c r="F78" s="35">
        <f>SUMIFS(Contabilidade!$M:$M,Contabilidade!$J:$J,$A78,Contabilidade!$X:$X,"2. Abastecimento cancelado (sem nota)")</f>
        <v>0</v>
      </c>
      <c r="G78" s="35">
        <f>SUMIFS(Contabilidade!$M:$M,Contabilidade!$J:$J,$A78,Contabilidade!$X:$X,"3. Sem nota fiscal")</f>
        <v>0</v>
      </c>
      <c r="H78" s="35">
        <f t="shared" si="5"/>
        <v>0</v>
      </c>
      <c r="I78" s="35">
        <f t="shared" si="6"/>
        <v>1304.29</v>
      </c>
      <c r="J78" s="36">
        <f t="shared" si="7"/>
        <v>2.9430448646632378E-3</v>
      </c>
    </row>
    <row r="79" spans="1:10" x14ac:dyDescent="0.3">
      <c r="A79" s="18" t="s">
        <v>346</v>
      </c>
      <c r="B79" s="32">
        <f>IFERROR(INDEX(Contabilidade!$K:$K,MATCH($A79,Contabilidade!$J:$J,0)),"")</f>
        <v>8318079000105</v>
      </c>
      <c r="C79" s="20">
        <f>SUMIFS(Contabilidade!$M:$M,Contabilidade!$J:$J,$A79,Contabilidade!$X:$X,"1. Com nota fiscal recolhida")</f>
        <v>448.58000000000004</v>
      </c>
      <c r="D79" s="20">
        <f>SUMIFS(Contabilidade!$M:$M,Contabilidade!$J:$J,$A79,Contabilidade!$X:$X,"4. Crédito de estorno (desconto)")</f>
        <v>0</v>
      </c>
      <c r="E79" s="20">
        <f t="shared" si="4"/>
        <v>448.58000000000004</v>
      </c>
      <c r="F79" s="20">
        <f>SUMIFS(Contabilidade!$M:$M,Contabilidade!$J:$J,$A79,Contabilidade!$X:$X,"2. Abastecimento cancelado (sem nota)")</f>
        <v>0</v>
      </c>
      <c r="G79" s="20">
        <f>SUMIFS(Contabilidade!$M:$M,Contabilidade!$J:$J,$A79,Contabilidade!$X:$X,"3. Sem nota fiscal")</f>
        <v>0</v>
      </c>
      <c r="H79" s="20">
        <f t="shared" si="5"/>
        <v>0</v>
      </c>
      <c r="I79" s="20">
        <f t="shared" si="6"/>
        <v>448.58000000000004</v>
      </c>
      <c r="J79" s="21">
        <f t="shared" si="7"/>
        <v>1.0121913572829933E-3</v>
      </c>
    </row>
    <row r="80" spans="1:10" x14ac:dyDescent="0.3">
      <c r="A80" s="33" t="s">
        <v>132</v>
      </c>
      <c r="B80" s="34">
        <f>IFERROR(INDEX(Contabilidade!$K:$K,MATCH($A80,Contabilidade!$J:$J,0)),"")</f>
        <v>10588554000105</v>
      </c>
      <c r="C80" s="35">
        <f>SUMIFS(Contabilidade!$M:$M,Contabilidade!$J:$J,$A80,Contabilidade!$X:$X,"1. Com nota fiscal recolhida")</f>
        <v>1635.9599999999998</v>
      </c>
      <c r="D80" s="35">
        <f>SUMIFS(Contabilidade!$M:$M,Contabilidade!$J:$J,$A80,Contabilidade!$X:$X,"4. Crédito de estorno (desconto)")</f>
        <v>0</v>
      </c>
      <c r="E80" s="35">
        <f t="shared" si="4"/>
        <v>1635.9599999999998</v>
      </c>
      <c r="F80" s="35">
        <f>SUMIFS(Contabilidade!$M:$M,Contabilidade!$J:$J,$A80,Contabilidade!$X:$X,"2. Abastecimento cancelado (sem nota)")</f>
        <v>0</v>
      </c>
      <c r="G80" s="35">
        <f>SUMIFS(Contabilidade!$M:$M,Contabilidade!$J:$J,$A80,Contabilidade!$X:$X,"3. Sem nota fiscal")</f>
        <v>126.82</v>
      </c>
      <c r="H80" s="35">
        <f t="shared" si="5"/>
        <v>126.82</v>
      </c>
      <c r="I80" s="35">
        <f t="shared" si="6"/>
        <v>1762.7799999999997</v>
      </c>
      <c r="J80" s="36">
        <f t="shared" si="7"/>
        <v>3.9775974871624114E-3</v>
      </c>
    </row>
    <row r="81" spans="1:10" x14ac:dyDescent="0.3">
      <c r="A81" s="18" t="s">
        <v>233</v>
      </c>
      <c r="B81" s="32">
        <f>IFERROR(INDEX(Contabilidade!$K:$K,MATCH($A81,Contabilidade!$J:$J,0)),"")</f>
        <v>22611652000103</v>
      </c>
      <c r="C81" s="20">
        <f>SUMIFS(Contabilidade!$M:$M,Contabilidade!$J:$J,$A81,Contabilidade!$X:$X,"1. Com nota fiscal recolhida")</f>
        <v>754.48</v>
      </c>
      <c r="D81" s="20">
        <f>SUMIFS(Contabilidade!$M:$M,Contabilidade!$J:$J,$A81,Contabilidade!$X:$X,"4. Crédito de estorno (desconto)")</f>
        <v>0</v>
      </c>
      <c r="E81" s="20">
        <f t="shared" si="4"/>
        <v>754.48</v>
      </c>
      <c r="F81" s="20">
        <f>SUMIFS(Contabilidade!$M:$M,Contabilidade!$J:$J,$A81,Contabilidade!$X:$X,"2. Abastecimento cancelado (sem nota)")</f>
        <v>0</v>
      </c>
      <c r="G81" s="20">
        <f>SUMIFS(Contabilidade!$M:$M,Contabilidade!$J:$J,$A81,Contabilidade!$X:$X,"3. Sem nota fiscal")</f>
        <v>0</v>
      </c>
      <c r="H81" s="20">
        <f t="shared" si="5"/>
        <v>0</v>
      </c>
      <c r="I81" s="20">
        <f t="shared" si="6"/>
        <v>754.48</v>
      </c>
      <c r="J81" s="21">
        <f t="shared" si="7"/>
        <v>1.7024346498793366E-3</v>
      </c>
    </row>
    <row r="82" spans="1:10" x14ac:dyDescent="0.3">
      <c r="A82" s="33" t="s">
        <v>634</v>
      </c>
      <c r="B82" s="34">
        <f>IFERROR(INDEX(Contabilidade!$K:$K,MATCH($A82,Contabilidade!$J:$J,0)),"")</f>
        <v>22611652000286</v>
      </c>
      <c r="C82" s="35">
        <f>SUMIFS(Contabilidade!$M:$M,Contabilidade!$J:$J,$A82,Contabilidade!$X:$X,"1. Com nota fiscal recolhida")</f>
        <v>1246.76</v>
      </c>
      <c r="D82" s="35">
        <f>SUMIFS(Contabilidade!$M:$M,Contabilidade!$J:$J,$A82,Contabilidade!$X:$X,"4. Crédito de estorno (desconto)")</f>
        <v>0</v>
      </c>
      <c r="E82" s="35">
        <f t="shared" si="4"/>
        <v>1246.76</v>
      </c>
      <c r="F82" s="35">
        <f>SUMIFS(Contabilidade!$M:$M,Contabilidade!$J:$J,$A82,Contabilidade!$X:$X,"2. Abastecimento cancelado (sem nota)")</f>
        <v>0</v>
      </c>
      <c r="G82" s="35">
        <f>SUMIFS(Contabilidade!$M:$M,Contabilidade!$J:$J,$A82,Contabilidade!$X:$X,"3. Sem nota fiscal")</f>
        <v>0</v>
      </c>
      <c r="H82" s="35">
        <f t="shared" si="5"/>
        <v>0</v>
      </c>
      <c r="I82" s="35">
        <f t="shared" si="6"/>
        <v>1246.76</v>
      </c>
      <c r="J82" s="36">
        <f t="shared" si="7"/>
        <v>2.8132321918189502E-3</v>
      </c>
    </row>
    <row r="83" spans="1:10" x14ac:dyDescent="0.3">
      <c r="A83" s="18" t="s">
        <v>85</v>
      </c>
      <c r="B83" s="32">
        <f>IFERROR(INDEX(Contabilidade!$K:$K,MATCH($A83,Contabilidade!$J:$J,0)),"")</f>
        <v>1975878000105</v>
      </c>
      <c r="C83" s="20">
        <f>SUMIFS(Contabilidade!$M:$M,Contabilidade!$J:$J,$A83,Contabilidade!$X:$X,"1. Com nota fiscal recolhida")</f>
        <v>14179.840000000002</v>
      </c>
      <c r="D83" s="20">
        <f>SUMIFS(Contabilidade!$M:$M,Contabilidade!$J:$J,$A83,Contabilidade!$X:$X,"4. Crédito de estorno (desconto)")</f>
        <v>0</v>
      </c>
      <c r="E83" s="20">
        <f t="shared" si="4"/>
        <v>14179.840000000002</v>
      </c>
      <c r="F83" s="20">
        <f>SUMIFS(Contabilidade!$M:$M,Contabilidade!$J:$J,$A83,Contabilidade!$X:$X,"2. Abastecimento cancelado (sem nota)")</f>
        <v>0</v>
      </c>
      <c r="G83" s="20">
        <f>SUMIFS(Contabilidade!$M:$M,Contabilidade!$J:$J,$A83,Contabilidade!$X:$X,"3. Sem nota fiscal")</f>
        <v>0</v>
      </c>
      <c r="H83" s="20">
        <f t="shared" si="5"/>
        <v>0</v>
      </c>
      <c r="I83" s="20">
        <f t="shared" si="6"/>
        <v>14179.840000000002</v>
      </c>
      <c r="J83" s="21">
        <f t="shared" si="7"/>
        <v>3.1995879209183828E-2</v>
      </c>
    </row>
    <row r="84" spans="1:10" x14ac:dyDescent="0.3">
      <c r="A84" s="33" t="s">
        <v>601</v>
      </c>
      <c r="B84" s="34">
        <f>IFERROR(INDEX(Contabilidade!$K:$K,MATCH($A84,Contabilidade!$J:$J,0)),"")</f>
        <v>6294288000130</v>
      </c>
      <c r="C84" s="35">
        <f>SUMIFS(Contabilidade!$M:$M,Contabilidade!$J:$J,$A84,Contabilidade!$X:$X,"1. Com nota fiscal recolhida")</f>
        <v>403.31</v>
      </c>
      <c r="D84" s="35">
        <f>SUMIFS(Contabilidade!$M:$M,Contabilidade!$J:$J,$A84,Contabilidade!$X:$X,"4. Crédito de estorno (desconto)")</f>
        <v>0</v>
      </c>
      <c r="E84" s="35">
        <f t="shared" si="4"/>
        <v>403.31</v>
      </c>
      <c r="F84" s="35">
        <f>SUMIFS(Contabilidade!$M:$M,Contabilidade!$J:$J,$A84,Contabilidade!$X:$X,"2. Abastecimento cancelado (sem nota)")</f>
        <v>0</v>
      </c>
      <c r="G84" s="35">
        <f>SUMIFS(Contabilidade!$M:$M,Contabilidade!$J:$J,$A84,Contabilidade!$X:$X,"3. Sem nota fiscal")</f>
        <v>0</v>
      </c>
      <c r="H84" s="35">
        <f t="shared" si="5"/>
        <v>0</v>
      </c>
      <c r="I84" s="35">
        <f t="shared" si="6"/>
        <v>403.31</v>
      </c>
      <c r="J84" s="36">
        <f t="shared" si="7"/>
        <v>9.1004257056891526E-4</v>
      </c>
    </row>
    <row r="85" spans="1:10" x14ac:dyDescent="0.3">
      <c r="A85" s="18" t="s">
        <v>465</v>
      </c>
      <c r="B85" s="32">
        <f>IFERROR(INDEX(Contabilidade!$K:$K,MATCH($A85,Contabilidade!$J:$J,0)),"")</f>
        <v>24601882000109</v>
      </c>
      <c r="C85" s="20">
        <f>SUMIFS(Contabilidade!$M:$M,Contabilidade!$J:$J,$A85,Contabilidade!$X:$X,"1. Com nota fiscal recolhida")</f>
        <v>858.87</v>
      </c>
      <c r="D85" s="20">
        <f>SUMIFS(Contabilidade!$M:$M,Contabilidade!$J:$J,$A85,Contabilidade!$X:$X,"4. Crédito de estorno (desconto)")</f>
        <v>0</v>
      </c>
      <c r="E85" s="20">
        <f t="shared" si="4"/>
        <v>858.87</v>
      </c>
      <c r="F85" s="20">
        <f>SUMIFS(Contabilidade!$M:$M,Contabilidade!$J:$J,$A85,Contabilidade!$X:$X,"2. Abastecimento cancelado (sem nota)")</f>
        <v>0</v>
      </c>
      <c r="G85" s="20">
        <f>SUMIFS(Contabilidade!$M:$M,Contabilidade!$J:$J,$A85,Contabilidade!$X:$X,"3. Sem nota fiscal")</f>
        <v>0</v>
      </c>
      <c r="H85" s="20">
        <f t="shared" si="5"/>
        <v>0</v>
      </c>
      <c r="I85" s="20">
        <f t="shared" si="6"/>
        <v>858.87</v>
      </c>
      <c r="J85" s="21">
        <f t="shared" si="7"/>
        <v>1.9379838401837898E-3</v>
      </c>
    </row>
    <row r="86" spans="1:10" x14ac:dyDescent="0.3">
      <c r="A86" s="33" t="s">
        <v>109</v>
      </c>
      <c r="B86" s="34">
        <f>IFERROR(INDEX(Contabilidade!$K:$K,MATCH($A86,Contabilidade!$J:$J,0)),"")</f>
        <v>5218335000102</v>
      </c>
      <c r="C86" s="35">
        <f>SUMIFS(Contabilidade!$M:$M,Contabilidade!$J:$J,$A86,Contabilidade!$X:$X,"1. Com nota fiscal recolhida")</f>
        <v>609.91999999999996</v>
      </c>
      <c r="D86" s="35">
        <f>SUMIFS(Contabilidade!$M:$M,Contabilidade!$J:$J,$A86,Contabilidade!$X:$X,"4. Crédito de estorno (desconto)")</f>
        <v>0</v>
      </c>
      <c r="E86" s="35">
        <f t="shared" si="4"/>
        <v>609.91999999999996</v>
      </c>
      <c r="F86" s="35">
        <f>SUMIFS(Contabilidade!$M:$M,Contabilidade!$J:$J,$A86,Contabilidade!$X:$X,"2. Abastecimento cancelado (sem nota)")</f>
        <v>0</v>
      </c>
      <c r="G86" s="35">
        <f>SUMIFS(Contabilidade!$M:$M,Contabilidade!$J:$J,$A86,Contabilidade!$X:$X,"3. Sem nota fiscal")</f>
        <v>0</v>
      </c>
      <c r="H86" s="35">
        <f t="shared" si="5"/>
        <v>0</v>
      </c>
      <c r="I86" s="35">
        <f t="shared" si="6"/>
        <v>609.91999999999996</v>
      </c>
      <c r="J86" s="36">
        <f t="shared" si="7"/>
        <v>1.3762444884614633E-3</v>
      </c>
    </row>
    <row r="87" spans="1:10" x14ac:dyDescent="0.3">
      <c r="A87" s="18" t="s">
        <v>268</v>
      </c>
      <c r="B87" s="32">
        <f>IFERROR(INDEX(Contabilidade!$K:$K,MATCH($A87,Contabilidade!$J:$J,0)),"")</f>
        <v>4985282000184</v>
      </c>
      <c r="C87" s="20">
        <f>SUMIFS(Contabilidade!$M:$M,Contabilidade!$J:$J,$A87,Contabilidade!$X:$X,"1. Com nota fiscal recolhida")</f>
        <v>1789.15</v>
      </c>
      <c r="D87" s="20">
        <f>SUMIFS(Contabilidade!$M:$M,Contabilidade!$J:$J,$A87,Contabilidade!$X:$X,"4. Crédito de estorno (desconto)")</f>
        <v>0</v>
      </c>
      <c r="E87" s="20">
        <f t="shared" si="4"/>
        <v>1789.15</v>
      </c>
      <c r="F87" s="20">
        <f>SUMIFS(Contabilidade!$M:$M,Contabilidade!$J:$J,$A87,Contabilidade!$X:$X,"2. Abastecimento cancelado (sem nota)")</f>
        <v>0</v>
      </c>
      <c r="G87" s="20">
        <f>SUMIFS(Contabilidade!$M:$M,Contabilidade!$J:$J,$A87,Contabilidade!$X:$X,"3. Sem nota fiscal")</f>
        <v>0</v>
      </c>
      <c r="H87" s="20">
        <f t="shared" si="5"/>
        <v>0</v>
      </c>
      <c r="I87" s="20">
        <f t="shared" si="6"/>
        <v>1789.15</v>
      </c>
      <c r="J87" s="21">
        <f t="shared" si="7"/>
        <v>4.0370996631211098E-3</v>
      </c>
    </row>
    <row r="88" spans="1:10" x14ac:dyDescent="0.3">
      <c r="A88" s="33" t="s">
        <v>461</v>
      </c>
      <c r="B88" s="34">
        <f>IFERROR(INDEX(Contabilidade!$K:$K,MATCH($A88,Contabilidade!$J:$J,0)),"")</f>
        <v>1172040000183</v>
      </c>
      <c r="C88" s="35">
        <f>SUMIFS(Contabilidade!$M:$M,Contabilidade!$J:$J,$A88,Contabilidade!$X:$X,"1. Com nota fiscal recolhida")</f>
        <v>685.91000000000008</v>
      </c>
      <c r="D88" s="35">
        <f>SUMIFS(Contabilidade!$M:$M,Contabilidade!$J:$J,$A88,Contabilidade!$X:$X,"4. Crédito de estorno (desconto)")</f>
        <v>0</v>
      </c>
      <c r="E88" s="35">
        <f t="shared" si="4"/>
        <v>685.91000000000008</v>
      </c>
      <c r="F88" s="35">
        <f>SUMIFS(Contabilidade!$M:$M,Contabilidade!$J:$J,$A88,Contabilidade!$X:$X,"2. Abastecimento cancelado (sem nota)")</f>
        <v>0</v>
      </c>
      <c r="G88" s="35">
        <f>SUMIFS(Contabilidade!$M:$M,Contabilidade!$J:$J,$A88,Contabilidade!$X:$X,"3. Sem nota fiscal")</f>
        <v>0</v>
      </c>
      <c r="H88" s="35">
        <f t="shared" si="5"/>
        <v>0</v>
      </c>
      <c r="I88" s="35">
        <f t="shared" si="6"/>
        <v>685.91000000000008</v>
      </c>
      <c r="J88" s="36">
        <f t="shared" si="7"/>
        <v>1.5477109409112711E-3</v>
      </c>
    </row>
    <row r="89" spans="1:10" x14ac:dyDescent="0.3">
      <c r="A89" s="18" t="s">
        <v>1734</v>
      </c>
      <c r="B89" s="32">
        <f>IFERROR(INDEX(Contabilidade!$K:$K,MATCH($A89,Contabilidade!$J:$J,0)),"")</f>
        <v>6124016000516</v>
      </c>
      <c r="C89" s="20">
        <f>SUMIFS(Contabilidade!$M:$M,Contabilidade!$J:$J,$A89,Contabilidade!$X:$X,"1. Com nota fiscal recolhida")</f>
        <v>1875.93</v>
      </c>
      <c r="D89" s="20">
        <f>SUMIFS(Contabilidade!$M:$M,Contabilidade!$J:$J,$A89,Contabilidade!$X:$X,"4. Crédito de estorno (desconto)")</f>
        <v>0</v>
      </c>
      <c r="E89" s="20">
        <f t="shared" si="4"/>
        <v>1875.93</v>
      </c>
      <c r="F89" s="20">
        <f>SUMIFS(Contabilidade!$M:$M,Contabilidade!$J:$J,$A89,Contabilidade!$X:$X,"2. Abastecimento cancelado (sem nota)")</f>
        <v>0</v>
      </c>
      <c r="G89" s="20">
        <f>SUMIFS(Contabilidade!$M:$M,Contabilidade!$J:$J,$A89,Contabilidade!$X:$X,"3. Sem nota fiscal")</f>
        <v>0</v>
      </c>
      <c r="H89" s="20">
        <f t="shared" si="5"/>
        <v>0</v>
      </c>
      <c r="I89" s="20">
        <f t="shared" si="6"/>
        <v>1875.93</v>
      </c>
      <c r="J89" s="21">
        <f t="shared" si="7"/>
        <v>4.2329130430868193E-3</v>
      </c>
    </row>
    <row r="90" spans="1:10" x14ac:dyDescent="0.3">
      <c r="A90" s="33" t="s">
        <v>454</v>
      </c>
      <c r="B90" s="34">
        <f>IFERROR(INDEX(Contabilidade!$K:$K,MATCH($A90,Contabilidade!$J:$J,0)),"")</f>
        <v>30479450000170</v>
      </c>
      <c r="C90" s="35">
        <f>SUMIFS(Contabilidade!$M:$M,Contabilidade!$J:$J,$A90,Contabilidade!$X:$X,"1. Com nota fiscal recolhida")</f>
        <v>952.39</v>
      </c>
      <c r="D90" s="35">
        <f>SUMIFS(Contabilidade!$M:$M,Contabilidade!$J:$J,$A90,Contabilidade!$X:$X,"4. Crédito de estorno (desconto)")</f>
        <v>0</v>
      </c>
      <c r="E90" s="35">
        <f t="shared" si="4"/>
        <v>952.39</v>
      </c>
      <c r="F90" s="35">
        <f>SUMIFS(Contabilidade!$M:$M,Contabilidade!$J:$J,$A90,Contabilidade!$X:$X,"2. Abastecimento cancelado (sem nota)")</f>
        <v>0</v>
      </c>
      <c r="G90" s="35">
        <f>SUMIFS(Contabilidade!$M:$M,Contabilidade!$J:$J,$A90,Contabilidade!$X:$X,"3. Sem nota fiscal")</f>
        <v>0</v>
      </c>
      <c r="H90" s="35">
        <f t="shared" si="5"/>
        <v>0</v>
      </c>
      <c r="I90" s="35">
        <f t="shared" si="6"/>
        <v>952.39</v>
      </c>
      <c r="J90" s="36">
        <f t="shared" si="7"/>
        <v>2.1490055882178206E-3</v>
      </c>
    </row>
    <row r="91" spans="1:10" x14ac:dyDescent="0.3">
      <c r="A91" s="18" t="s">
        <v>393</v>
      </c>
      <c r="B91" s="32">
        <f>IFERROR(INDEX(Contabilidade!$K:$K,MATCH($A91,Contabilidade!$J:$J,0)),"")</f>
        <v>45585890000189</v>
      </c>
      <c r="C91" s="20">
        <f>SUMIFS(Contabilidade!$M:$M,Contabilidade!$J:$J,$A91,Contabilidade!$X:$X,"1. Com nota fiscal recolhida")</f>
        <v>500.87</v>
      </c>
      <c r="D91" s="20">
        <f>SUMIFS(Contabilidade!$M:$M,Contabilidade!$J:$J,$A91,Contabilidade!$X:$X,"4. Crédito de estorno (desconto)")</f>
        <v>0</v>
      </c>
      <c r="E91" s="20">
        <f t="shared" si="4"/>
        <v>500.87</v>
      </c>
      <c r="F91" s="20">
        <f>SUMIFS(Contabilidade!$M:$M,Contabilidade!$J:$J,$A91,Contabilidade!$X:$X,"2. Abastecimento cancelado (sem nota)")</f>
        <v>0</v>
      </c>
      <c r="G91" s="20">
        <f>SUMIFS(Contabilidade!$M:$M,Contabilidade!$J:$J,$A91,Contabilidade!$X:$X,"3. Sem nota fiscal")</f>
        <v>0</v>
      </c>
      <c r="H91" s="20">
        <f t="shared" si="5"/>
        <v>0</v>
      </c>
      <c r="I91" s="20">
        <f t="shared" si="6"/>
        <v>500.87</v>
      </c>
      <c r="J91" s="21">
        <f t="shared" si="7"/>
        <v>1.1301803137062126E-3</v>
      </c>
    </row>
    <row r="92" spans="1:10" x14ac:dyDescent="0.3">
      <c r="A92" s="33" t="s">
        <v>165</v>
      </c>
      <c r="B92" s="34">
        <f>IFERROR(INDEX(Contabilidade!$K:$K,MATCH($A92,Contabilidade!$J:$J,0)),"")</f>
        <v>25449917000107</v>
      </c>
      <c r="C92" s="35">
        <f>SUMIFS(Contabilidade!$M:$M,Contabilidade!$J:$J,$A92,Contabilidade!$X:$X,"1. Com nota fiscal recolhida")</f>
        <v>460.3</v>
      </c>
      <c r="D92" s="35">
        <f>SUMIFS(Contabilidade!$M:$M,Contabilidade!$J:$J,$A92,Contabilidade!$X:$X,"4. Crédito de estorno (desconto)")</f>
        <v>0</v>
      </c>
      <c r="E92" s="35">
        <f t="shared" si="4"/>
        <v>460.3</v>
      </c>
      <c r="F92" s="35">
        <f>SUMIFS(Contabilidade!$M:$M,Contabilidade!$J:$J,$A92,Contabilidade!$X:$X,"2. Abastecimento cancelado (sem nota)")</f>
        <v>0</v>
      </c>
      <c r="G92" s="35">
        <f>SUMIFS(Contabilidade!$M:$M,Contabilidade!$J:$J,$A92,Contabilidade!$X:$X,"3. Sem nota fiscal")</f>
        <v>0</v>
      </c>
      <c r="H92" s="35">
        <f t="shared" si="5"/>
        <v>0</v>
      </c>
      <c r="I92" s="35">
        <f t="shared" si="6"/>
        <v>460.3</v>
      </c>
      <c r="J92" s="36">
        <f t="shared" si="7"/>
        <v>1.0386367688201921E-3</v>
      </c>
    </row>
    <row r="93" spans="1:10" x14ac:dyDescent="0.3">
      <c r="A93" s="18" t="s">
        <v>143</v>
      </c>
      <c r="B93" s="32">
        <f>IFERROR(INDEX(Contabilidade!$K:$K,MATCH($A93,Contabilidade!$J:$J,0)),"")</f>
        <v>4505289000151</v>
      </c>
      <c r="C93" s="20">
        <f>SUMIFS(Contabilidade!$M:$M,Contabilidade!$J:$J,$A93,Contabilidade!$X:$X,"1. Com nota fiscal recolhida")</f>
        <v>867.98</v>
      </c>
      <c r="D93" s="20">
        <f>SUMIFS(Contabilidade!$M:$M,Contabilidade!$J:$J,$A93,Contabilidade!$X:$X,"4. Crédito de estorno (desconto)")</f>
        <v>0</v>
      </c>
      <c r="E93" s="20">
        <f t="shared" si="4"/>
        <v>867.98</v>
      </c>
      <c r="F93" s="20">
        <f>SUMIFS(Contabilidade!$M:$M,Contabilidade!$J:$J,$A93,Contabilidade!$X:$X,"2. Abastecimento cancelado (sem nota)")</f>
        <v>0</v>
      </c>
      <c r="G93" s="20">
        <f>SUMIFS(Contabilidade!$M:$M,Contabilidade!$J:$J,$A93,Contabilidade!$X:$X,"3. Sem nota fiscal")</f>
        <v>0</v>
      </c>
      <c r="H93" s="20">
        <f t="shared" si="5"/>
        <v>0</v>
      </c>
      <c r="I93" s="20">
        <f t="shared" si="6"/>
        <v>867.98</v>
      </c>
      <c r="J93" s="21">
        <f t="shared" si="7"/>
        <v>1.9585399578547695E-3</v>
      </c>
    </row>
    <row r="94" spans="1:10" x14ac:dyDescent="0.3">
      <c r="A94" s="33" t="s">
        <v>283</v>
      </c>
      <c r="B94" s="34">
        <f>IFERROR(INDEX(Contabilidade!$K:$K,MATCH($A94,Contabilidade!$J:$J,0)),"")</f>
        <v>9663620000185</v>
      </c>
      <c r="C94" s="35">
        <f>SUMIFS(Contabilidade!$M:$M,Contabilidade!$J:$J,$A94,Contabilidade!$X:$X,"1. Com nota fiscal recolhida")</f>
        <v>397.95</v>
      </c>
      <c r="D94" s="35">
        <f>SUMIFS(Contabilidade!$M:$M,Contabilidade!$J:$J,$A94,Contabilidade!$X:$X,"4. Crédito de estorno (desconto)")</f>
        <v>0</v>
      </c>
      <c r="E94" s="35">
        <f t="shared" si="4"/>
        <v>397.95</v>
      </c>
      <c r="F94" s="35">
        <f>SUMIFS(Contabilidade!$M:$M,Contabilidade!$J:$J,$A94,Contabilidade!$X:$X,"2. Abastecimento cancelado (sem nota)")</f>
        <v>0</v>
      </c>
      <c r="G94" s="35">
        <f>SUMIFS(Contabilidade!$M:$M,Contabilidade!$J:$J,$A94,Contabilidade!$X:$X,"3. Sem nota fiscal")</f>
        <v>0</v>
      </c>
      <c r="H94" s="35">
        <f t="shared" si="5"/>
        <v>0</v>
      </c>
      <c r="I94" s="35">
        <f t="shared" si="6"/>
        <v>397.95</v>
      </c>
      <c r="J94" s="36">
        <f t="shared" si="7"/>
        <v>8.9794808201606655E-4</v>
      </c>
    </row>
    <row r="95" spans="1:10" x14ac:dyDescent="0.3">
      <c r="A95" s="18" t="s">
        <v>333</v>
      </c>
      <c r="B95" s="32">
        <f>IFERROR(INDEX(Contabilidade!$K:$K,MATCH($A95,Contabilidade!$J:$J,0)),"")</f>
        <v>2764141000106</v>
      </c>
      <c r="C95" s="20">
        <f>SUMIFS(Contabilidade!$M:$M,Contabilidade!$J:$J,$A95,Contabilidade!$X:$X,"1. Com nota fiscal recolhida")</f>
        <v>667.02</v>
      </c>
      <c r="D95" s="20">
        <f>SUMIFS(Contabilidade!$M:$M,Contabilidade!$J:$J,$A95,Contabilidade!$X:$X,"4. Crédito de estorno (desconto)")</f>
        <v>0</v>
      </c>
      <c r="E95" s="20">
        <f t="shared" si="4"/>
        <v>667.02</v>
      </c>
      <c r="F95" s="20">
        <f>SUMIFS(Contabilidade!$M:$M,Contabilidade!$J:$J,$A95,Contabilidade!$X:$X,"2. Abastecimento cancelado (sem nota)")</f>
        <v>0</v>
      </c>
      <c r="G95" s="20">
        <f>SUMIFS(Contabilidade!$M:$M,Contabilidade!$J:$J,$A95,Contabilidade!$X:$X,"3. Sem nota fiscal")</f>
        <v>0</v>
      </c>
      <c r="H95" s="20">
        <f t="shared" si="5"/>
        <v>0</v>
      </c>
      <c r="I95" s="20">
        <f t="shared" si="6"/>
        <v>667.02</v>
      </c>
      <c r="J95" s="21">
        <f t="shared" si="7"/>
        <v>1.5050868945002053E-3</v>
      </c>
    </row>
    <row r="96" spans="1:10" x14ac:dyDescent="0.3">
      <c r="A96" s="33" t="s">
        <v>919</v>
      </c>
      <c r="B96" s="34">
        <f>IFERROR(INDEX(Contabilidade!$K:$K,MATCH($A96,Contabilidade!$J:$J,0)),"")</f>
        <v>20630766000167</v>
      </c>
      <c r="C96" s="35">
        <f>SUMIFS(Contabilidade!$M:$M,Contabilidade!$J:$J,$A96,Contabilidade!$X:$X,"1. Com nota fiscal recolhida")</f>
        <v>2003.8100000000002</v>
      </c>
      <c r="D96" s="35">
        <f>SUMIFS(Contabilidade!$M:$M,Contabilidade!$J:$J,$A96,Contabilidade!$X:$X,"4. Crédito de estorno (desconto)")</f>
        <v>0</v>
      </c>
      <c r="E96" s="35">
        <f t="shared" si="4"/>
        <v>2003.8100000000002</v>
      </c>
      <c r="F96" s="35">
        <f>SUMIFS(Contabilidade!$M:$M,Contabilidade!$J:$J,$A96,Contabilidade!$X:$X,"2. Abastecimento cancelado (sem nota)")</f>
        <v>0</v>
      </c>
      <c r="G96" s="35">
        <f>SUMIFS(Contabilidade!$M:$M,Contabilidade!$J:$J,$A96,Contabilidade!$X:$X,"3. Sem nota fiscal")</f>
        <v>0</v>
      </c>
      <c r="H96" s="35">
        <f t="shared" si="5"/>
        <v>0</v>
      </c>
      <c r="I96" s="35">
        <f t="shared" si="6"/>
        <v>2003.8100000000002</v>
      </c>
      <c r="J96" s="36">
        <f t="shared" si="7"/>
        <v>4.5214658781872466E-3</v>
      </c>
    </row>
    <row r="97" spans="1:10" x14ac:dyDescent="0.3">
      <c r="A97" s="18" t="s">
        <v>1959</v>
      </c>
      <c r="B97" s="32">
        <f>IFERROR(INDEX(Contabilidade!$K:$K,MATCH($A97,Contabilidade!$J:$J,0)),"")</f>
        <v>5313833000126</v>
      </c>
      <c r="C97" s="20">
        <f>SUMIFS(Contabilidade!$M:$M,Contabilidade!$J:$J,$A97,Contabilidade!$X:$X,"1. Com nota fiscal recolhida")</f>
        <v>0</v>
      </c>
      <c r="D97" s="20">
        <f>SUMIFS(Contabilidade!$M:$M,Contabilidade!$J:$J,$A97,Contabilidade!$X:$X,"4. Crédito de estorno (desconto)")</f>
        <v>0</v>
      </c>
      <c r="E97" s="20">
        <f t="shared" si="4"/>
        <v>0</v>
      </c>
      <c r="F97" s="20">
        <f>SUMIFS(Contabilidade!$M:$M,Contabilidade!$J:$J,$A97,Contabilidade!$X:$X,"2. Abastecimento cancelado (sem nota)")</f>
        <v>0</v>
      </c>
      <c r="G97" s="20">
        <f>SUMIFS(Contabilidade!$M:$M,Contabilidade!$J:$J,$A97,Contabilidade!$X:$X,"3. Sem nota fiscal")</f>
        <v>221.24</v>
      </c>
      <c r="H97" s="20">
        <f t="shared" si="5"/>
        <v>221.24</v>
      </c>
      <c r="I97" s="20">
        <f t="shared" si="6"/>
        <v>221.24</v>
      </c>
      <c r="J97" s="21">
        <f t="shared" si="7"/>
        <v>4.9921355362541676E-4</v>
      </c>
    </row>
    <row r="98" spans="1:10" x14ac:dyDescent="0.3">
      <c r="A98" s="33" t="s">
        <v>395</v>
      </c>
      <c r="B98" s="34">
        <f>IFERROR(INDEX(Contabilidade!$K:$K,MATCH($A98,Contabilidade!$J:$J,0)),"")</f>
        <v>5911517000156</v>
      </c>
      <c r="C98" s="35">
        <f>SUMIFS(Contabilidade!$M:$M,Contabilidade!$J:$J,$A98,Contabilidade!$X:$X,"1. Com nota fiscal recolhida")</f>
        <v>730.48</v>
      </c>
      <c r="D98" s="35">
        <f>SUMIFS(Contabilidade!$M:$M,Contabilidade!$J:$J,$A98,Contabilidade!$X:$X,"4. Crédito de estorno (desconto)")</f>
        <v>0</v>
      </c>
      <c r="E98" s="35">
        <f t="shared" si="4"/>
        <v>730.48</v>
      </c>
      <c r="F98" s="35">
        <f>SUMIFS(Contabilidade!$M:$M,Contabilidade!$J:$J,$A98,Contabilidade!$X:$X,"2. Abastecimento cancelado (sem nota)")</f>
        <v>0</v>
      </c>
      <c r="G98" s="35">
        <f>SUMIFS(Contabilidade!$M:$M,Contabilidade!$J:$J,$A98,Contabilidade!$X:$X,"3. Sem nota fiscal")</f>
        <v>0</v>
      </c>
      <c r="H98" s="35">
        <f t="shared" si="5"/>
        <v>0</v>
      </c>
      <c r="I98" s="35">
        <f t="shared" si="6"/>
        <v>730.48</v>
      </c>
      <c r="J98" s="36">
        <f t="shared" si="7"/>
        <v>1.6482802235232978E-3</v>
      </c>
    </row>
    <row r="99" spans="1:10" x14ac:dyDescent="0.3">
      <c r="A99" s="18" t="s">
        <v>51</v>
      </c>
      <c r="B99" s="32">
        <f>IFERROR(INDEX(Contabilidade!$K:$K,MATCH($A99,Contabilidade!$J:$J,0)),"")</f>
        <v>2763612000161</v>
      </c>
      <c r="C99" s="20">
        <f>SUMIFS(Contabilidade!$M:$M,Contabilidade!$J:$J,$A99,Contabilidade!$X:$X,"1. Com nota fiscal recolhida")</f>
        <v>12393.72</v>
      </c>
      <c r="D99" s="20">
        <f>SUMIFS(Contabilidade!$M:$M,Contabilidade!$J:$J,$A99,Contabilidade!$X:$X,"4. Crédito de estorno (desconto)")</f>
        <v>0</v>
      </c>
      <c r="E99" s="20">
        <f t="shared" si="4"/>
        <v>12393.72</v>
      </c>
      <c r="F99" s="20">
        <f>SUMIFS(Contabilidade!$M:$M,Contabilidade!$J:$J,$A99,Contabilidade!$X:$X,"2. Abastecimento cancelado (sem nota)")</f>
        <v>0</v>
      </c>
      <c r="G99" s="20">
        <f>SUMIFS(Contabilidade!$M:$M,Contabilidade!$J:$J,$A99,Contabilidade!$X:$X,"3. Sem nota fiscal")</f>
        <v>0</v>
      </c>
      <c r="H99" s="20">
        <f t="shared" si="5"/>
        <v>0</v>
      </c>
      <c r="I99" s="20">
        <f t="shared" si="6"/>
        <v>12393.72</v>
      </c>
      <c r="J99" s="21">
        <f t="shared" si="7"/>
        <v>2.7965616542390163E-2</v>
      </c>
    </row>
    <row r="100" spans="1:10" x14ac:dyDescent="0.3">
      <c r="A100" s="33" t="s">
        <v>961</v>
      </c>
      <c r="B100" s="34">
        <f>IFERROR(INDEX(Contabilidade!$K:$K,MATCH($A100,Contabilidade!$J:$J,0)),"")</f>
        <v>65580965000146</v>
      </c>
      <c r="C100" s="35">
        <f>SUMIFS(Contabilidade!$M:$M,Contabilidade!$J:$J,$A100,Contabilidade!$X:$X,"1. Com nota fiscal recolhida")</f>
        <v>439.13</v>
      </c>
      <c r="D100" s="35">
        <f>SUMIFS(Contabilidade!$M:$M,Contabilidade!$J:$J,$A100,Contabilidade!$X:$X,"4. Crédito de estorno (desconto)")</f>
        <v>0</v>
      </c>
      <c r="E100" s="35">
        <f t="shared" si="4"/>
        <v>439.13</v>
      </c>
      <c r="F100" s="35">
        <f>SUMIFS(Contabilidade!$M:$M,Contabilidade!$J:$J,$A100,Contabilidade!$X:$X,"2. Abastecimento cancelado (sem nota)")</f>
        <v>0</v>
      </c>
      <c r="G100" s="35">
        <f>SUMIFS(Contabilidade!$M:$M,Contabilidade!$J:$J,$A100,Contabilidade!$X:$X,"3. Sem nota fiscal")</f>
        <v>0</v>
      </c>
      <c r="H100" s="35">
        <f t="shared" si="5"/>
        <v>0</v>
      </c>
      <c r="I100" s="35">
        <f t="shared" si="6"/>
        <v>439.13</v>
      </c>
      <c r="J100" s="36">
        <f t="shared" si="7"/>
        <v>9.9086805190530297E-4</v>
      </c>
    </row>
    <row r="101" spans="1:10" x14ac:dyDescent="0.3">
      <c r="A101" s="18" t="s">
        <v>4034</v>
      </c>
      <c r="B101" s="32">
        <f>IFERROR(INDEX(Contabilidade!$K:$K,MATCH($A101,Contabilidade!$J:$J,0)),"")</f>
        <v>10626167000388</v>
      </c>
      <c r="C101" s="20">
        <f>SUMIFS(Contabilidade!$M:$M,Contabilidade!$J:$J,$A101,Contabilidade!$X:$X,"1. Com nota fiscal recolhida")</f>
        <v>121.81</v>
      </c>
      <c r="D101" s="20">
        <f>SUMIFS(Contabilidade!$M:$M,Contabilidade!$J:$J,$A101,Contabilidade!$X:$X,"4. Crédito de estorno (desconto)")</f>
        <v>0</v>
      </c>
      <c r="E101" s="20">
        <f t="shared" si="4"/>
        <v>121.81</v>
      </c>
      <c r="F101" s="20">
        <f>SUMIFS(Contabilidade!$M:$M,Contabilidade!$J:$J,$A101,Contabilidade!$X:$X,"2. Abastecimento cancelado (sem nota)")</f>
        <v>0</v>
      </c>
      <c r="G101" s="20">
        <f>SUMIFS(Contabilidade!$M:$M,Contabilidade!$J:$J,$A101,Contabilidade!$X:$X,"3. Sem nota fiscal")</f>
        <v>0</v>
      </c>
      <c r="H101" s="20">
        <f t="shared" si="5"/>
        <v>0</v>
      </c>
      <c r="I101" s="20">
        <f t="shared" si="6"/>
        <v>121.81</v>
      </c>
      <c r="J101" s="21">
        <f t="shared" si="7"/>
        <v>2.7485627810121141E-4</v>
      </c>
    </row>
    <row r="102" spans="1:10" x14ac:dyDescent="0.3">
      <c r="A102" s="33" t="s">
        <v>498</v>
      </c>
      <c r="B102" s="34">
        <f>IFERROR(INDEX(Contabilidade!$K:$K,MATCH($A102,Contabilidade!$J:$J,0)),"")</f>
        <v>17125457000206</v>
      </c>
      <c r="C102" s="35">
        <f>SUMIFS(Contabilidade!$M:$M,Contabilidade!$J:$J,$A102,Contabilidade!$X:$X,"1. Com nota fiscal recolhida")</f>
        <v>644.02</v>
      </c>
      <c r="D102" s="35">
        <f>SUMIFS(Contabilidade!$M:$M,Contabilidade!$J:$J,$A102,Contabilidade!$X:$X,"4. Crédito de estorno (desconto)")</f>
        <v>0</v>
      </c>
      <c r="E102" s="35">
        <f t="shared" si="4"/>
        <v>644.02</v>
      </c>
      <c r="F102" s="35">
        <f>SUMIFS(Contabilidade!$M:$M,Contabilidade!$J:$J,$A102,Contabilidade!$X:$X,"2. Abastecimento cancelado (sem nota)")</f>
        <v>0</v>
      </c>
      <c r="G102" s="35">
        <f>SUMIFS(Contabilidade!$M:$M,Contabilidade!$J:$J,$A102,Contabilidade!$X:$X,"3. Sem nota fiscal")</f>
        <v>0</v>
      </c>
      <c r="H102" s="35">
        <f t="shared" si="5"/>
        <v>0</v>
      </c>
      <c r="I102" s="35">
        <f t="shared" si="6"/>
        <v>644.02</v>
      </c>
      <c r="J102" s="36">
        <f t="shared" si="7"/>
        <v>1.4531889025756683E-3</v>
      </c>
    </row>
    <row r="103" spans="1:10" x14ac:dyDescent="0.3">
      <c r="A103" s="18" t="s">
        <v>452</v>
      </c>
      <c r="B103" s="32">
        <f>IFERROR(INDEX(Contabilidade!$K:$K,MATCH($A103,Contabilidade!$J:$J,0)),"")</f>
        <v>20169844000178</v>
      </c>
      <c r="C103" s="20">
        <f>SUMIFS(Contabilidade!$M:$M,Contabilidade!$J:$J,$A103,Contabilidade!$X:$X,"1. Com nota fiscal recolhida")</f>
        <v>1800.18</v>
      </c>
      <c r="D103" s="20">
        <f>SUMIFS(Contabilidade!$M:$M,Contabilidade!$J:$J,$A103,Contabilidade!$X:$X,"4. Crédito de estorno (desconto)")</f>
        <v>0</v>
      </c>
      <c r="E103" s="20">
        <f t="shared" si="4"/>
        <v>1800.18</v>
      </c>
      <c r="F103" s="20">
        <f>SUMIFS(Contabilidade!$M:$M,Contabilidade!$J:$J,$A103,Contabilidade!$X:$X,"2. Abastecimento cancelado (sem nota)")</f>
        <v>0</v>
      </c>
      <c r="G103" s="20">
        <f>SUMIFS(Contabilidade!$M:$M,Contabilidade!$J:$J,$A103,Contabilidade!$X:$X,"3. Sem nota fiscal")</f>
        <v>0</v>
      </c>
      <c r="H103" s="20">
        <f t="shared" si="5"/>
        <v>0</v>
      </c>
      <c r="I103" s="20">
        <f t="shared" si="6"/>
        <v>1800.18</v>
      </c>
      <c r="J103" s="21">
        <f t="shared" si="7"/>
        <v>4.0619881349005724E-3</v>
      </c>
    </row>
    <row r="104" spans="1:10" x14ac:dyDescent="0.3">
      <c r="A104" s="33" t="s">
        <v>95</v>
      </c>
      <c r="B104" s="34">
        <f>IFERROR(INDEX(Contabilidade!$K:$K,MATCH($A104,Contabilidade!$J:$J,0)),"")</f>
        <v>37489429000102</v>
      </c>
      <c r="C104" s="35">
        <f>SUMIFS(Contabilidade!$M:$M,Contabilidade!$J:$J,$A104,Contabilidade!$X:$X,"1. Com nota fiscal recolhida")</f>
        <v>2466.3200000000002</v>
      </c>
      <c r="D104" s="35">
        <f>SUMIFS(Contabilidade!$M:$M,Contabilidade!$J:$J,$A104,Contabilidade!$X:$X,"4. Crédito de estorno (desconto)")</f>
        <v>0</v>
      </c>
      <c r="E104" s="35">
        <f t="shared" si="4"/>
        <v>2466.3200000000002</v>
      </c>
      <c r="F104" s="35">
        <f>SUMIFS(Contabilidade!$M:$M,Contabilidade!$J:$J,$A104,Contabilidade!$X:$X,"2. Abastecimento cancelado (sem nota)")</f>
        <v>0</v>
      </c>
      <c r="G104" s="35">
        <f>SUMIFS(Contabilidade!$M:$M,Contabilidade!$J:$J,$A104,Contabilidade!$X:$X,"3. Sem nota fiscal")</f>
        <v>0</v>
      </c>
      <c r="H104" s="35">
        <f t="shared" si="5"/>
        <v>0</v>
      </c>
      <c r="I104" s="35">
        <f t="shared" si="6"/>
        <v>2466.3200000000002</v>
      </c>
      <c r="J104" s="36">
        <f t="shared" si="7"/>
        <v>5.5650893671010566E-3</v>
      </c>
    </row>
    <row r="105" spans="1:10" x14ac:dyDescent="0.3">
      <c r="A105" s="18" t="s">
        <v>344</v>
      </c>
      <c r="B105" s="32">
        <f>IFERROR(INDEX(Contabilidade!$K:$K,MATCH($A105,Contabilidade!$J:$J,0)),"")</f>
        <v>34453861000147</v>
      </c>
      <c r="C105" s="20">
        <f>SUMIFS(Contabilidade!$M:$M,Contabilidade!$J:$J,$A105,Contabilidade!$X:$X,"1. Com nota fiscal recolhida")</f>
        <v>183.6</v>
      </c>
      <c r="D105" s="20">
        <f>SUMIFS(Contabilidade!$M:$M,Contabilidade!$J:$J,$A105,Contabilidade!$X:$X,"4. Crédito de estorno (desconto)")</f>
        <v>0</v>
      </c>
      <c r="E105" s="20">
        <f t="shared" si="4"/>
        <v>183.6</v>
      </c>
      <c r="F105" s="20">
        <f>SUMIFS(Contabilidade!$M:$M,Contabilidade!$J:$J,$A105,Contabilidade!$X:$X,"2. Abastecimento cancelado (sem nota)")</f>
        <v>0</v>
      </c>
      <c r="G105" s="20">
        <f>SUMIFS(Contabilidade!$M:$M,Contabilidade!$J:$J,$A105,Contabilidade!$X:$X,"3. Sem nota fiscal")</f>
        <v>0</v>
      </c>
      <c r="H105" s="20">
        <f t="shared" si="5"/>
        <v>0</v>
      </c>
      <c r="I105" s="20">
        <f t="shared" si="6"/>
        <v>183.6</v>
      </c>
      <c r="J105" s="21">
        <f t="shared" si="7"/>
        <v>4.1428136162369601E-4</v>
      </c>
    </row>
    <row r="106" spans="1:10" x14ac:dyDescent="0.3">
      <c r="A106" s="33" t="s">
        <v>257</v>
      </c>
      <c r="B106" s="34">
        <f>IFERROR(INDEX(Contabilidade!$K:$K,MATCH($A106,Contabilidade!$J:$J,0)),"")</f>
        <v>16823762000128</v>
      </c>
      <c r="C106" s="35">
        <f>SUMIFS(Contabilidade!$M:$M,Contabilidade!$J:$J,$A106,Contabilidade!$X:$X,"1. Com nota fiscal recolhida")</f>
        <v>307.20999999999998</v>
      </c>
      <c r="D106" s="35">
        <f>SUMIFS(Contabilidade!$M:$M,Contabilidade!$J:$J,$A106,Contabilidade!$X:$X,"4. Crédito de estorno (desconto)")</f>
        <v>0</v>
      </c>
      <c r="E106" s="35">
        <f t="shared" si="4"/>
        <v>307.20999999999998</v>
      </c>
      <c r="F106" s="35">
        <f>SUMIFS(Contabilidade!$M:$M,Contabilidade!$J:$J,$A106,Contabilidade!$X:$X,"2. Abastecimento cancelado (sem nota)")</f>
        <v>0</v>
      </c>
      <c r="G106" s="35">
        <f>SUMIFS(Contabilidade!$M:$M,Contabilidade!$J:$J,$A106,Contabilidade!$X:$X,"3. Sem nota fiscal")</f>
        <v>0</v>
      </c>
      <c r="H106" s="35">
        <f t="shared" si="5"/>
        <v>0</v>
      </c>
      <c r="I106" s="35">
        <f t="shared" si="6"/>
        <v>307.20999999999998</v>
      </c>
      <c r="J106" s="36">
        <f t="shared" si="7"/>
        <v>6.9319922170161022E-4</v>
      </c>
    </row>
    <row r="107" spans="1:10" x14ac:dyDescent="0.3">
      <c r="A107" s="18" t="s">
        <v>487</v>
      </c>
      <c r="B107" s="32">
        <f>IFERROR(INDEX(Contabilidade!$K:$K,MATCH($A107,Contabilidade!$J:$J,0)),"")</f>
        <v>148072000180</v>
      </c>
      <c r="C107" s="20">
        <f>SUMIFS(Contabilidade!$M:$M,Contabilidade!$J:$J,$A107,Contabilidade!$X:$X,"1. Com nota fiscal recolhida")</f>
        <v>972.42</v>
      </c>
      <c r="D107" s="20">
        <f>SUMIFS(Contabilidade!$M:$M,Contabilidade!$J:$J,$A107,Contabilidade!$X:$X,"4. Crédito de estorno (desconto)")</f>
        <v>0</v>
      </c>
      <c r="E107" s="20">
        <f t="shared" si="4"/>
        <v>972.42</v>
      </c>
      <c r="F107" s="20">
        <f>SUMIFS(Contabilidade!$M:$M,Contabilidade!$J:$J,$A107,Contabilidade!$X:$X,"2. Abastecimento cancelado (sem nota)")</f>
        <v>0</v>
      </c>
      <c r="G107" s="20">
        <f>SUMIFS(Contabilidade!$M:$M,Contabilidade!$J:$J,$A107,Contabilidade!$X:$X,"3. Sem nota fiscal")</f>
        <v>0</v>
      </c>
      <c r="H107" s="20">
        <f t="shared" si="5"/>
        <v>0</v>
      </c>
      <c r="I107" s="20">
        <f t="shared" si="6"/>
        <v>972.42</v>
      </c>
      <c r="J107" s="21">
        <f t="shared" si="7"/>
        <v>2.1942019698807979E-3</v>
      </c>
    </row>
    <row r="108" spans="1:10" x14ac:dyDescent="0.3">
      <c r="A108" s="33" t="s">
        <v>513</v>
      </c>
      <c r="B108" s="34">
        <f>IFERROR(INDEX(Contabilidade!$K:$K,MATCH($A108,Contabilidade!$J:$J,0)),"")</f>
        <v>1550726000160</v>
      </c>
      <c r="C108" s="35">
        <f>SUMIFS(Contabilidade!$M:$M,Contabilidade!$J:$J,$A108,Contabilidade!$X:$X,"1. Com nota fiscal recolhida")</f>
        <v>1208.1599999999999</v>
      </c>
      <c r="D108" s="35">
        <f>SUMIFS(Contabilidade!$M:$M,Contabilidade!$J:$J,$A108,Contabilidade!$X:$X,"4. Crédito de estorno (desconto)")</f>
        <v>0</v>
      </c>
      <c r="E108" s="35">
        <f t="shared" si="4"/>
        <v>1208.1599999999999</v>
      </c>
      <c r="F108" s="35">
        <f>SUMIFS(Contabilidade!$M:$M,Contabilidade!$J:$J,$A108,Contabilidade!$X:$X,"2. Abastecimento cancelado (sem nota)")</f>
        <v>0</v>
      </c>
      <c r="G108" s="35">
        <f>SUMIFS(Contabilidade!$M:$M,Contabilidade!$J:$J,$A108,Contabilidade!$X:$X,"3. Sem nota fiscal")</f>
        <v>0</v>
      </c>
      <c r="H108" s="35">
        <f t="shared" si="5"/>
        <v>0</v>
      </c>
      <c r="I108" s="35">
        <f t="shared" si="6"/>
        <v>1208.1599999999999</v>
      </c>
      <c r="J108" s="36">
        <f t="shared" si="7"/>
        <v>2.7261338227629875E-3</v>
      </c>
    </row>
    <row r="109" spans="1:10" x14ac:dyDescent="0.3">
      <c r="A109" s="18" t="s">
        <v>632</v>
      </c>
      <c r="B109" s="32">
        <f>IFERROR(INDEX(Contabilidade!$K:$K,MATCH($A109,Contabilidade!$J:$J,0)),"")</f>
        <v>4903852000140</v>
      </c>
      <c r="C109" s="20">
        <f>SUMIFS(Contabilidade!$M:$M,Contabilidade!$J:$J,$A109,Contabilidade!$X:$X,"1. Com nota fiscal recolhida")</f>
        <v>285.73</v>
      </c>
      <c r="D109" s="20">
        <f>SUMIFS(Contabilidade!$M:$M,Contabilidade!$J:$J,$A109,Contabilidade!$X:$X,"4. Crédito de estorno (desconto)")</f>
        <v>-285.67</v>
      </c>
      <c r="E109" s="20">
        <f t="shared" si="4"/>
        <v>6.0000000000002274E-2</v>
      </c>
      <c r="F109" s="20">
        <f>SUMIFS(Contabilidade!$M:$M,Contabilidade!$J:$J,$A109,Contabilidade!$X:$X,"2. Abastecimento cancelado (sem nota)")</f>
        <v>0</v>
      </c>
      <c r="G109" s="20">
        <f>SUMIFS(Contabilidade!$M:$M,Contabilidade!$J:$J,$A109,Contabilidade!$X:$X,"3. Sem nota fiscal")</f>
        <v>0</v>
      </c>
      <c r="H109" s="20">
        <f t="shared" si="5"/>
        <v>0</v>
      </c>
      <c r="I109" s="20">
        <f t="shared" si="6"/>
        <v>6.0000000000002274E-2</v>
      </c>
      <c r="J109" s="21">
        <f t="shared" si="7"/>
        <v>1.3538606589010186E-7</v>
      </c>
    </row>
    <row r="110" spans="1:10" x14ac:dyDescent="0.3">
      <c r="A110" s="33" t="s">
        <v>254</v>
      </c>
      <c r="B110" s="34">
        <f>IFERROR(INDEX(Contabilidade!$K:$K,MATCH($A110,Contabilidade!$J:$J,0)),"")</f>
        <v>13759928000104</v>
      </c>
      <c r="C110" s="35">
        <f>SUMIFS(Contabilidade!$M:$M,Contabilidade!$J:$J,$A110,Contabilidade!$X:$X,"1. Com nota fiscal recolhida")</f>
        <v>927.77</v>
      </c>
      <c r="D110" s="35">
        <f>SUMIFS(Contabilidade!$M:$M,Contabilidade!$J:$J,$A110,Contabilidade!$X:$X,"4. Crédito de estorno (desconto)")</f>
        <v>-457.47</v>
      </c>
      <c r="E110" s="35">
        <f t="shared" si="4"/>
        <v>470.29999999999995</v>
      </c>
      <c r="F110" s="35">
        <f>SUMIFS(Contabilidade!$M:$M,Contabilidade!$J:$J,$A110,Contabilidade!$X:$X,"2. Abastecimento cancelado (sem nota)")</f>
        <v>0</v>
      </c>
      <c r="G110" s="35">
        <f>SUMIFS(Contabilidade!$M:$M,Contabilidade!$J:$J,$A110,Contabilidade!$X:$X,"3. Sem nota fiscal")</f>
        <v>201.51</v>
      </c>
      <c r="H110" s="35">
        <f t="shared" si="5"/>
        <v>201.51</v>
      </c>
      <c r="I110" s="35">
        <f t="shared" si="6"/>
        <v>671.81</v>
      </c>
      <c r="J110" s="36">
        <f t="shared" si="7"/>
        <v>1.515895215427098E-3</v>
      </c>
    </row>
    <row r="111" spans="1:10" x14ac:dyDescent="0.3">
      <c r="A111" s="18" t="s">
        <v>90</v>
      </c>
      <c r="B111" s="32">
        <f>IFERROR(INDEX(Contabilidade!$K:$K,MATCH($A111,Contabilidade!$J:$J,0)),"")</f>
        <v>50780684000160</v>
      </c>
      <c r="C111" s="20">
        <f>SUMIFS(Contabilidade!$M:$M,Contabilidade!$J:$J,$A111,Contabilidade!$X:$X,"1. Com nota fiscal recolhida")</f>
        <v>456.96000000000004</v>
      </c>
      <c r="D111" s="20">
        <f>SUMIFS(Contabilidade!$M:$M,Contabilidade!$J:$J,$A111,Contabilidade!$X:$X,"4. Crédito de estorno (desconto)")</f>
        <v>0</v>
      </c>
      <c r="E111" s="20">
        <f t="shared" si="4"/>
        <v>456.96000000000004</v>
      </c>
      <c r="F111" s="20">
        <f>SUMIFS(Contabilidade!$M:$M,Contabilidade!$J:$J,$A111,Contabilidade!$X:$X,"2. Abastecimento cancelado (sem nota)")</f>
        <v>0</v>
      </c>
      <c r="G111" s="20">
        <f>SUMIFS(Contabilidade!$M:$M,Contabilidade!$J:$J,$A111,Contabilidade!$X:$X,"3. Sem nota fiscal")</f>
        <v>0</v>
      </c>
      <c r="H111" s="20">
        <f t="shared" si="5"/>
        <v>0</v>
      </c>
      <c r="I111" s="20">
        <f t="shared" si="6"/>
        <v>456.96000000000004</v>
      </c>
      <c r="J111" s="21">
        <f t="shared" si="7"/>
        <v>1.0311002778189769E-3</v>
      </c>
    </row>
    <row r="112" spans="1:10" x14ac:dyDescent="0.3">
      <c r="A112" s="33" t="s">
        <v>272</v>
      </c>
      <c r="B112" s="34">
        <f>IFERROR(INDEX(Contabilidade!$K:$K,MATCH($A112,Contabilidade!$J:$J,0)),"")</f>
        <v>15636643000101</v>
      </c>
      <c r="C112" s="35">
        <f>SUMIFS(Contabilidade!$M:$M,Contabilidade!$J:$J,$A112,Contabilidade!$X:$X,"1. Com nota fiscal recolhida")</f>
        <v>2485.8000000000002</v>
      </c>
      <c r="D112" s="35">
        <f>SUMIFS(Contabilidade!$M:$M,Contabilidade!$J:$J,$A112,Contabilidade!$X:$X,"4. Crédito de estorno (desconto)")</f>
        <v>0</v>
      </c>
      <c r="E112" s="35">
        <f t="shared" si="4"/>
        <v>2485.8000000000002</v>
      </c>
      <c r="F112" s="35">
        <f>SUMIFS(Contabilidade!$M:$M,Contabilidade!$J:$J,$A112,Contabilidade!$X:$X,"2. Abastecimento cancelado (sem nota)")</f>
        <v>0</v>
      </c>
      <c r="G112" s="35">
        <f>SUMIFS(Contabilidade!$M:$M,Contabilidade!$J:$J,$A112,Contabilidade!$X:$X,"3. Sem nota fiscal")</f>
        <v>0</v>
      </c>
      <c r="H112" s="35">
        <f t="shared" si="5"/>
        <v>0</v>
      </c>
      <c r="I112" s="35">
        <f t="shared" si="6"/>
        <v>2485.8000000000002</v>
      </c>
      <c r="J112" s="36">
        <f t="shared" si="7"/>
        <v>5.6090447098267084E-3</v>
      </c>
    </row>
    <row r="113" spans="1:10" x14ac:dyDescent="0.3">
      <c r="A113" s="18" t="s">
        <v>2889</v>
      </c>
      <c r="B113" s="32">
        <f>IFERROR(INDEX(Contabilidade!$K:$K,MATCH($A113,Contabilidade!$J:$J,0)),"")</f>
        <v>80786031000159</v>
      </c>
      <c r="C113" s="20">
        <f>SUMIFS(Contabilidade!$M:$M,Contabilidade!$J:$J,$A113,Contabilidade!$X:$X,"1. Com nota fiscal recolhida")</f>
        <v>281.25</v>
      </c>
      <c r="D113" s="20">
        <f>SUMIFS(Contabilidade!$M:$M,Contabilidade!$J:$J,$A113,Contabilidade!$X:$X,"4. Crédito de estorno (desconto)")</f>
        <v>0</v>
      </c>
      <c r="E113" s="20">
        <f t="shared" si="4"/>
        <v>281.25</v>
      </c>
      <c r="F113" s="20">
        <f>SUMIFS(Contabilidade!$M:$M,Contabilidade!$J:$J,$A113,Contabilidade!$X:$X,"2. Abastecimento cancelado (sem nota)")</f>
        <v>0</v>
      </c>
      <c r="G113" s="20">
        <f>SUMIFS(Contabilidade!$M:$M,Contabilidade!$J:$J,$A113,Contabilidade!$X:$X,"3. Sem nota fiscal")</f>
        <v>0</v>
      </c>
      <c r="H113" s="20">
        <f t="shared" si="5"/>
        <v>0</v>
      </c>
      <c r="I113" s="20">
        <f t="shared" si="6"/>
        <v>281.25</v>
      </c>
      <c r="J113" s="21">
        <f t="shared" si="7"/>
        <v>6.3462218385982845E-4</v>
      </c>
    </row>
    <row r="114" spans="1:10" x14ac:dyDescent="0.3">
      <c r="A114" s="33" t="s">
        <v>248</v>
      </c>
      <c r="B114" s="34">
        <f>IFERROR(INDEX(Contabilidade!$K:$K,MATCH($A114,Contabilidade!$J:$J,0)),"")</f>
        <v>3623054000282</v>
      </c>
      <c r="C114" s="35">
        <f>SUMIFS(Contabilidade!$M:$M,Contabilidade!$J:$J,$A114,Contabilidade!$X:$X,"1. Com nota fiscal recolhida")</f>
        <v>1438</v>
      </c>
      <c r="D114" s="35">
        <f>SUMIFS(Contabilidade!$M:$M,Contabilidade!$J:$J,$A114,Contabilidade!$X:$X,"4. Crédito de estorno (desconto)")</f>
        <v>0</v>
      </c>
      <c r="E114" s="35">
        <f t="shared" si="4"/>
        <v>1438</v>
      </c>
      <c r="F114" s="35">
        <f>SUMIFS(Contabilidade!$M:$M,Contabilidade!$J:$J,$A114,Contabilidade!$X:$X,"2. Abastecimento cancelado (sem nota)")</f>
        <v>0</v>
      </c>
      <c r="G114" s="35">
        <f>SUMIFS(Contabilidade!$M:$M,Contabilidade!$J:$J,$A114,Contabilidade!$X:$X,"3. Sem nota fiscal")</f>
        <v>0</v>
      </c>
      <c r="H114" s="35">
        <f t="shared" si="5"/>
        <v>0</v>
      </c>
      <c r="I114" s="35">
        <f t="shared" si="6"/>
        <v>1438</v>
      </c>
      <c r="J114" s="36">
        <f t="shared" si="7"/>
        <v>3.2447527124993187E-3</v>
      </c>
    </row>
    <row r="115" spans="1:10" x14ac:dyDescent="0.3">
      <c r="A115" s="18" t="s">
        <v>113</v>
      </c>
      <c r="B115" s="32">
        <f>IFERROR(INDEX(Contabilidade!$K:$K,MATCH($A115,Contabilidade!$J:$J,0)),"")</f>
        <v>20499184000193</v>
      </c>
      <c r="C115" s="20">
        <f>SUMIFS(Contabilidade!$M:$M,Contabilidade!$J:$J,$A115,Contabilidade!$X:$X,"1. Com nota fiscal recolhida")</f>
        <v>0</v>
      </c>
      <c r="D115" s="20">
        <f>SUMIFS(Contabilidade!$M:$M,Contabilidade!$J:$J,$A115,Contabilidade!$X:$X,"4. Crédito de estorno (desconto)")</f>
        <v>0</v>
      </c>
      <c r="E115" s="20">
        <f t="shared" si="4"/>
        <v>0</v>
      </c>
      <c r="F115" s="20">
        <f>SUMIFS(Contabilidade!$M:$M,Contabilidade!$J:$J,$A115,Contabilidade!$X:$X,"2. Abastecimento cancelado (sem nota)")</f>
        <v>0</v>
      </c>
      <c r="G115" s="20">
        <f>SUMIFS(Contabilidade!$M:$M,Contabilidade!$J:$J,$A115,Contabilidade!$X:$X,"3. Sem nota fiscal")</f>
        <v>701.48</v>
      </c>
      <c r="H115" s="20">
        <f t="shared" si="5"/>
        <v>701.48</v>
      </c>
      <c r="I115" s="20">
        <f t="shared" si="6"/>
        <v>701.48</v>
      </c>
      <c r="J115" s="21">
        <f t="shared" si="7"/>
        <v>1.582843625009751E-3</v>
      </c>
    </row>
    <row r="116" spans="1:10" x14ac:dyDescent="0.3">
      <c r="A116" s="33" t="s">
        <v>123</v>
      </c>
      <c r="B116" s="34">
        <f>IFERROR(INDEX(Contabilidade!$K:$K,MATCH($A116,Contabilidade!$J:$J,0)),"")</f>
        <v>30476433000189</v>
      </c>
      <c r="C116" s="35">
        <f>SUMIFS(Contabilidade!$M:$M,Contabilidade!$J:$J,$A116,Contabilidade!$X:$X,"1. Com nota fiscal recolhida")</f>
        <v>146.99</v>
      </c>
      <c r="D116" s="35">
        <f>SUMIFS(Contabilidade!$M:$M,Contabilidade!$J:$J,$A116,Contabilidade!$X:$X,"4. Crédito de estorno (desconto)")</f>
        <v>0</v>
      </c>
      <c r="E116" s="35">
        <f t="shared" si="4"/>
        <v>146.99</v>
      </c>
      <c r="F116" s="35">
        <f>SUMIFS(Contabilidade!$M:$M,Contabilidade!$J:$J,$A116,Contabilidade!$X:$X,"2. Abastecimento cancelado (sem nota)")</f>
        <v>0</v>
      </c>
      <c r="G116" s="35">
        <f>SUMIFS(Contabilidade!$M:$M,Contabilidade!$J:$J,$A116,Contabilidade!$X:$X,"3. Sem nota fiscal")</f>
        <v>0</v>
      </c>
      <c r="H116" s="35">
        <f t="shared" si="5"/>
        <v>0</v>
      </c>
      <c r="I116" s="35">
        <f t="shared" si="6"/>
        <v>146.99</v>
      </c>
      <c r="J116" s="36">
        <f t="shared" si="7"/>
        <v>3.3167329708642203E-4</v>
      </c>
    </row>
    <row r="117" spans="1:10" x14ac:dyDescent="0.3">
      <c r="A117" s="18" t="s">
        <v>236</v>
      </c>
      <c r="B117" s="32">
        <f>IFERROR(INDEX(Contabilidade!$K:$K,MATCH($A117,Contabilidade!$J:$J,0)),"")</f>
        <v>17084739000121</v>
      </c>
      <c r="C117" s="20">
        <f>SUMIFS(Contabilidade!$M:$M,Contabilidade!$J:$J,$A117,Contabilidade!$X:$X,"1. Com nota fiscal recolhida")</f>
        <v>498.15000000000003</v>
      </c>
      <c r="D117" s="20">
        <f>SUMIFS(Contabilidade!$M:$M,Contabilidade!$J:$J,$A117,Contabilidade!$X:$X,"4. Crédito de estorno (desconto)")</f>
        <v>0</v>
      </c>
      <c r="E117" s="20">
        <f t="shared" si="4"/>
        <v>498.15000000000003</v>
      </c>
      <c r="F117" s="20">
        <f>SUMIFS(Contabilidade!$M:$M,Contabilidade!$J:$J,$A117,Contabilidade!$X:$X,"2. Abastecimento cancelado (sem nota)")</f>
        <v>0</v>
      </c>
      <c r="G117" s="20">
        <f>SUMIFS(Contabilidade!$M:$M,Contabilidade!$J:$J,$A117,Contabilidade!$X:$X,"3. Sem nota fiscal")</f>
        <v>0</v>
      </c>
      <c r="H117" s="20">
        <f t="shared" si="5"/>
        <v>0</v>
      </c>
      <c r="I117" s="20">
        <f t="shared" si="6"/>
        <v>498.15000000000003</v>
      </c>
      <c r="J117" s="21">
        <f t="shared" si="7"/>
        <v>1.1240428120525283E-3</v>
      </c>
    </row>
    <row r="118" spans="1:10" x14ac:dyDescent="0.3">
      <c r="A118" s="33" t="s">
        <v>328</v>
      </c>
      <c r="B118" s="34">
        <f>IFERROR(INDEX(Contabilidade!$K:$K,MATCH($A118,Contabilidade!$J:$J,0)),"")</f>
        <v>33210337000182</v>
      </c>
      <c r="C118" s="35">
        <f>SUMIFS(Contabilidade!$M:$M,Contabilidade!$J:$J,$A118,Contabilidade!$X:$X,"1. Com nota fiscal recolhida")</f>
        <v>407.12</v>
      </c>
      <c r="D118" s="35">
        <f>SUMIFS(Contabilidade!$M:$M,Contabilidade!$J:$J,$A118,Contabilidade!$X:$X,"4. Crédito de estorno (desconto)")</f>
        <v>0</v>
      </c>
      <c r="E118" s="35">
        <f t="shared" si="4"/>
        <v>407.12</v>
      </c>
      <c r="F118" s="35">
        <f>SUMIFS(Contabilidade!$M:$M,Contabilidade!$J:$J,$A118,Contabilidade!$X:$X,"2. Abastecimento cancelado (sem nota)")</f>
        <v>0</v>
      </c>
      <c r="G118" s="35">
        <f>SUMIFS(Contabilidade!$M:$M,Contabilidade!$J:$J,$A118,Contabilidade!$X:$X,"3. Sem nota fiscal")</f>
        <v>0</v>
      </c>
      <c r="H118" s="35">
        <f t="shared" si="5"/>
        <v>0</v>
      </c>
      <c r="I118" s="35">
        <f t="shared" si="6"/>
        <v>407.12</v>
      </c>
      <c r="J118" s="36">
        <f t="shared" si="7"/>
        <v>9.1863958575293646E-4</v>
      </c>
    </row>
    <row r="119" spans="1:10" x14ac:dyDescent="0.3">
      <c r="A119" s="18" t="s">
        <v>111</v>
      </c>
      <c r="B119" s="32">
        <f>IFERROR(INDEX(Contabilidade!$K:$K,MATCH($A119,Contabilidade!$J:$J,0)),"")</f>
        <v>32951238000199</v>
      </c>
      <c r="C119" s="20">
        <f>SUMIFS(Contabilidade!$M:$M,Contabilidade!$J:$J,$A119,Contabilidade!$X:$X,"1. Com nota fiscal recolhida")</f>
        <v>181.25</v>
      </c>
      <c r="D119" s="20">
        <f>SUMIFS(Contabilidade!$M:$M,Contabilidade!$J:$J,$A119,Contabilidade!$X:$X,"4. Crédito de estorno (desconto)")</f>
        <v>0</v>
      </c>
      <c r="E119" s="20">
        <f t="shared" si="4"/>
        <v>181.25</v>
      </c>
      <c r="F119" s="20">
        <f>SUMIFS(Contabilidade!$M:$M,Contabilidade!$J:$J,$A119,Contabilidade!$X:$X,"2. Abastecimento cancelado (sem nota)")</f>
        <v>0</v>
      </c>
      <c r="G119" s="20">
        <f>SUMIFS(Contabilidade!$M:$M,Contabilidade!$J:$J,$A119,Contabilidade!$X:$X,"3. Sem nota fiscal")</f>
        <v>0</v>
      </c>
      <c r="H119" s="20">
        <f t="shared" si="5"/>
        <v>0</v>
      </c>
      <c r="I119" s="20">
        <f t="shared" si="6"/>
        <v>181.25</v>
      </c>
      <c r="J119" s="21">
        <f t="shared" si="7"/>
        <v>4.0897874070966721E-4</v>
      </c>
    </row>
    <row r="120" spans="1:10" x14ac:dyDescent="0.3">
      <c r="A120" s="33" t="s">
        <v>54</v>
      </c>
      <c r="B120" s="34">
        <f>IFERROR(INDEX(Contabilidade!$K:$K,MATCH($A120,Contabilidade!$J:$J,0)),"")</f>
        <v>79130647000198</v>
      </c>
      <c r="C120" s="35">
        <f>SUMIFS(Contabilidade!$M:$M,Contabilidade!$J:$J,$A120,Contabilidade!$X:$X,"1. Com nota fiscal recolhida")</f>
        <v>5795.5</v>
      </c>
      <c r="D120" s="35">
        <f>SUMIFS(Contabilidade!$M:$M,Contabilidade!$J:$J,$A120,Contabilidade!$X:$X,"4. Crédito de estorno (desconto)")</f>
        <v>0</v>
      </c>
      <c r="E120" s="35">
        <f t="shared" si="4"/>
        <v>5795.5</v>
      </c>
      <c r="F120" s="35">
        <f>SUMIFS(Contabilidade!$M:$M,Contabilidade!$J:$J,$A120,Contabilidade!$X:$X,"2. Abastecimento cancelado (sem nota)")</f>
        <v>0</v>
      </c>
      <c r="G120" s="35">
        <f>SUMIFS(Contabilidade!$M:$M,Contabilidade!$J:$J,$A120,Contabilidade!$X:$X,"3. Sem nota fiscal")</f>
        <v>0</v>
      </c>
      <c r="H120" s="35">
        <f t="shared" si="5"/>
        <v>0</v>
      </c>
      <c r="I120" s="35">
        <f t="shared" si="6"/>
        <v>5795.5</v>
      </c>
      <c r="J120" s="36">
        <f t="shared" si="7"/>
        <v>1.3077165747767594E-2</v>
      </c>
    </row>
    <row r="121" spans="1:10" x14ac:dyDescent="0.3">
      <c r="A121" s="18" t="s">
        <v>550</v>
      </c>
      <c r="B121" s="32">
        <f>IFERROR(INDEX(Contabilidade!$K:$K,MATCH($A121,Contabilidade!$J:$J,0)),"")</f>
        <v>45986480000492</v>
      </c>
      <c r="C121" s="20">
        <f>SUMIFS(Contabilidade!$M:$M,Contabilidade!$J:$J,$A121,Contabilidade!$X:$X,"1. Com nota fiscal recolhida")</f>
        <v>225.06</v>
      </c>
      <c r="D121" s="20">
        <f>SUMIFS(Contabilidade!$M:$M,Contabilidade!$J:$J,$A121,Contabilidade!$X:$X,"4. Crédito de estorno (desconto)")</f>
        <v>0</v>
      </c>
      <c r="E121" s="20">
        <f t="shared" si="4"/>
        <v>225.06</v>
      </c>
      <c r="F121" s="20">
        <f>SUMIFS(Contabilidade!$M:$M,Contabilidade!$J:$J,$A121,Contabilidade!$X:$X,"2. Abastecimento cancelado (sem nota)")</f>
        <v>0</v>
      </c>
      <c r="G121" s="20">
        <f>SUMIFS(Contabilidade!$M:$M,Contabilidade!$J:$J,$A121,Contabilidade!$X:$X,"3. Sem nota fiscal")</f>
        <v>0</v>
      </c>
      <c r="H121" s="20">
        <f t="shared" si="5"/>
        <v>0</v>
      </c>
      <c r="I121" s="20">
        <f t="shared" si="6"/>
        <v>225.06</v>
      </c>
      <c r="J121" s="21">
        <f t="shared" si="7"/>
        <v>5.0783313315375285E-4</v>
      </c>
    </row>
    <row r="122" spans="1:10" x14ac:dyDescent="0.3">
      <c r="A122" s="33" t="s">
        <v>200</v>
      </c>
      <c r="B122" s="34">
        <f>IFERROR(INDEX(Contabilidade!$K:$K,MATCH($A122,Contabilidade!$J:$J,0)),"")</f>
        <v>4308884000520</v>
      </c>
      <c r="C122" s="35">
        <f>SUMIFS(Contabilidade!$M:$M,Contabilidade!$J:$J,$A122,Contabilidade!$X:$X,"1. Com nota fiscal recolhida")</f>
        <v>6968.25</v>
      </c>
      <c r="D122" s="35">
        <f>SUMIFS(Contabilidade!$M:$M,Contabilidade!$J:$J,$A122,Contabilidade!$X:$X,"4. Crédito de estorno (desconto)")</f>
        <v>0</v>
      </c>
      <c r="E122" s="35">
        <f t="shared" si="4"/>
        <v>6968.25</v>
      </c>
      <c r="F122" s="35">
        <f>SUMIFS(Contabilidade!$M:$M,Contabilidade!$J:$J,$A122,Contabilidade!$X:$X,"2. Abastecimento cancelado (sem nota)")</f>
        <v>0</v>
      </c>
      <c r="G122" s="35">
        <f>SUMIFS(Contabilidade!$M:$M,Contabilidade!$J:$J,$A122,Contabilidade!$X:$X,"3. Sem nota fiscal")</f>
        <v>0</v>
      </c>
      <c r="H122" s="35">
        <f t="shared" si="5"/>
        <v>0</v>
      </c>
      <c r="I122" s="35">
        <f t="shared" si="6"/>
        <v>6968.25</v>
      </c>
      <c r="J122" s="36">
        <f t="shared" si="7"/>
        <v>1.572339922731111E-2</v>
      </c>
    </row>
    <row r="123" spans="1:10" x14ac:dyDescent="0.3">
      <c r="A123" s="18" t="s">
        <v>371</v>
      </c>
      <c r="B123" s="32">
        <f>IFERROR(INDEX(Contabilidade!$K:$K,MATCH($A123,Contabilidade!$J:$J,0)),"")</f>
        <v>26814629000169</v>
      </c>
      <c r="C123" s="20">
        <f>SUMIFS(Contabilidade!$M:$M,Contabilidade!$J:$J,$A123,Contabilidade!$X:$X,"1. Com nota fiscal recolhida")</f>
        <v>800.29000000000008</v>
      </c>
      <c r="D123" s="20">
        <f>SUMIFS(Contabilidade!$M:$M,Contabilidade!$J:$J,$A123,Contabilidade!$X:$X,"4. Crédito de estorno (desconto)")</f>
        <v>0</v>
      </c>
      <c r="E123" s="20">
        <f t="shared" si="4"/>
        <v>800.29000000000008</v>
      </c>
      <c r="F123" s="20">
        <f>SUMIFS(Contabilidade!$M:$M,Contabilidade!$J:$J,$A123,Contabilidade!$X:$X,"2. Abastecimento cancelado (sem nota)")</f>
        <v>0</v>
      </c>
      <c r="G123" s="20">
        <f>SUMIFS(Contabilidade!$M:$M,Contabilidade!$J:$J,$A123,Contabilidade!$X:$X,"3. Sem nota fiscal")</f>
        <v>0</v>
      </c>
      <c r="H123" s="20">
        <f t="shared" si="5"/>
        <v>0</v>
      </c>
      <c r="I123" s="20">
        <f t="shared" si="6"/>
        <v>800.29000000000008</v>
      </c>
      <c r="J123" s="21">
        <f t="shared" si="7"/>
        <v>1.8058019111864255E-3</v>
      </c>
    </row>
    <row r="124" spans="1:10" x14ac:dyDescent="0.3">
      <c r="A124" s="33" t="s">
        <v>186</v>
      </c>
      <c r="B124" s="34">
        <f>IFERROR(INDEX(Contabilidade!$K:$K,MATCH($A124,Contabilidade!$J:$J,0)),"")</f>
        <v>7822636000168</v>
      </c>
      <c r="C124" s="35">
        <f>SUMIFS(Contabilidade!$M:$M,Contabilidade!$J:$J,$A124,Contabilidade!$X:$X,"1. Com nota fiscal recolhida")</f>
        <v>6648.4800000000005</v>
      </c>
      <c r="D124" s="35">
        <f>SUMIFS(Contabilidade!$M:$M,Contabilidade!$J:$J,$A124,Contabilidade!$X:$X,"4. Crédito de estorno (desconto)")</f>
        <v>0</v>
      </c>
      <c r="E124" s="35">
        <f t="shared" si="4"/>
        <v>6648.4800000000005</v>
      </c>
      <c r="F124" s="35">
        <f>SUMIFS(Contabilidade!$M:$M,Contabilidade!$J:$J,$A124,Contabilidade!$X:$X,"2. Abastecimento cancelado (sem nota)")</f>
        <v>0</v>
      </c>
      <c r="G124" s="35">
        <f>SUMIFS(Contabilidade!$M:$M,Contabilidade!$J:$J,$A124,Contabilidade!$X:$X,"3. Sem nota fiscal")</f>
        <v>0</v>
      </c>
      <c r="H124" s="35">
        <f t="shared" si="5"/>
        <v>0</v>
      </c>
      <c r="I124" s="35">
        <f t="shared" si="6"/>
        <v>6648.4800000000005</v>
      </c>
      <c r="J124" s="36">
        <f t="shared" si="7"/>
        <v>1.5001859189149841E-2</v>
      </c>
    </row>
    <row r="125" spans="1:10" x14ac:dyDescent="0.3">
      <c r="A125" s="18" t="s">
        <v>178</v>
      </c>
      <c r="B125" s="32">
        <f>IFERROR(INDEX(Contabilidade!$K:$K,MATCH($A125,Contabilidade!$J:$J,0)),"")</f>
        <v>83392050000199</v>
      </c>
      <c r="C125" s="20">
        <f>SUMIFS(Contabilidade!$M:$M,Contabilidade!$J:$J,$A125,Contabilidade!$X:$X,"1. Com nota fiscal recolhida")</f>
        <v>16377.180000000002</v>
      </c>
      <c r="D125" s="20">
        <f>SUMIFS(Contabilidade!$M:$M,Contabilidade!$J:$J,$A125,Contabilidade!$X:$X,"4. Crédito de estorno (desconto)")</f>
        <v>0</v>
      </c>
      <c r="E125" s="20">
        <f t="shared" si="4"/>
        <v>16377.180000000002</v>
      </c>
      <c r="F125" s="20">
        <f>SUMIFS(Contabilidade!$M:$M,Contabilidade!$J:$J,$A125,Contabilidade!$X:$X,"2. Abastecimento cancelado (sem nota)")</f>
        <v>0</v>
      </c>
      <c r="G125" s="20">
        <f>SUMIFS(Contabilidade!$M:$M,Contabilidade!$J:$J,$A125,Contabilidade!$X:$X,"3. Sem nota fiscal")</f>
        <v>0</v>
      </c>
      <c r="H125" s="20">
        <f t="shared" si="5"/>
        <v>0</v>
      </c>
      <c r="I125" s="20">
        <f t="shared" si="6"/>
        <v>16377.180000000002</v>
      </c>
      <c r="J125" s="21">
        <f t="shared" si="7"/>
        <v>3.6954032842899581E-2</v>
      </c>
    </row>
    <row r="126" spans="1:10" x14ac:dyDescent="0.3">
      <c r="A126" s="33" t="s">
        <v>3392</v>
      </c>
      <c r="B126" s="34">
        <f>IFERROR(INDEX(Contabilidade!$K:$K,MATCH($A126,Contabilidade!$J:$J,0)),"")</f>
        <v>3157705000105</v>
      </c>
      <c r="C126" s="35">
        <f>SUMIFS(Contabilidade!$M:$M,Contabilidade!$J:$J,$A126,Contabilidade!$X:$X,"1. Com nota fiscal recolhida")</f>
        <v>298.92</v>
      </c>
      <c r="D126" s="35">
        <f>SUMIFS(Contabilidade!$M:$M,Contabilidade!$J:$J,$A126,Contabilidade!$X:$X,"4. Crédito de estorno (desconto)")</f>
        <v>0</v>
      </c>
      <c r="E126" s="35">
        <f t="shared" si="4"/>
        <v>298.92</v>
      </c>
      <c r="F126" s="35">
        <f>SUMIFS(Contabilidade!$M:$M,Contabilidade!$J:$J,$A126,Contabilidade!$X:$X,"2. Abastecimento cancelado (sem nota)")</f>
        <v>0</v>
      </c>
      <c r="G126" s="35">
        <f>SUMIFS(Contabilidade!$M:$M,Contabilidade!$J:$J,$A126,Contabilidade!$X:$X,"3. Sem nota fiscal")</f>
        <v>0</v>
      </c>
      <c r="H126" s="35">
        <f t="shared" si="5"/>
        <v>0</v>
      </c>
      <c r="I126" s="35">
        <f t="shared" si="6"/>
        <v>298.92</v>
      </c>
      <c r="J126" s="36">
        <f t="shared" si="7"/>
        <v>6.7449338026446203E-4</v>
      </c>
    </row>
    <row r="127" spans="1:10" x14ac:dyDescent="0.3">
      <c r="A127" s="18" t="s">
        <v>183</v>
      </c>
      <c r="B127" s="32">
        <f>IFERROR(INDEX(Contabilidade!$K:$K,MATCH($A127,Contabilidade!$J:$J,0)),"")</f>
        <v>84711084000161</v>
      </c>
      <c r="C127" s="20">
        <f>SUMIFS(Contabilidade!$M:$M,Contabilidade!$J:$J,$A127,Contabilidade!$X:$X,"1. Com nota fiscal recolhida")</f>
        <v>4706.3999999999996</v>
      </c>
      <c r="D127" s="20">
        <f>SUMIFS(Contabilidade!$M:$M,Contabilidade!$J:$J,$A127,Contabilidade!$X:$X,"4. Crédito de estorno (desconto)")</f>
        <v>0</v>
      </c>
      <c r="E127" s="20">
        <f t="shared" si="4"/>
        <v>4706.3999999999996</v>
      </c>
      <c r="F127" s="20">
        <f>SUMIFS(Contabilidade!$M:$M,Contabilidade!$J:$J,$A127,Contabilidade!$X:$X,"2. Abastecimento cancelado (sem nota)")</f>
        <v>0</v>
      </c>
      <c r="G127" s="20">
        <f>SUMIFS(Contabilidade!$M:$M,Contabilidade!$J:$J,$A127,Contabilidade!$X:$X,"3. Sem nota fiscal")</f>
        <v>0</v>
      </c>
      <c r="H127" s="20">
        <f t="shared" si="5"/>
        <v>0</v>
      </c>
      <c r="I127" s="20">
        <f t="shared" si="6"/>
        <v>4706.3999999999996</v>
      </c>
      <c r="J127" s="21">
        <f t="shared" si="7"/>
        <v>1.0619683008419187E-2</v>
      </c>
    </row>
    <row r="128" spans="1:10" x14ac:dyDescent="0.3">
      <c r="A128" s="33" t="s">
        <v>171</v>
      </c>
      <c r="B128" s="34">
        <f>IFERROR(INDEX(Contabilidade!$K:$K,MATCH($A128,Contabilidade!$J:$J,0)),"")</f>
        <v>14631967000186</v>
      </c>
      <c r="C128" s="35">
        <f>SUMIFS(Contabilidade!$M:$M,Contabilidade!$J:$J,$A128,Contabilidade!$X:$X,"1. Com nota fiscal recolhida")</f>
        <v>1888.46</v>
      </c>
      <c r="D128" s="35">
        <f>SUMIFS(Contabilidade!$M:$M,Contabilidade!$J:$J,$A128,Contabilidade!$X:$X,"4. Crédito de estorno (desconto)")</f>
        <v>0</v>
      </c>
      <c r="E128" s="35">
        <f t="shared" si="4"/>
        <v>1888.46</v>
      </c>
      <c r="F128" s="35">
        <f>SUMIFS(Contabilidade!$M:$M,Contabilidade!$J:$J,$A128,Contabilidade!$X:$X,"2. Abastecimento cancelado (sem nota)")</f>
        <v>0</v>
      </c>
      <c r="G128" s="35">
        <f>SUMIFS(Contabilidade!$M:$M,Contabilidade!$J:$J,$A128,Contabilidade!$X:$X,"3. Sem nota fiscal")</f>
        <v>0</v>
      </c>
      <c r="H128" s="35">
        <f t="shared" si="5"/>
        <v>0</v>
      </c>
      <c r="I128" s="35">
        <f t="shared" si="6"/>
        <v>1888.46</v>
      </c>
      <c r="J128" s="36">
        <f t="shared" si="7"/>
        <v>4.2611861665135349E-3</v>
      </c>
    </row>
    <row r="129" spans="1:10" x14ac:dyDescent="0.3">
      <c r="A129" s="18" t="s">
        <v>35</v>
      </c>
      <c r="B129" s="32">
        <f>IFERROR(INDEX(Contabilidade!$K:$K,MATCH($A129,Contabilidade!$J:$J,0)),"")</f>
        <v>27933025000102</v>
      </c>
      <c r="C129" s="20">
        <f>SUMIFS(Contabilidade!$M:$M,Contabilidade!$J:$J,$A129,Contabilidade!$X:$X,"1. Com nota fiscal recolhida")</f>
        <v>5713.2500000000009</v>
      </c>
      <c r="D129" s="20">
        <f>SUMIFS(Contabilidade!$M:$M,Contabilidade!$J:$J,$A129,Contabilidade!$X:$X,"4. Crédito de estorno (desconto)")</f>
        <v>0</v>
      </c>
      <c r="E129" s="20">
        <f t="shared" si="4"/>
        <v>5713.2500000000009</v>
      </c>
      <c r="F129" s="20">
        <f>SUMIFS(Contabilidade!$M:$M,Contabilidade!$J:$J,$A129,Contabilidade!$X:$X,"2. Abastecimento cancelado (sem nota)")</f>
        <v>0</v>
      </c>
      <c r="G129" s="20">
        <f>SUMIFS(Contabilidade!$M:$M,Contabilidade!$J:$J,$A129,Contabilidade!$X:$X,"3. Sem nota fiscal")</f>
        <v>270.95</v>
      </c>
      <c r="H129" s="20">
        <f t="shared" si="5"/>
        <v>270.95</v>
      </c>
      <c r="I129" s="20">
        <f t="shared" si="6"/>
        <v>5984.2000000000007</v>
      </c>
      <c r="J129" s="21">
        <f t="shared" si="7"/>
        <v>1.350295492499195E-2</v>
      </c>
    </row>
    <row r="130" spans="1:10" x14ac:dyDescent="0.3">
      <c r="A130" s="33" t="s">
        <v>119</v>
      </c>
      <c r="B130" s="34">
        <f>IFERROR(INDEX(Contabilidade!$K:$K,MATCH($A130,Contabilidade!$J:$J,0)),"")</f>
        <v>25220634000342</v>
      </c>
      <c r="C130" s="35">
        <f>SUMIFS(Contabilidade!$M:$M,Contabilidade!$J:$J,$A130,Contabilidade!$X:$X,"1. Com nota fiscal recolhida")</f>
        <v>542.48</v>
      </c>
      <c r="D130" s="35">
        <f>SUMIFS(Contabilidade!$M:$M,Contabilidade!$J:$J,$A130,Contabilidade!$X:$X,"4. Crédito de estorno (desconto)")</f>
        <v>0</v>
      </c>
      <c r="E130" s="35">
        <f t="shared" si="4"/>
        <v>542.48</v>
      </c>
      <c r="F130" s="35">
        <f>SUMIFS(Contabilidade!$M:$M,Contabilidade!$J:$J,$A130,Contabilidade!$X:$X,"2. Abastecimento cancelado (sem nota)")</f>
        <v>0</v>
      </c>
      <c r="G130" s="35">
        <f>SUMIFS(Contabilidade!$M:$M,Contabilidade!$J:$J,$A130,Contabilidade!$X:$X,"3. Sem nota fiscal")</f>
        <v>0</v>
      </c>
      <c r="H130" s="35">
        <f t="shared" si="5"/>
        <v>0</v>
      </c>
      <c r="I130" s="35">
        <f t="shared" si="6"/>
        <v>542.48</v>
      </c>
      <c r="J130" s="36">
        <f t="shared" si="7"/>
        <v>1.2240705504009946E-3</v>
      </c>
    </row>
    <row r="131" spans="1:10" x14ac:dyDescent="0.3">
      <c r="A131" s="18" t="s">
        <v>337</v>
      </c>
      <c r="B131" s="32">
        <f>IFERROR(INDEX(Contabilidade!$K:$K,MATCH($A131,Contabilidade!$J:$J,0)),"")</f>
        <v>6068493000188</v>
      </c>
      <c r="C131" s="20">
        <f>SUMIFS(Contabilidade!$M:$M,Contabilidade!$J:$J,$A131,Contabilidade!$X:$X,"1. Com nota fiscal recolhida")</f>
        <v>1248.47</v>
      </c>
      <c r="D131" s="20">
        <f>SUMIFS(Contabilidade!$M:$M,Contabilidade!$J:$J,$A131,Contabilidade!$X:$X,"4. Crédito de estorno (desconto)")</f>
        <v>0</v>
      </c>
      <c r="E131" s="20">
        <f t="shared" si="4"/>
        <v>1248.47</v>
      </c>
      <c r="F131" s="20">
        <f>SUMIFS(Contabilidade!$M:$M,Contabilidade!$J:$J,$A131,Contabilidade!$X:$X,"2. Abastecimento cancelado (sem nota)")</f>
        <v>0</v>
      </c>
      <c r="G131" s="20">
        <f>SUMIFS(Contabilidade!$M:$M,Contabilidade!$J:$J,$A131,Contabilidade!$X:$X,"3. Sem nota fiscal")</f>
        <v>0</v>
      </c>
      <c r="H131" s="20">
        <f t="shared" si="5"/>
        <v>0</v>
      </c>
      <c r="I131" s="20">
        <f t="shared" si="6"/>
        <v>1248.47</v>
      </c>
      <c r="J131" s="21">
        <f t="shared" si="7"/>
        <v>2.8170906946968178E-3</v>
      </c>
    </row>
    <row r="132" spans="1:10" x14ac:dyDescent="0.3">
      <c r="A132" s="33" t="s">
        <v>340</v>
      </c>
      <c r="B132" s="34">
        <f>IFERROR(INDEX(Contabilidade!$K:$K,MATCH($A132,Contabilidade!$J:$J,0)),"")</f>
        <v>29127799000163</v>
      </c>
      <c r="C132" s="35">
        <f>SUMIFS(Contabilidade!$M:$M,Contabilidade!$J:$J,$A132,Contabilidade!$X:$X,"1. Com nota fiscal recolhida")</f>
        <v>1185.56</v>
      </c>
      <c r="D132" s="35">
        <f>SUMIFS(Contabilidade!$M:$M,Contabilidade!$J:$J,$A132,Contabilidade!$X:$X,"4. Crédito de estorno (desconto)")</f>
        <v>0</v>
      </c>
      <c r="E132" s="35">
        <f t="shared" ref="E132:E195" si="8">C132+D132</f>
        <v>1185.56</v>
      </c>
      <c r="F132" s="35">
        <f>SUMIFS(Contabilidade!$M:$M,Contabilidade!$J:$J,$A132,Contabilidade!$X:$X,"2. Abastecimento cancelado (sem nota)")</f>
        <v>0</v>
      </c>
      <c r="G132" s="35">
        <f>SUMIFS(Contabilidade!$M:$M,Contabilidade!$J:$J,$A132,Contabilidade!$X:$X,"3. Sem nota fiscal")</f>
        <v>0</v>
      </c>
      <c r="H132" s="35">
        <f t="shared" ref="H132:H195" si="9">F132+G132</f>
        <v>0</v>
      </c>
      <c r="I132" s="35">
        <f t="shared" ref="I132:I195" si="10">E132+H132</f>
        <v>1185.56</v>
      </c>
      <c r="J132" s="36">
        <f t="shared" ref="J132:J195" si="11">IF(I$208,I132/I$208,0)</f>
        <v>2.6751384046110513E-3</v>
      </c>
    </row>
    <row r="133" spans="1:10" x14ac:dyDescent="0.3">
      <c r="A133" s="18" t="s">
        <v>595</v>
      </c>
      <c r="B133" s="32">
        <f>IFERROR(INDEX(Contabilidade!$K:$K,MATCH($A133,Contabilidade!$J:$J,0)),"")</f>
        <v>2772168000140</v>
      </c>
      <c r="C133" s="20">
        <f>SUMIFS(Contabilidade!$M:$M,Contabilidade!$J:$J,$A133,Contabilidade!$X:$X,"1. Com nota fiscal recolhida")</f>
        <v>270.79000000000002</v>
      </c>
      <c r="D133" s="20">
        <f>SUMIFS(Contabilidade!$M:$M,Contabilidade!$J:$J,$A133,Contabilidade!$X:$X,"4. Crédito de estorno (desconto)")</f>
        <v>0</v>
      </c>
      <c r="E133" s="20">
        <f t="shared" si="8"/>
        <v>270.79000000000002</v>
      </c>
      <c r="F133" s="20">
        <f>SUMIFS(Contabilidade!$M:$M,Contabilidade!$J:$J,$A133,Contabilidade!$X:$X,"2. Abastecimento cancelado (sem nota)")</f>
        <v>0</v>
      </c>
      <c r="G133" s="20">
        <f>SUMIFS(Contabilidade!$M:$M,Contabilidade!$J:$J,$A133,Contabilidade!$X:$X,"3. Sem nota fiscal")</f>
        <v>0</v>
      </c>
      <c r="H133" s="20">
        <f t="shared" si="9"/>
        <v>0</v>
      </c>
      <c r="I133" s="20">
        <f t="shared" si="10"/>
        <v>270.79000000000002</v>
      </c>
      <c r="J133" s="21">
        <f t="shared" si="11"/>
        <v>6.1101987970632165E-4</v>
      </c>
    </row>
    <row r="134" spans="1:10" x14ac:dyDescent="0.3">
      <c r="A134" s="33" t="s">
        <v>80</v>
      </c>
      <c r="B134" s="34">
        <f>IFERROR(INDEX(Contabilidade!$K:$K,MATCH($A134,Contabilidade!$J:$J,0)),"")</f>
        <v>8603562001103</v>
      </c>
      <c r="C134" s="35">
        <f>SUMIFS(Contabilidade!$M:$M,Contabilidade!$J:$J,$A134,Contabilidade!$X:$X,"1. Com nota fiscal recolhida")</f>
        <v>526.73</v>
      </c>
      <c r="D134" s="35">
        <f>SUMIFS(Contabilidade!$M:$M,Contabilidade!$J:$J,$A134,Contabilidade!$X:$X,"4. Crédito de estorno (desconto)")</f>
        <v>0</v>
      </c>
      <c r="E134" s="35">
        <f t="shared" si="8"/>
        <v>526.73</v>
      </c>
      <c r="F134" s="35">
        <f>SUMIFS(Contabilidade!$M:$M,Contabilidade!$J:$J,$A134,Contabilidade!$X:$X,"2. Abastecimento cancelado (sem nota)")</f>
        <v>0</v>
      </c>
      <c r="G134" s="35">
        <f>SUMIFS(Contabilidade!$M:$M,Contabilidade!$J:$J,$A134,Contabilidade!$X:$X,"3. Sem nota fiscal")</f>
        <v>0</v>
      </c>
      <c r="H134" s="35">
        <f t="shared" si="9"/>
        <v>0</v>
      </c>
      <c r="I134" s="35">
        <f t="shared" si="10"/>
        <v>526.73</v>
      </c>
      <c r="J134" s="36">
        <f t="shared" si="11"/>
        <v>1.1885317081048443E-3</v>
      </c>
    </row>
    <row r="135" spans="1:10" x14ac:dyDescent="0.3">
      <c r="A135" s="18" t="s">
        <v>206</v>
      </c>
      <c r="B135" s="32">
        <f>IFERROR(INDEX(Contabilidade!$K:$K,MATCH($A135,Contabilidade!$J:$J,0)),"")</f>
        <v>50128357000128</v>
      </c>
      <c r="C135" s="20">
        <f>SUMIFS(Contabilidade!$M:$M,Contabilidade!$J:$J,$A135,Contabilidade!$X:$X,"1. Com nota fiscal recolhida")</f>
        <v>2713.7700000000004</v>
      </c>
      <c r="D135" s="20">
        <f>SUMIFS(Contabilidade!$M:$M,Contabilidade!$J:$J,$A135,Contabilidade!$X:$X,"4. Crédito de estorno (desconto)")</f>
        <v>0</v>
      </c>
      <c r="E135" s="20">
        <f t="shared" si="8"/>
        <v>2713.7700000000004</v>
      </c>
      <c r="F135" s="20">
        <f>SUMIFS(Contabilidade!$M:$M,Contabilidade!$J:$J,$A135,Contabilidade!$X:$X,"2. Abastecimento cancelado (sem nota)")</f>
        <v>0</v>
      </c>
      <c r="G135" s="20">
        <f>SUMIFS(Contabilidade!$M:$M,Contabilidade!$J:$J,$A135,Contabilidade!$X:$X,"3. Sem nota fiscal")</f>
        <v>0</v>
      </c>
      <c r="H135" s="20">
        <f t="shared" si="9"/>
        <v>0</v>
      </c>
      <c r="I135" s="20">
        <f t="shared" si="10"/>
        <v>2713.7700000000004</v>
      </c>
      <c r="J135" s="21">
        <f t="shared" si="11"/>
        <v>6.1234440671761314E-3</v>
      </c>
    </row>
    <row r="136" spans="1:10" x14ac:dyDescent="0.3">
      <c r="A136" s="33" t="s">
        <v>295</v>
      </c>
      <c r="B136" s="34">
        <f>IFERROR(INDEX(Contabilidade!$K:$K,MATCH($A136,Contabilidade!$J:$J,0)),"")</f>
        <v>8603562001294</v>
      </c>
      <c r="C136" s="35">
        <f>SUMIFS(Contabilidade!$M:$M,Contabilidade!$J:$J,$A136,Contabilidade!$X:$X,"1. Com nota fiscal recolhida")</f>
        <v>214.69</v>
      </c>
      <c r="D136" s="35">
        <f>SUMIFS(Contabilidade!$M:$M,Contabilidade!$J:$J,$A136,Contabilidade!$X:$X,"4. Crédito de estorno (desconto)")</f>
        <v>0</v>
      </c>
      <c r="E136" s="35">
        <f t="shared" si="8"/>
        <v>214.69</v>
      </c>
      <c r="F136" s="35">
        <f>SUMIFS(Contabilidade!$M:$M,Contabilidade!$J:$J,$A136,Contabilidade!$X:$X,"2. Abastecimento cancelado (sem nota)")</f>
        <v>0</v>
      </c>
      <c r="G136" s="35">
        <f>SUMIFS(Contabilidade!$M:$M,Contabilidade!$J:$J,$A136,Contabilidade!$X:$X,"3. Sem nota fiscal")</f>
        <v>0</v>
      </c>
      <c r="H136" s="35">
        <f t="shared" si="9"/>
        <v>0</v>
      </c>
      <c r="I136" s="35">
        <f t="shared" si="10"/>
        <v>214.69</v>
      </c>
      <c r="J136" s="36">
        <f t="shared" si="11"/>
        <v>4.8443390809908116E-4</v>
      </c>
    </row>
    <row r="137" spans="1:10" x14ac:dyDescent="0.3">
      <c r="A137" s="18" t="s">
        <v>505</v>
      </c>
      <c r="B137" s="32">
        <f>IFERROR(INDEX(Contabilidade!$K:$K,MATCH($A137,Contabilidade!$J:$J,0)),"")</f>
        <v>5082661000550</v>
      </c>
      <c r="C137" s="20">
        <f>SUMIFS(Contabilidade!$M:$M,Contabilidade!$J:$J,$A137,Contabilidade!$X:$X,"1. Com nota fiscal recolhida")</f>
        <v>471.63</v>
      </c>
      <c r="D137" s="20">
        <f>SUMIFS(Contabilidade!$M:$M,Contabilidade!$J:$J,$A137,Contabilidade!$X:$X,"4. Crédito de estorno (desconto)")</f>
        <v>0</v>
      </c>
      <c r="E137" s="20">
        <f t="shared" si="8"/>
        <v>471.63</v>
      </c>
      <c r="F137" s="20">
        <f>SUMIFS(Contabilidade!$M:$M,Contabilidade!$J:$J,$A137,Contabilidade!$X:$X,"2. Abastecimento cancelado (sem nota)")</f>
        <v>0</v>
      </c>
      <c r="G137" s="20">
        <f>SUMIFS(Contabilidade!$M:$M,Contabilidade!$J:$J,$A137,Contabilidade!$X:$X,"3. Sem nota fiscal")</f>
        <v>0</v>
      </c>
      <c r="H137" s="20">
        <f t="shared" si="9"/>
        <v>0</v>
      </c>
      <c r="I137" s="20">
        <f t="shared" si="10"/>
        <v>471.63</v>
      </c>
      <c r="J137" s="21">
        <f t="shared" si="11"/>
        <v>1.0642021709291055E-3</v>
      </c>
    </row>
    <row r="138" spans="1:10" x14ac:dyDescent="0.3">
      <c r="A138" s="33" t="s">
        <v>504</v>
      </c>
      <c r="B138" s="34">
        <f>IFERROR(INDEX(Contabilidade!$K:$K,MATCH($A138,Contabilidade!$J:$J,0)),"")</f>
        <v>8603562002002</v>
      </c>
      <c r="C138" s="35">
        <f>SUMIFS(Contabilidade!$M:$M,Contabilidade!$J:$J,$A138,Contabilidade!$X:$X,"1. Com nota fiscal recolhida")</f>
        <v>481.25</v>
      </c>
      <c r="D138" s="35">
        <f>SUMIFS(Contabilidade!$M:$M,Contabilidade!$J:$J,$A138,Contabilidade!$X:$X,"4. Crédito de estorno (desconto)")</f>
        <v>0</v>
      </c>
      <c r="E138" s="35">
        <f t="shared" si="8"/>
        <v>481.25</v>
      </c>
      <c r="F138" s="35">
        <f>SUMIFS(Contabilidade!$M:$M,Contabilidade!$J:$J,$A138,Contabilidade!$X:$X,"2. Abastecimento cancelado (sem nota)")</f>
        <v>0</v>
      </c>
      <c r="G138" s="35">
        <f>SUMIFS(Contabilidade!$M:$M,Contabilidade!$J:$J,$A138,Contabilidade!$X:$X,"3. Sem nota fiscal")</f>
        <v>0</v>
      </c>
      <c r="H138" s="35">
        <f t="shared" si="9"/>
        <v>0</v>
      </c>
      <c r="I138" s="35">
        <f t="shared" si="10"/>
        <v>481.25</v>
      </c>
      <c r="J138" s="36">
        <f t="shared" si="11"/>
        <v>1.0859090701601508E-3</v>
      </c>
    </row>
    <row r="139" spans="1:10" x14ac:dyDescent="0.3">
      <c r="A139" s="18" t="s">
        <v>189</v>
      </c>
      <c r="B139" s="32">
        <f>IFERROR(INDEX(Contabilidade!$K:$K,MATCH($A139,Contabilidade!$J:$J,0)),"")</f>
        <v>50128357000551</v>
      </c>
      <c r="C139" s="20">
        <f>SUMIFS(Contabilidade!$M:$M,Contabilidade!$J:$J,$A139,Contabilidade!$X:$X,"1. Com nota fiscal recolhida")</f>
        <v>1065.6099999999999</v>
      </c>
      <c r="D139" s="20">
        <f>SUMIFS(Contabilidade!$M:$M,Contabilidade!$J:$J,$A139,Contabilidade!$X:$X,"4. Crédito de estorno (desconto)")</f>
        <v>0</v>
      </c>
      <c r="E139" s="20">
        <f t="shared" si="8"/>
        <v>1065.6099999999999</v>
      </c>
      <c r="F139" s="20">
        <f>SUMIFS(Contabilidade!$M:$M,Contabilidade!$J:$J,$A139,Contabilidade!$X:$X,"2. Abastecimento cancelado (sem nota)")</f>
        <v>0</v>
      </c>
      <c r="G139" s="20">
        <f>SUMIFS(Contabilidade!$M:$M,Contabilidade!$J:$J,$A139,Contabilidade!$X:$X,"3. Sem nota fiscal")</f>
        <v>0</v>
      </c>
      <c r="H139" s="20">
        <f t="shared" si="9"/>
        <v>0</v>
      </c>
      <c r="I139" s="20">
        <f t="shared" si="10"/>
        <v>1065.6099999999999</v>
      </c>
      <c r="J139" s="21">
        <f t="shared" si="11"/>
        <v>2.4044790945524329E-3</v>
      </c>
    </row>
    <row r="140" spans="1:10" x14ac:dyDescent="0.3">
      <c r="A140" s="33" t="s">
        <v>56</v>
      </c>
      <c r="B140" s="34">
        <f>IFERROR(INDEX(Contabilidade!$K:$K,MATCH($A140,Contabilidade!$J:$J,0)),"")</f>
        <v>8603562000212</v>
      </c>
      <c r="C140" s="35">
        <f>SUMIFS(Contabilidade!$M:$M,Contabilidade!$J:$J,$A140,Contabilidade!$X:$X,"1. Com nota fiscal recolhida")</f>
        <v>5068.6900000000005</v>
      </c>
      <c r="D140" s="35">
        <f>SUMIFS(Contabilidade!$M:$M,Contabilidade!$J:$J,$A140,Contabilidade!$X:$X,"4. Crédito de estorno (desconto)")</f>
        <v>0</v>
      </c>
      <c r="E140" s="35">
        <f t="shared" si="8"/>
        <v>5068.6900000000005</v>
      </c>
      <c r="F140" s="35">
        <f>SUMIFS(Contabilidade!$M:$M,Contabilidade!$J:$J,$A140,Contabilidade!$X:$X,"2. Abastecimento cancelado (sem nota)")</f>
        <v>0</v>
      </c>
      <c r="G140" s="35">
        <f>SUMIFS(Contabilidade!$M:$M,Contabilidade!$J:$J,$A140,Contabilidade!$X:$X,"3. Sem nota fiscal")</f>
        <v>0</v>
      </c>
      <c r="H140" s="35">
        <f t="shared" si="9"/>
        <v>0</v>
      </c>
      <c r="I140" s="35">
        <f t="shared" si="10"/>
        <v>5068.6900000000005</v>
      </c>
      <c r="J140" s="36">
        <f t="shared" si="11"/>
        <v>1.1437166638607908E-2</v>
      </c>
    </row>
    <row r="141" spans="1:10" x14ac:dyDescent="0.3">
      <c r="A141" s="18" t="s">
        <v>122</v>
      </c>
      <c r="B141" s="32">
        <f>IFERROR(INDEX(Contabilidade!$K:$K,MATCH($A141,Contabilidade!$J:$J,0)),"")</f>
        <v>1387686000340</v>
      </c>
      <c r="C141" s="20">
        <f>SUMIFS(Contabilidade!$M:$M,Contabilidade!$J:$J,$A141,Contabilidade!$X:$X,"1. Com nota fiscal recolhida")</f>
        <v>225.27</v>
      </c>
      <c r="D141" s="20">
        <f>SUMIFS(Contabilidade!$M:$M,Contabilidade!$J:$J,$A141,Contabilidade!$X:$X,"4. Crédito de estorno (desconto)")</f>
        <v>0</v>
      </c>
      <c r="E141" s="20">
        <f t="shared" si="8"/>
        <v>225.27</v>
      </c>
      <c r="F141" s="20">
        <f>SUMIFS(Contabilidade!$M:$M,Contabilidade!$J:$J,$A141,Contabilidade!$X:$X,"2. Abastecimento cancelado (sem nota)")</f>
        <v>0</v>
      </c>
      <c r="G141" s="20">
        <f>SUMIFS(Contabilidade!$M:$M,Contabilidade!$J:$J,$A141,Contabilidade!$X:$X,"3. Sem nota fiscal")</f>
        <v>0</v>
      </c>
      <c r="H141" s="20">
        <f t="shared" si="9"/>
        <v>0</v>
      </c>
      <c r="I141" s="20">
        <f t="shared" si="10"/>
        <v>225.27</v>
      </c>
      <c r="J141" s="21">
        <f t="shared" si="11"/>
        <v>5.0830698438436822E-4</v>
      </c>
    </row>
    <row r="142" spans="1:10" x14ac:dyDescent="0.3">
      <c r="A142" s="33" t="s">
        <v>15</v>
      </c>
      <c r="B142" s="34">
        <f>IFERROR(INDEX(Contabilidade!$K:$K,MATCH($A142,Contabilidade!$J:$J,0)),"")</f>
        <v>30432373000100</v>
      </c>
      <c r="C142" s="35">
        <f>SUMIFS(Contabilidade!$M:$M,Contabilidade!$J:$J,$A142,Contabilidade!$X:$X,"1. Com nota fiscal recolhida")</f>
        <v>2445.17</v>
      </c>
      <c r="D142" s="35">
        <f>SUMIFS(Contabilidade!$M:$M,Contabilidade!$J:$J,$A142,Contabilidade!$X:$X,"4. Crédito de estorno (desconto)")</f>
        <v>0</v>
      </c>
      <c r="E142" s="35">
        <f t="shared" si="8"/>
        <v>2445.17</v>
      </c>
      <c r="F142" s="35">
        <f>SUMIFS(Contabilidade!$M:$M,Contabilidade!$J:$J,$A142,Contabilidade!$X:$X,"2. Abastecimento cancelado (sem nota)")</f>
        <v>0</v>
      </c>
      <c r="G142" s="35">
        <f>SUMIFS(Contabilidade!$M:$M,Contabilidade!$J:$J,$A142,Contabilidade!$X:$X,"3. Sem nota fiscal")</f>
        <v>1749.42</v>
      </c>
      <c r="H142" s="35">
        <f t="shared" si="9"/>
        <v>1749.42</v>
      </c>
      <c r="I142" s="35">
        <f t="shared" si="10"/>
        <v>4194.59</v>
      </c>
      <c r="J142" s="36">
        <f t="shared" si="11"/>
        <v>9.4648173020323492E-3</v>
      </c>
    </row>
    <row r="143" spans="1:10" x14ac:dyDescent="0.3">
      <c r="A143" s="18" t="s">
        <v>204</v>
      </c>
      <c r="B143" s="32">
        <f>IFERROR(INDEX(Contabilidade!$K:$K,MATCH($A143,Contabilidade!$J:$J,0)),"")</f>
        <v>24187119000183</v>
      </c>
      <c r="C143" s="20">
        <f>SUMIFS(Contabilidade!$M:$M,Contabilidade!$J:$J,$A143,Contabilidade!$X:$X,"1. Com nota fiscal recolhida")</f>
        <v>1532.25</v>
      </c>
      <c r="D143" s="20">
        <f>SUMIFS(Contabilidade!$M:$M,Contabilidade!$J:$J,$A143,Contabilidade!$X:$X,"4. Crédito de estorno (desconto)")</f>
        <v>0</v>
      </c>
      <c r="E143" s="20">
        <f t="shared" si="8"/>
        <v>1532.25</v>
      </c>
      <c r="F143" s="20">
        <f>SUMIFS(Contabilidade!$M:$M,Contabilidade!$J:$J,$A143,Contabilidade!$X:$X,"2. Abastecimento cancelado (sem nota)")</f>
        <v>0</v>
      </c>
      <c r="G143" s="20">
        <f>SUMIFS(Contabilidade!$M:$M,Contabilidade!$J:$J,$A143,Contabilidade!$X:$X,"3. Sem nota fiscal")</f>
        <v>0</v>
      </c>
      <c r="H143" s="20">
        <f t="shared" si="9"/>
        <v>0</v>
      </c>
      <c r="I143" s="20">
        <f t="shared" si="10"/>
        <v>1532.25</v>
      </c>
      <c r="J143" s="21">
        <f t="shared" si="11"/>
        <v>3.4574216576683456E-3</v>
      </c>
    </row>
    <row r="144" spans="1:10" x14ac:dyDescent="0.3">
      <c r="A144" s="33" t="s">
        <v>684</v>
      </c>
      <c r="B144" s="34">
        <f>IFERROR(INDEX(Contabilidade!$K:$K,MATCH($A144,Contabilidade!$J:$J,0)),"")</f>
        <v>20940512000145</v>
      </c>
      <c r="C144" s="35">
        <f>SUMIFS(Contabilidade!$M:$M,Contabilidade!$J:$J,$A144,Contabilidade!$X:$X,"1. Com nota fiscal recolhida")</f>
        <v>66.34</v>
      </c>
      <c r="D144" s="35">
        <f>SUMIFS(Contabilidade!$M:$M,Contabilidade!$J:$J,$A144,Contabilidade!$X:$X,"4. Crédito de estorno (desconto)")</f>
        <v>0</v>
      </c>
      <c r="E144" s="35">
        <f t="shared" si="8"/>
        <v>66.34</v>
      </c>
      <c r="F144" s="35">
        <f>SUMIFS(Contabilidade!$M:$M,Contabilidade!$J:$J,$A144,Contabilidade!$X:$X,"2. Abastecimento cancelado (sem nota)")</f>
        <v>0</v>
      </c>
      <c r="G144" s="35">
        <f>SUMIFS(Contabilidade!$M:$M,Contabilidade!$J:$J,$A144,Contabilidade!$X:$X,"3. Sem nota fiscal")</f>
        <v>0</v>
      </c>
      <c r="H144" s="35">
        <f t="shared" si="9"/>
        <v>0</v>
      </c>
      <c r="I144" s="35">
        <f t="shared" si="10"/>
        <v>66.34</v>
      </c>
      <c r="J144" s="36">
        <f t="shared" si="11"/>
        <v>1.4969186018581697E-4</v>
      </c>
    </row>
    <row r="145" spans="1:10" x14ac:dyDescent="0.3">
      <c r="A145" s="18" t="s">
        <v>3584</v>
      </c>
      <c r="B145" s="32">
        <f>IFERROR(INDEX(Contabilidade!$K:$K,MATCH($A145,Contabilidade!$J:$J,0)),"")</f>
        <v>42874317000105</v>
      </c>
      <c r="C145" s="20">
        <f>SUMIFS(Contabilidade!$M:$M,Contabilidade!$J:$J,$A145,Contabilidade!$X:$X,"1. Com nota fiscal recolhida")</f>
        <v>299.71000000000004</v>
      </c>
      <c r="D145" s="20">
        <f>SUMIFS(Contabilidade!$M:$M,Contabilidade!$J:$J,$A145,Contabilidade!$X:$X,"4. Crédito de estorno (desconto)")</f>
        <v>0</v>
      </c>
      <c r="E145" s="20">
        <f t="shared" si="8"/>
        <v>299.71000000000004</v>
      </c>
      <c r="F145" s="20">
        <f>SUMIFS(Contabilidade!$M:$M,Contabilidade!$J:$J,$A145,Contabilidade!$X:$X,"2. Abastecimento cancelado (sem nota)")</f>
        <v>0</v>
      </c>
      <c r="G145" s="20">
        <f>SUMIFS(Contabilidade!$M:$M,Contabilidade!$J:$J,$A145,Contabilidade!$X:$X,"3. Sem nota fiscal")</f>
        <v>0</v>
      </c>
      <c r="H145" s="20">
        <f t="shared" si="9"/>
        <v>0</v>
      </c>
      <c r="I145" s="20">
        <f t="shared" si="10"/>
        <v>299.71000000000004</v>
      </c>
      <c r="J145" s="21">
        <f t="shared" si="11"/>
        <v>6.7627596346534835E-4</v>
      </c>
    </row>
    <row r="146" spans="1:10" x14ac:dyDescent="0.3">
      <c r="A146" s="33" t="s">
        <v>486</v>
      </c>
      <c r="B146" s="34">
        <f>IFERROR(INDEX(Contabilidade!$K:$K,MATCH($A146,Contabilidade!$J:$J,0)),"")</f>
        <v>58446194000133</v>
      </c>
      <c r="C146" s="35">
        <f>SUMIFS(Contabilidade!$M:$M,Contabilidade!$J:$J,$A146,Contabilidade!$X:$X,"1. Com nota fiscal recolhida")</f>
        <v>2214.21</v>
      </c>
      <c r="D146" s="35">
        <f>SUMIFS(Contabilidade!$M:$M,Contabilidade!$J:$J,$A146,Contabilidade!$X:$X,"4. Crédito de estorno (desconto)")</f>
        <v>0</v>
      </c>
      <c r="E146" s="35">
        <f t="shared" si="8"/>
        <v>2214.21</v>
      </c>
      <c r="F146" s="35">
        <f>SUMIFS(Contabilidade!$M:$M,Contabilidade!$J:$J,$A146,Contabilidade!$X:$X,"2. Abastecimento cancelado (sem nota)")</f>
        <v>0</v>
      </c>
      <c r="G146" s="35">
        <f>SUMIFS(Contabilidade!$M:$M,Contabilidade!$J:$J,$A146,Contabilidade!$X:$X,"3. Sem nota fiscal")</f>
        <v>0</v>
      </c>
      <c r="H146" s="35">
        <f t="shared" si="9"/>
        <v>0</v>
      </c>
      <c r="I146" s="35">
        <f t="shared" si="10"/>
        <v>2214.21</v>
      </c>
      <c r="J146" s="36">
        <f t="shared" si="11"/>
        <v>4.9962196825751853E-3</v>
      </c>
    </row>
    <row r="147" spans="1:10" x14ac:dyDescent="0.3">
      <c r="A147" s="18" t="s">
        <v>608</v>
      </c>
      <c r="B147" s="32">
        <f>IFERROR(INDEX(Contabilidade!$K:$K,MATCH($A147,Contabilidade!$J:$J,0)),"")</f>
        <v>42183609000193</v>
      </c>
      <c r="C147" s="20">
        <f>SUMIFS(Contabilidade!$M:$M,Contabilidade!$J:$J,$A147,Contabilidade!$X:$X,"1. Com nota fiscal recolhida")</f>
        <v>347.83000000000004</v>
      </c>
      <c r="D147" s="20">
        <f>SUMIFS(Contabilidade!$M:$M,Contabilidade!$J:$J,$A147,Contabilidade!$X:$X,"4. Crédito de estorno (desconto)")</f>
        <v>0</v>
      </c>
      <c r="E147" s="20">
        <f t="shared" si="8"/>
        <v>347.83000000000004</v>
      </c>
      <c r="F147" s="20">
        <f>SUMIFS(Contabilidade!$M:$M,Contabilidade!$J:$J,$A147,Contabilidade!$X:$X,"2. Abastecimento cancelado (sem nota)")</f>
        <v>0</v>
      </c>
      <c r="G147" s="20">
        <f>SUMIFS(Contabilidade!$M:$M,Contabilidade!$J:$J,$A147,Contabilidade!$X:$X,"3. Sem nota fiscal")</f>
        <v>0</v>
      </c>
      <c r="H147" s="20">
        <f t="shared" si="9"/>
        <v>0</v>
      </c>
      <c r="I147" s="20">
        <f t="shared" si="10"/>
        <v>347.83000000000004</v>
      </c>
      <c r="J147" s="21">
        <f t="shared" si="11"/>
        <v>7.8485558830920592E-4</v>
      </c>
    </row>
    <row r="148" spans="1:10" x14ac:dyDescent="0.3">
      <c r="A148" s="33" t="s">
        <v>1394</v>
      </c>
      <c r="B148" s="34">
        <f>IFERROR(INDEX(Contabilidade!$K:$K,MATCH($A148,Contabilidade!$J:$J,0)),"")</f>
        <v>30858891000182</v>
      </c>
      <c r="C148" s="35">
        <f>SUMIFS(Contabilidade!$M:$M,Contabilidade!$J:$J,$A148,Contabilidade!$X:$X,"1. Com nota fiscal recolhida")</f>
        <v>1247.05</v>
      </c>
      <c r="D148" s="35">
        <f>SUMIFS(Contabilidade!$M:$M,Contabilidade!$J:$J,$A148,Contabilidade!$X:$X,"4. Crédito de estorno (desconto)")</f>
        <v>0</v>
      </c>
      <c r="E148" s="35">
        <f t="shared" si="8"/>
        <v>1247.05</v>
      </c>
      <c r="F148" s="35">
        <f>SUMIFS(Contabilidade!$M:$M,Contabilidade!$J:$J,$A148,Contabilidade!$X:$X,"2. Abastecimento cancelado (sem nota)")</f>
        <v>0</v>
      </c>
      <c r="G148" s="35">
        <f>SUMIFS(Contabilidade!$M:$M,Contabilidade!$J:$J,$A148,Contabilidade!$X:$X,"3. Sem nota fiscal")</f>
        <v>0</v>
      </c>
      <c r="H148" s="35">
        <f t="shared" si="9"/>
        <v>0</v>
      </c>
      <c r="I148" s="35">
        <f t="shared" si="10"/>
        <v>1247.05</v>
      </c>
      <c r="J148" s="36">
        <f t="shared" si="11"/>
        <v>2.8138865578040857E-3</v>
      </c>
    </row>
    <row r="149" spans="1:10" x14ac:dyDescent="0.3">
      <c r="A149" s="18" t="s">
        <v>310</v>
      </c>
      <c r="B149" s="32">
        <f>IFERROR(INDEX(Contabilidade!$K:$K,MATCH($A149,Contabilidade!$J:$J,0)),"")</f>
        <v>42733072000198</v>
      </c>
      <c r="C149" s="20">
        <f>SUMIFS(Contabilidade!$M:$M,Contabilidade!$J:$J,$A149,Contabilidade!$X:$X,"1. Com nota fiscal recolhida")</f>
        <v>1390.21</v>
      </c>
      <c r="D149" s="20">
        <f>SUMIFS(Contabilidade!$M:$M,Contabilidade!$J:$J,$A149,Contabilidade!$X:$X,"4. Crédito de estorno (desconto)")</f>
        <v>0</v>
      </c>
      <c r="E149" s="20">
        <f t="shared" si="8"/>
        <v>1390.21</v>
      </c>
      <c r="F149" s="20">
        <f>SUMIFS(Contabilidade!$M:$M,Contabilidade!$J:$J,$A149,Contabilidade!$X:$X,"2. Abastecimento cancelado (sem nota)")</f>
        <v>0</v>
      </c>
      <c r="G149" s="20">
        <f>SUMIFS(Contabilidade!$M:$M,Contabilidade!$J:$J,$A149,Contabilidade!$X:$X,"3. Sem nota fiscal")</f>
        <v>0</v>
      </c>
      <c r="H149" s="20">
        <f t="shared" si="9"/>
        <v>0</v>
      </c>
      <c r="I149" s="20">
        <f t="shared" si="10"/>
        <v>1390.21</v>
      </c>
      <c r="J149" s="21">
        <f t="shared" si="11"/>
        <v>3.1369177110178565E-3</v>
      </c>
    </row>
    <row r="150" spans="1:10" x14ac:dyDescent="0.3">
      <c r="A150" s="33" t="s">
        <v>375</v>
      </c>
      <c r="B150" s="34">
        <f>IFERROR(INDEX(Contabilidade!$K:$K,MATCH($A150,Contabilidade!$J:$J,0)),"")</f>
        <v>28583917000347</v>
      </c>
      <c r="C150" s="35">
        <f>SUMIFS(Contabilidade!$M:$M,Contabilidade!$J:$J,$A150,Contabilidade!$X:$X,"1. Com nota fiscal recolhida")</f>
        <v>1892.69</v>
      </c>
      <c r="D150" s="35">
        <f>SUMIFS(Contabilidade!$M:$M,Contabilidade!$J:$J,$A150,Contabilidade!$X:$X,"4. Crédito de estorno (desconto)")</f>
        <v>0</v>
      </c>
      <c r="E150" s="35">
        <f t="shared" si="8"/>
        <v>1892.69</v>
      </c>
      <c r="F150" s="35">
        <f>SUMIFS(Contabilidade!$M:$M,Contabilidade!$J:$J,$A150,Contabilidade!$X:$X,"2. Abastecimento cancelado (sem nota)")</f>
        <v>0</v>
      </c>
      <c r="G150" s="35">
        <f>SUMIFS(Contabilidade!$M:$M,Contabilidade!$J:$J,$A150,Contabilidade!$X:$X,"3. Sem nota fiscal")</f>
        <v>0</v>
      </c>
      <c r="H150" s="35">
        <f t="shared" si="9"/>
        <v>0</v>
      </c>
      <c r="I150" s="35">
        <f t="shared" si="10"/>
        <v>1892.69</v>
      </c>
      <c r="J150" s="36">
        <f t="shared" si="11"/>
        <v>4.2707308841587865E-3</v>
      </c>
    </row>
    <row r="151" spans="1:10" x14ac:dyDescent="0.3">
      <c r="A151" s="18" t="s">
        <v>37</v>
      </c>
      <c r="B151" s="32">
        <f>IFERROR(INDEX(Contabilidade!$K:$K,MATCH($A151,Contabilidade!$J:$J,0)),"")</f>
        <v>35257918000103</v>
      </c>
      <c r="C151" s="20">
        <f>SUMIFS(Contabilidade!$M:$M,Contabilidade!$J:$J,$A151,Contabilidade!$X:$X,"1. Com nota fiscal recolhida")</f>
        <v>0</v>
      </c>
      <c r="D151" s="20">
        <f>SUMIFS(Contabilidade!$M:$M,Contabilidade!$J:$J,$A151,Contabilidade!$X:$X,"4. Crédito de estorno (desconto)")</f>
        <v>0</v>
      </c>
      <c r="E151" s="20">
        <f t="shared" si="8"/>
        <v>0</v>
      </c>
      <c r="F151" s="20">
        <f>SUMIFS(Contabilidade!$M:$M,Contabilidade!$J:$J,$A151,Contabilidade!$X:$X,"2. Abastecimento cancelado (sem nota)")</f>
        <v>0</v>
      </c>
      <c r="G151" s="20">
        <f>SUMIFS(Contabilidade!$M:$M,Contabilidade!$J:$J,$A151,Contabilidade!$X:$X,"3. Sem nota fiscal")</f>
        <v>268.52</v>
      </c>
      <c r="H151" s="20">
        <f t="shared" si="9"/>
        <v>268.52</v>
      </c>
      <c r="I151" s="20">
        <f t="shared" si="10"/>
        <v>268.52</v>
      </c>
      <c r="J151" s="21">
        <f t="shared" si="11"/>
        <v>6.0589777354681286E-4</v>
      </c>
    </row>
    <row r="152" spans="1:10" x14ac:dyDescent="0.3">
      <c r="A152" s="33" t="s">
        <v>176</v>
      </c>
      <c r="B152" s="34">
        <f>IFERROR(INDEX(Contabilidade!$K:$K,MATCH($A152,Contabilidade!$J:$J,0)),"")</f>
        <v>4219621000111</v>
      </c>
      <c r="C152" s="35">
        <f>SUMIFS(Contabilidade!$M:$M,Contabilidade!$J:$J,$A152,Contabilidade!$X:$X,"1. Com nota fiscal recolhida")</f>
        <v>3419.6299999999997</v>
      </c>
      <c r="D152" s="35">
        <f>SUMIFS(Contabilidade!$M:$M,Contabilidade!$J:$J,$A152,Contabilidade!$X:$X,"4. Crédito de estorno (desconto)")</f>
        <v>0</v>
      </c>
      <c r="E152" s="35">
        <f t="shared" si="8"/>
        <v>3419.6299999999997</v>
      </c>
      <c r="F152" s="35">
        <f>SUMIFS(Contabilidade!$M:$M,Contabilidade!$J:$J,$A152,Contabilidade!$X:$X,"2. Abastecimento cancelado (sem nota)")</f>
        <v>0</v>
      </c>
      <c r="G152" s="35">
        <f>SUMIFS(Contabilidade!$M:$M,Contabilidade!$J:$J,$A152,Contabilidade!$X:$X,"3. Sem nota fiscal")</f>
        <v>0</v>
      </c>
      <c r="H152" s="35">
        <f t="shared" si="9"/>
        <v>0</v>
      </c>
      <c r="I152" s="35">
        <f t="shared" si="10"/>
        <v>3419.6299999999997</v>
      </c>
      <c r="J152" s="36">
        <f t="shared" si="11"/>
        <v>7.7161708749958575E-3</v>
      </c>
    </row>
    <row r="153" spans="1:10" x14ac:dyDescent="0.3">
      <c r="A153" s="18" t="s">
        <v>664</v>
      </c>
      <c r="B153" s="32">
        <f>IFERROR(INDEX(Contabilidade!$K:$K,MATCH($A153,Contabilidade!$J:$J,0)),"")</f>
        <v>7473735023122</v>
      </c>
      <c r="C153" s="20">
        <f>SUMIFS(Contabilidade!$M:$M,Contabilidade!$J:$J,$A153,Contabilidade!$X:$X,"1. Com nota fiscal recolhida")</f>
        <v>0</v>
      </c>
      <c r="D153" s="20">
        <f>SUMIFS(Contabilidade!$M:$M,Contabilidade!$J:$J,$A153,Contabilidade!$X:$X,"4. Crédito de estorno (desconto)")</f>
        <v>0</v>
      </c>
      <c r="E153" s="20">
        <f t="shared" si="8"/>
        <v>0</v>
      </c>
      <c r="F153" s="20">
        <f>SUMIFS(Contabilidade!$M:$M,Contabilidade!$J:$J,$A153,Contabilidade!$X:$X,"2. Abastecimento cancelado (sem nota)")</f>
        <v>0</v>
      </c>
      <c r="G153" s="20">
        <f>SUMIFS(Contabilidade!$M:$M,Contabilidade!$J:$J,$A153,Contabilidade!$X:$X,"3. Sem nota fiscal")</f>
        <v>659.73</v>
      </c>
      <c r="H153" s="20">
        <f t="shared" si="9"/>
        <v>659.73</v>
      </c>
      <c r="I153" s="20">
        <f t="shared" si="10"/>
        <v>659.73</v>
      </c>
      <c r="J153" s="21">
        <f t="shared" si="11"/>
        <v>1.4886374874945587E-3</v>
      </c>
    </row>
    <row r="154" spans="1:10" x14ac:dyDescent="0.3">
      <c r="A154" s="33" t="s">
        <v>1768</v>
      </c>
      <c r="B154" s="34">
        <f>IFERROR(INDEX(Contabilidade!$K:$K,MATCH($A154,Contabilidade!$J:$J,0)),"")</f>
        <v>7473735024528</v>
      </c>
      <c r="C154" s="35">
        <f>SUMIFS(Contabilidade!$M:$M,Contabilidade!$J:$J,$A154,Contabilidade!$X:$X,"1. Com nota fiscal recolhida")</f>
        <v>0</v>
      </c>
      <c r="D154" s="35">
        <f>SUMIFS(Contabilidade!$M:$M,Contabilidade!$J:$J,$A154,Contabilidade!$X:$X,"4. Crédito de estorno (desconto)")</f>
        <v>0</v>
      </c>
      <c r="E154" s="35">
        <f t="shared" si="8"/>
        <v>0</v>
      </c>
      <c r="F154" s="35">
        <f>SUMIFS(Contabilidade!$M:$M,Contabilidade!$J:$J,$A154,Contabilidade!$X:$X,"2. Abastecimento cancelado (sem nota)")</f>
        <v>0</v>
      </c>
      <c r="G154" s="35">
        <f>SUMIFS(Contabilidade!$M:$M,Contabilidade!$J:$J,$A154,Contabilidade!$X:$X,"3. Sem nota fiscal")</f>
        <v>835.76</v>
      </c>
      <c r="H154" s="35">
        <f t="shared" si="9"/>
        <v>835.76</v>
      </c>
      <c r="I154" s="35">
        <f t="shared" si="10"/>
        <v>835.76</v>
      </c>
      <c r="J154" s="36">
        <f t="shared" si="11"/>
        <v>1.8858376404717874E-3</v>
      </c>
    </row>
    <row r="155" spans="1:10" x14ac:dyDescent="0.3">
      <c r="A155" s="18" t="s">
        <v>379</v>
      </c>
      <c r="B155" s="32">
        <f>IFERROR(INDEX(Contabilidade!$K:$K,MATCH($A155,Contabilidade!$J:$J,0)),"")</f>
        <v>7473735024609</v>
      </c>
      <c r="C155" s="20">
        <f>SUMIFS(Contabilidade!$M:$M,Contabilidade!$J:$J,$A155,Contabilidade!$X:$X,"1. Com nota fiscal recolhida")</f>
        <v>0</v>
      </c>
      <c r="D155" s="20">
        <f>SUMIFS(Contabilidade!$M:$M,Contabilidade!$J:$J,$A155,Contabilidade!$X:$X,"4. Crédito de estorno (desconto)")</f>
        <v>0</v>
      </c>
      <c r="E155" s="20">
        <f t="shared" si="8"/>
        <v>0</v>
      </c>
      <c r="F155" s="20">
        <f>SUMIFS(Contabilidade!$M:$M,Contabilidade!$J:$J,$A155,Contabilidade!$X:$X,"2. Abastecimento cancelado (sem nota)")</f>
        <v>0</v>
      </c>
      <c r="G155" s="20">
        <f>SUMIFS(Contabilidade!$M:$M,Contabilidade!$J:$J,$A155,Contabilidade!$X:$X,"3. Sem nota fiscal")</f>
        <v>672.29</v>
      </c>
      <c r="H155" s="20">
        <f t="shared" si="9"/>
        <v>672.29</v>
      </c>
      <c r="I155" s="20">
        <f t="shared" si="10"/>
        <v>672.29</v>
      </c>
      <c r="J155" s="21">
        <f t="shared" si="11"/>
        <v>1.5169783039542188E-3</v>
      </c>
    </row>
    <row r="156" spans="1:10" x14ac:dyDescent="0.3">
      <c r="A156" s="33" t="s">
        <v>480</v>
      </c>
      <c r="B156" s="34">
        <f>IFERROR(INDEX(Contabilidade!$K:$K,MATCH($A156,Contabilidade!$J:$J,0)),"")</f>
        <v>7473735019877</v>
      </c>
      <c r="C156" s="35">
        <f>SUMIFS(Contabilidade!$M:$M,Contabilidade!$J:$J,$A156,Contabilidade!$X:$X,"1. Com nota fiscal recolhida")</f>
        <v>2350.75</v>
      </c>
      <c r="D156" s="35">
        <f>SUMIFS(Contabilidade!$M:$M,Contabilidade!$J:$J,$A156,Contabilidade!$X:$X,"4. Crédito de estorno (desconto)")</f>
        <v>-251.86</v>
      </c>
      <c r="E156" s="35">
        <f t="shared" si="8"/>
        <v>2098.89</v>
      </c>
      <c r="F156" s="35">
        <f>SUMIFS(Contabilidade!$M:$M,Contabilidade!$J:$J,$A156,Contabilidade!$X:$X,"2. Abastecimento cancelado (sem nota)")</f>
        <v>0</v>
      </c>
      <c r="G156" s="35">
        <f>SUMIFS(Contabilidade!$M:$M,Contabilidade!$J:$J,$A156,Contabilidade!$X:$X,"3. Sem nota fiscal")</f>
        <v>0</v>
      </c>
      <c r="H156" s="35">
        <f t="shared" si="9"/>
        <v>0</v>
      </c>
      <c r="I156" s="35">
        <f t="shared" si="10"/>
        <v>2098.89</v>
      </c>
      <c r="J156" s="36">
        <f t="shared" si="11"/>
        <v>4.7360076639344191E-3</v>
      </c>
    </row>
    <row r="157" spans="1:10" x14ac:dyDescent="0.3">
      <c r="A157" s="18" t="s">
        <v>279</v>
      </c>
      <c r="B157" s="32">
        <f>IFERROR(INDEX(Contabilidade!$K:$K,MATCH($A157,Contabilidade!$J:$J,0)),"")</f>
        <v>7473735014646</v>
      </c>
      <c r="C157" s="20">
        <f>SUMIFS(Contabilidade!$M:$M,Contabilidade!$J:$J,$A157,Contabilidade!$X:$X,"1. Com nota fiscal recolhida")</f>
        <v>1255.05</v>
      </c>
      <c r="D157" s="20">
        <f>SUMIFS(Contabilidade!$M:$M,Contabilidade!$J:$J,$A157,Contabilidade!$X:$X,"4. Crédito de estorno (desconto)")</f>
        <v>0</v>
      </c>
      <c r="E157" s="20">
        <f t="shared" si="8"/>
        <v>1255.05</v>
      </c>
      <c r="F157" s="20">
        <f>SUMIFS(Contabilidade!$M:$M,Contabilidade!$J:$J,$A157,Contabilidade!$X:$X,"2. Abastecimento cancelado (sem nota)")</f>
        <v>0</v>
      </c>
      <c r="G157" s="20">
        <f>SUMIFS(Contabilidade!$M:$M,Contabilidade!$J:$J,$A157,Contabilidade!$X:$X,"3. Sem nota fiscal")</f>
        <v>0</v>
      </c>
      <c r="H157" s="20">
        <f t="shared" si="9"/>
        <v>0</v>
      </c>
      <c r="I157" s="20">
        <f t="shared" si="10"/>
        <v>1255.05</v>
      </c>
      <c r="J157" s="21">
        <f t="shared" si="11"/>
        <v>2.8319380332560984E-3</v>
      </c>
    </row>
    <row r="158" spans="1:10" x14ac:dyDescent="0.3">
      <c r="A158" s="33" t="s">
        <v>3999</v>
      </c>
      <c r="B158" s="34">
        <f>IFERROR(INDEX(Contabilidade!$K:$K,MATCH($A158,Contabilidade!$J:$J,0)),"")</f>
        <v>7473735022908</v>
      </c>
      <c r="C158" s="35">
        <f>SUMIFS(Contabilidade!$M:$M,Contabilidade!$J:$J,$A158,Contabilidade!$X:$X,"1. Com nota fiscal recolhida")</f>
        <v>228.08</v>
      </c>
      <c r="D158" s="35">
        <f>SUMIFS(Contabilidade!$M:$M,Contabilidade!$J:$J,$A158,Contabilidade!$X:$X,"4. Crédito de estorno (desconto)")</f>
        <v>0</v>
      </c>
      <c r="E158" s="35">
        <f t="shared" si="8"/>
        <v>228.08</v>
      </c>
      <c r="F158" s="35">
        <f>SUMIFS(Contabilidade!$M:$M,Contabilidade!$J:$J,$A158,Contabilidade!$X:$X,"2. Abastecimento cancelado (sem nota)")</f>
        <v>0</v>
      </c>
      <c r="G158" s="35">
        <f>SUMIFS(Contabilidade!$M:$M,Contabilidade!$J:$J,$A158,Contabilidade!$X:$X,"3. Sem nota fiscal")</f>
        <v>0</v>
      </c>
      <c r="H158" s="35">
        <f t="shared" si="9"/>
        <v>0</v>
      </c>
      <c r="I158" s="35">
        <f t="shared" si="10"/>
        <v>228.08</v>
      </c>
      <c r="J158" s="36">
        <f t="shared" si="11"/>
        <v>5.1464756513688772E-4</v>
      </c>
    </row>
    <row r="159" spans="1:10" x14ac:dyDescent="0.3">
      <c r="A159" s="18" t="s">
        <v>3155</v>
      </c>
      <c r="B159" s="32">
        <f>IFERROR(INDEX(Contabilidade!$K:$K,MATCH($A159,Contabilidade!$J:$J,0)),"")</f>
        <v>7473735017580</v>
      </c>
      <c r="C159" s="20">
        <f>SUMIFS(Contabilidade!$M:$M,Contabilidade!$J:$J,$A159,Contabilidade!$X:$X,"1. Com nota fiscal recolhida")</f>
        <v>204.91</v>
      </c>
      <c r="D159" s="20">
        <f>SUMIFS(Contabilidade!$M:$M,Contabilidade!$J:$J,$A159,Contabilidade!$X:$X,"4. Crédito de estorno (desconto)")</f>
        <v>0</v>
      </c>
      <c r="E159" s="20">
        <f t="shared" si="8"/>
        <v>204.91</v>
      </c>
      <c r="F159" s="20">
        <f>SUMIFS(Contabilidade!$M:$M,Contabilidade!$J:$J,$A159,Contabilidade!$X:$X,"2. Abastecimento cancelado (sem nota)")</f>
        <v>0</v>
      </c>
      <c r="G159" s="20">
        <f>SUMIFS(Contabilidade!$M:$M,Contabilidade!$J:$J,$A159,Contabilidade!$X:$X,"3. Sem nota fiscal")</f>
        <v>0</v>
      </c>
      <c r="H159" s="20">
        <f t="shared" si="9"/>
        <v>0</v>
      </c>
      <c r="I159" s="20">
        <f t="shared" si="10"/>
        <v>204.91</v>
      </c>
      <c r="J159" s="21">
        <f t="shared" si="11"/>
        <v>4.6236597935899539E-4</v>
      </c>
    </row>
    <row r="160" spans="1:10" x14ac:dyDescent="0.3">
      <c r="A160" s="33" t="s">
        <v>464</v>
      </c>
      <c r="B160" s="34">
        <f>IFERROR(INDEX(Contabilidade!$K:$K,MATCH($A160,Contabilidade!$J:$J,0)),"")</f>
        <v>7473735012350</v>
      </c>
      <c r="C160" s="35">
        <f>SUMIFS(Contabilidade!$M:$M,Contabilidade!$J:$J,$A160,Contabilidade!$X:$X,"1. Com nota fiscal recolhida")</f>
        <v>136.65</v>
      </c>
      <c r="D160" s="35">
        <f>SUMIFS(Contabilidade!$M:$M,Contabilidade!$J:$J,$A160,Contabilidade!$X:$X,"4. Crédito de estorno (desconto)")</f>
        <v>0</v>
      </c>
      <c r="E160" s="35">
        <f t="shared" si="8"/>
        <v>136.65</v>
      </c>
      <c r="F160" s="35">
        <f>SUMIFS(Contabilidade!$M:$M,Contabilidade!$J:$J,$A160,Contabilidade!$X:$X,"2. Abastecimento cancelado (sem nota)")</f>
        <v>0</v>
      </c>
      <c r="G160" s="35">
        <f>SUMIFS(Contabilidade!$M:$M,Contabilidade!$J:$J,$A160,Contabilidade!$X:$X,"3. Sem nota fiscal")</f>
        <v>517.18999999999994</v>
      </c>
      <c r="H160" s="35">
        <f t="shared" si="9"/>
        <v>517.18999999999994</v>
      </c>
      <c r="I160" s="35">
        <f t="shared" si="10"/>
        <v>653.83999999999992</v>
      </c>
      <c r="J160" s="36">
        <f t="shared" si="11"/>
        <v>1.475347088693014E-3</v>
      </c>
    </row>
    <row r="161" spans="1:10" x14ac:dyDescent="0.3">
      <c r="A161" s="18" t="s">
        <v>75</v>
      </c>
      <c r="B161" s="32">
        <f>IFERROR(INDEX(Contabilidade!$K:$K,MATCH($A161,Contabilidade!$J:$J,0)),"")</f>
        <v>7473735000858</v>
      </c>
      <c r="C161" s="20">
        <f>SUMIFS(Contabilidade!$M:$M,Contabilidade!$J:$J,$A161,Contabilidade!$X:$X,"1. Com nota fiscal recolhida")</f>
        <v>0</v>
      </c>
      <c r="D161" s="20">
        <f>SUMIFS(Contabilidade!$M:$M,Contabilidade!$J:$J,$A161,Contabilidade!$X:$X,"4. Crédito de estorno (desconto)")</f>
        <v>0</v>
      </c>
      <c r="E161" s="20">
        <f t="shared" si="8"/>
        <v>0</v>
      </c>
      <c r="F161" s="20">
        <f>SUMIFS(Contabilidade!$M:$M,Contabilidade!$J:$J,$A161,Contabilidade!$X:$X,"2. Abastecimento cancelado (sem nota)")</f>
        <v>0</v>
      </c>
      <c r="G161" s="20">
        <f>SUMIFS(Contabilidade!$M:$M,Contabilidade!$J:$J,$A161,Contabilidade!$X:$X,"3. Sem nota fiscal")</f>
        <v>379.92</v>
      </c>
      <c r="H161" s="20">
        <f t="shared" si="9"/>
        <v>379.92</v>
      </c>
      <c r="I161" s="20">
        <f t="shared" si="10"/>
        <v>379.92</v>
      </c>
      <c r="J161" s="21">
        <f t="shared" si="11"/>
        <v>8.5726456921609261E-4</v>
      </c>
    </row>
    <row r="162" spans="1:10" x14ac:dyDescent="0.3">
      <c r="A162" s="33" t="s">
        <v>237</v>
      </c>
      <c r="B162" s="34">
        <f>IFERROR(INDEX(Contabilidade!$K:$K,MATCH($A162,Contabilidade!$J:$J,0)),"")</f>
        <v>7473735006112</v>
      </c>
      <c r="C162" s="35">
        <f>SUMIFS(Contabilidade!$M:$M,Contabilidade!$J:$J,$A162,Contabilidade!$X:$X,"1. Com nota fiscal recolhida")</f>
        <v>784.03000000000009</v>
      </c>
      <c r="D162" s="35">
        <f>SUMIFS(Contabilidade!$M:$M,Contabilidade!$J:$J,$A162,Contabilidade!$X:$X,"4. Crédito de estorno (desconto)")</f>
        <v>0</v>
      </c>
      <c r="E162" s="35">
        <f t="shared" si="8"/>
        <v>784.03000000000009</v>
      </c>
      <c r="F162" s="35">
        <f>SUMIFS(Contabilidade!$M:$M,Contabilidade!$J:$J,$A162,Contabilidade!$X:$X,"2. Abastecimento cancelado (sem nota)")</f>
        <v>0</v>
      </c>
      <c r="G162" s="35">
        <f>SUMIFS(Contabilidade!$M:$M,Contabilidade!$J:$J,$A162,Contabilidade!$X:$X,"3. Sem nota fiscal")</f>
        <v>0</v>
      </c>
      <c r="H162" s="35">
        <f t="shared" si="9"/>
        <v>0</v>
      </c>
      <c r="I162" s="35">
        <f t="shared" si="10"/>
        <v>784.03000000000009</v>
      </c>
      <c r="J162" s="36">
        <f t="shared" si="11"/>
        <v>1.7691122873302093E-3</v>
      </c>
    </row>
    <row r="163" spans="1:10" x14ac:dyDescent="0.3">
      <c r="A163" s="18" t="s">
        <v>262</v>
      </c>
      <c r="B163" s="32">
        <f>IFERROR(INDEX(Contabilidade!$K:$K,MATCH($A163,Contabilidade!$J:$J,0)),"")</f>
        <v>7473735001587</v>
      </c>
      <c r="C163" s="20">
        <f>SUMIFS(Contabilidade!$M:$M,Contabilidade!$J:$J,$A163,Contabilidade!$X:$X,"1. Com nota fiscal recolhida")</f>
        <v>856.15000000000009</v>
      </c>
      <c r="D163" s="20">
        <f>SUMIFS(Contabilidade!$M:$M,Contabilidade!$J:$J,$A163,Contabilidade!$X:$X,"4. Crédito de estorno (desconto)")</f>
        <v>0</v>
      </c>
      <c r="E163" s="20">
        <f t="shared" si="8"/>
        <v>856.15000000000009</v>
      </c>
      <c r="F163" s="20">
        <f>SUMIFS(Contabilidade!$M:$M,Contabilidade!$J:$J,$A163,Contabilidade!$X:$X,"2. Abastecimento cancelado (sem nota)")</f>
        <v>0</v>
      </c>
      <c r="G163" s="20">
        <f>SUMIFS(Contabilidade!$M:$M,Contabilidade!$J:$J,$A163,Contabilidade!$X:$X,"3. Sem nota fiscal")</f>
        <v>625.39</v>
      </c>
      <c r="H163" s="20">
        <f t="shared" si="9"/>
        <v>625.39</v>
      </c>
      <c r="I163" s="20">
        <f t="shared" si="10"/>
        <v>1481.54</v>
      </c>
      <c r="J163" s="21">
        <f t="shared" si="11"/>
        <v>3.3429978676468987E-3</v>
      </c>
    </row>
    <row r="164" spans="1:10" x14ac:dyDescent="0.3">
      <c r="A164" s="33" t="s">
        <v>79</v>
      </c>
      <c r="B164" s="34">
        <f>IFERROR(INDEX(Contabilidade!$K:$K,MATCH($A164,Contabilidade!$J:$J,0)),"")</f>
        <v>7473735000777</v>
      </c>
      <c r="C164" s="35">
        <f>SUMIFS(Contabilidade!$M:$M,Contabilidade!$J:$J,$A164,Contabilidade!$X:$X,"1. Com nota fiscal recolhida")</f>
        <v>2029.13</v>
      </c>
      <c r="D164" s="35">
        <f>SUMIFS(Contabilidade!$M:$M,Contabilidade!$J:$J,$A164,Contabilidade!$X:$X,"4. Crédito de estorno (desconto)")</f>
        <v>0</v>
      </c>
      <c r="E164" s="35">
        <f t="shared" si="8"/>
        <v>2029.13</v>
      </c>
      <c r="F164" s="35">
        <f>SUMIFS(Contabilidade!$M:$M,Contabilidade!$J:$J,$A164,Contabilidade!$X:$X,"2. Abastecimento cancelado (sem nota)")</f>
        <v>0</v>
      </c>
      <c r="G164" s="35">
        <f>SUMIFS(Contabilidade!$M:$M,Contabilidade!$J:$J,$A164,Contabilidade!$X:$X,"3. Sem nota fiscal")</f>
        <v>1349.2800000000002</v>
      </c>
      <c r="H164" s="35">
        <f t="shared" si="9"/>
        <v>1349.2800000000002</v>
      </c>
      <c r="I164" s="35">
        <f t="shared" si="10"/>
        <v>3378.4100000000003</v>
      </c>
      <c r="J164" s="36">
        <f t="shared" si="11"/>
        <v>7.6231606477293627E-3</v>
      </c>
    </row>
    <row r="165" spans="1:10" x14ac:dyDescent="0.3">
      <c r="A165" s="18" t="s">
        <v>1340</v>
      </c>
      <c r="B165" s="32">
        <f>IFERROR(INDEX(Contabilidade!$K:$K,MATCH($A165,Contabilidade!$J:$J,0)),"")</f>
        <v>7473735001153</v>
      </c>
      <c r="C165" s="20">
        <f>SUMIFS(Contabilidade!$M:$M,Contabilidade!$J:$J,$A165,Contabilidade!$X:$X,"1. Com nota fiscal recolhida")</f>
        <v>0</v>
      </c>
      <c r="D165" s="20">
        <f>SUMIFS(Contabilidade!$M:$M,Contabilidade!$J:$J,$A165,Contabilidade!$X:$X,"4. Crédito de estorno (desconto)")</f>
        <v>0</v>
      </c>
      <c r="E165" s="20">
        <f t="shared" si="8"/>
        <v>0</v>
      </c>
      <c r="F165" s="20">
        <f>SUMIFS(Contabilidade!$M:$M,Contabilidade!$J:$J,$A165,Contabilidade!$X:$X,"2. Abastecimento cancelado (sem nota)")</f>
        <v>0</v>
      </c>
      <c r="G165" s="20">
        <f>SUMIFS(Contabilidade!$M:$M,Contabilidade!$J:$J,$A165,Contabilidade!$X:$X,"3. Sem nota fiscal")</f>
        <v>173.13</v>
      </c>
      <c r="H165" s="20">
        <f t="shared" si="9"/>
        <v>173.13</v>
      </c>
      <c r="I165" s="20">
        <f t="shared" si="10"/>
        <v>173.13</v>
      </c>
      <c r="J165" s="21">
        <f t="shared" si="11"/>
        <v>3.9065649312587414E-4</v>
      </c>
    </row>
    <row r="166" spans="1:10" x14ac:dyDescent="0.3">
      <c r="A166" s="33" t="s">
        <v>578</v>
      </c>
      <c r="B166" s="34">
        <f>IFERROR(INDEX(Contabilidade!$K:$K,MATCH($A166,Contabilidade!$J:$J,0)),"")</f>
        <v>7473735004250</v>
      </c>
      <c r="C166" s="35">
        <f>SUMIFS(Contabilidade!$M:$M,Contabilidade!$J:$J,$A166,Contabilidade!$X:$X,"1. Com nota fiscal recolhida")</f>
        <v>98.06</v>
      </c>
      <c r="D166" s="35">
        <f>SUMIFS(Contabilidade!$M:$M,Contabilidade!$J:$J,$A166,Contabilidade!$X:$X,"4. Crédito de estorno (desconto)")</f>
        <v>0</v>
      </c>
      <c r="E166" s="35">
        <f t="shared" si="8"/>
        <v>98.06</v>
      </c>
      <c r="F166" s="35">
        <f>SUMIFS(Contabilidade!$M:$M,Contabilidade!$J:$J,$A166,Contabilidade!$X:$X,"2. Abastecimento cancelado (sem nota)")</f>
        <v>0</v>
      </c>
      <c r="G166" s="35">
        <f>SUMIFS(Contabilidade!$M:$M,Contabilidade!$J:$J,$A166,Contabilidade!$X:$X,"3. Sem nota fiscal")</f>
        <v>0</v>
      </c>
      <c r="H166" s="35">
        <f t="shared" si="9"/>
        <v>0</v>
      </c>
      <c r="I166" s="35">
        <f t="shared" si="10"/>
        <v>98.06</v>
      </c>
      <c r="J166" s="36">
        <f t="shared" si="11"/>
        <v>2.2126596035304812E-4</v>
      </c>
    </row>
    <row r="167" spans="1:10" x14ac:dyDescent="0.3">
      <c r="A167" s="18" t="s">
        <v>2262</v>
      </c>
      <c r="B167" s="32">
        <f>IFERROR(INDEX(Contabilidade!$K:$K,MATCH($A167,Contabilidade!$J:$J,0)),"")</f>
        <v>7473735014212</v>
      </c>
      <c r="C167" s="20">
        <f>SUMIFS(Contabilidade!$M:$M,Contabilidade!$J:$J,$A167,Contabilidade!$X:$X,"1. Com nota fiscal recolhida")</f>
        <v>136.87</v>
      </c>
      <c r="D167" s="20">
        <f>SUMIFS(Contabilidade!$M:$M,Contabilidade!$J:$J,$A167,Contabilidade!$X:$X,"4. Crédito de estorno (desconto)")</f>
        <v>0</v>
      </c>
      <c r="E167" s="20">
        <f t="shared" si="8"/>
        <v>136.87</v>
      </c>
      <c r="F167" s="20">
        <f>SUMIFS(Contabilidade!$M:$M,Contabilidade!$J:$J,$A167,Contabilidade!$X:$X,"2. Abastecimento cancelado (sem nota)")</f>
        <v>0</v>
      </c>
      <c r="G167" s="20">
        <f>SUMIFS(Contabilidade!$M:$M,Contabilidade!$J:$J,$A167,Contabilidade!$X:$X,"3. Sem nota fiscal")</f>
        <v>0</v>
      </c>
      <c r="H167" s="20">
        <f t="shared" si="9"/>
        <v>0</v>
      </c>
      <c r="I167" s="20">
        <f t="shared" si="10"/>
        <v>136.87</v>
      </c>
      <c r="J167" s="21">
        <f t="shared" si="11"/>
        <v>3.0883818063962568E-4</v>
      </c>
    </row>
    <row r="168" spans="1:10" x14ac:dyDescent="0.3">
      <c r="A168" s="33" t="s">
        <v>384</v>
      </c>
      <c r="B168" s="34">
        <f>IFERROR(INDEX(Contabilidade!$K:$K,MATCH($A168,Contabilidade!$J:$J,0)),"")</f>
        <v>7473735003520</v>
      </c>
      <c r="C168" s="35">
        <f>SUMIFS(Contabilidade!$M:$M,Contabilidade!$J:$J,$A168,Contabilidade!$X:$X,"1. Com nota fiscal recolhida")</f>
        <v>0</v>
      </c>
      <c r="D168" s="35">
        <f>SUMIFS(Contabilidade!$M:$M,Contabilidade!$J:$J,$A168,Contabilidade!$X:$X,"4. Crédito de estorno (desconto)")</f>
        <v>0</v>
      </c>
      <c r="E168" s="35">
        <f t="shared" si="8"/>
        <v>0</v>
      </c>
      <c r="F168" s="35">
        <f>SUMIFS(Contabilidade!$M:$M,Contabilidade!$J:$J,$A168,Contabilidade!$X:$X,"2. Abastecimento cancelado (sem nota)")</f>
        <v>0</v>
      </c>
      <c r="G168" s="35">
        <f>SUMIFS(Contabilidade!$M:$M,Contabilidade!$J:$J,$A168,Contabilidade!$X:$X,"3. Sem nota fiscal")</f>
        <v>276.45999999999998</v>
      </c>
      <c r="H168" s="35">
        <f t="shared" si="9"/>
        <v>276.45999999999998</v>
      </c>
      <c r="I168" s="35">
        <f t="shared" si="10"/>
        <v>276.45999999999998</v>
      </c>
      <c r="J168" s="36">
        <f t="shared" si="11"/>
        <v>6.2381386293293569E-4</v>
      </c>
    </row>
    <row r="169" spans="1:10" x14ac:dyDescent="0.3">
      <c r="A169" s="18" t="s">
        <v>1530</v>
      </c>
      <c r="B169" s="32">
        <f>IFERROR(INDEX(Contabilidade!$K:$K,MATCH($A169,Contabilidade!$J:$J,0)),"")</f>
        <v>7473735007941</v>
      </c>
      <c r="C169" s="20">
        <f>SUMIFS(Contabilidade!$M:$M,Contabilidade!$J:$J,$A169,Contabilidade!$X:$X,"1. Com nota fiscal recolhida")</f>
        <v>360.35</v>
      </c>
      <c r="D169" s="20">
        <f>SUMIFS(Contabilidade!$M:$M,Contabilidade!$J:$J,$A169,Contabilidade!$X:$X,"4. Crédito de estorno (desconto)")</f>
        <v>0</v>
      </c>
      <c r="E169" s="20">
        <f t="shared" si="8"/>
        <v>360.35</v>
      </c>
      <c r="F169" s="20">
        <f>SUMIFS(Contabilidade!$M:$M,Contabilidade!$J:$J,$A169,Contabilidade!$X:$X,"2. Abastecimento cancelado (sem nota)")</f>
        <v>0</v>
      </c>
      <c r="G169" s="20">
        <f>SUMIFS(Contabilidade!$M:$M,Contabilidade!$J:$J,$A169,Contabilidade!$X:$X,"3. Sem nota fiscal")</f>
        <v>665.26</v>
      </c>
      <c r="H169" s="20">
        <f t="shared" si="9"/>
        <v>665.26</v>
      </c>
      <c r="I169" s="20">
        <f t="shared" si="10"/>
        <v>1025.6100000000001</v>
      </c>
      <c r="J169" s="21">
        <f t="shared" si="11"/>
        <v>2.3142217172923687E-3</v>
      </c>
    </row>
    <row r="170" spans="1:10" x14ac:dyDescent="0.3">
      <c r="A170" s="33" t="s">
        <v>693</v>
      </c>
      <c r="B170" s="34">
        <f>IFERROR(INDEX(Contabilidade!$K:$K,MATCH($A170,Contabilidade!$J:$J,0)),"")</f>
        <v>7473735018048</v>
      </c>
      <c r="C170" s="35">
        <f>SUMIFS(Contabilidade!$M:$M,Contabilidade!$J:$J,$A170,Contabilidade!$X:$X,"1. Com nota fiscal recolhida")</f>
        <v>253.19</v>
      </c>
      <c r="D170" s="35">
        <f>SUMIFS(Contabilidade!$M:$M,Contabilidade!$J:$J,$A170,Contabilidade!$X:$X,"4. Crédito de estorno (desconto)")</f>
        <v>0</v>
      </c>
      <c r="E170" s="35">
        <f t="shared" si="8"/>
        <v>253.19</v>
      </c>
      <c r="F170" s="35">
        <f>SUMIFS(Contabilidade!$M:$M,Contabilidade!$J:$J,$A170,Contabilidade!$X:$X,"2. Abastecimento cancelado (sem nota)")</f>
        <v>0</v>
      </c>
      <c r="G170" s="35">
        <f>SUMIFS(Contabilidade!$M:$M,Contabilidade!$J:$J,$A170,Contabilidade!$X:$X,"3. Sem nota fiscal")</f>
        <v>0</v>
      </c>
      <c r="H170" s="35">
        <f t="shared" si="9"/>
        <v>0</v>
      </c>
      <c r="I170" s="35">
        <f t="shared" si="10"/>
        <v>253.19</v>
      </c>
      <c r="J170" s="36">
        <f t="shared" si="11"/>
        <v>5.7130663371189323E-4</v>
      </c>
    </row>
    <row r="171" spans="1:10" x14ac:dyDescent="0.3">
      <c r="A171" s="18" t="s">
        <v>633</v>
      </c>
      <c r="B171" s="32">
        <f>IFERROR(INDEX(Contabilidade!$K:$K,MATCH($A171,Contabilidade!$J:$J,0)),"")</f>
        <v>7473735003369</v>
      </c>
      <c r="C171" s="20">
        <f>SUMIFS(Contabilidade!$M:$M,Contabilidade!$J:$J,$A171,Contabilidade!$X:$X,"1. Com nota fiscal recolhida")</f>
        <v>0</v>
      </c>
      <c r="D171" s="20">
        <f>SUMIFS(Contabilidade!$M:$M,Contabilidade!$J:$J,$A171,Contabilidade!$X:$X,"4. Crédito de estorno (desconto)")</f>
        <v>0</v>
      </c>
      <c r="E171" s="20">
        <f t="shared" si="8"/>
        <v>0</v>
      </c>
      <c r="F171" s="20">
        <f>SUMIFS(Contabilidade!$M:$M,Contabilidade!$J:$J,$A171,Contabilidade!$X:$X,"2. Abastecimento cancelado (sem nota)")</f>
        <v>0</v>
      </c>
      <c r="G171" s="20">
        <f>SUMIFS(Contabilidade!$M:$M,Contabilidade!$J:$J,$A171,Contabilidade!$X:$X,"3. Sem nota fiscal")</f>
        <v>202.51</v>
      </c>
      <c r="H171" s="20">
        <f t="shared" si="9"/>
        <v>202.51</v>
      </c>
      <c r="I171" s="20">
        <f t="shared" si="10"/>
        <v>202.51</v>
      </c>
      <c r="J171" s="21">
        <f t="shared" si="11"/>
        <v>4.569505367233915E-4</v>
      </c>
    </row>
    <row r="172" spans="1:10" x14ac:dyDescent="0.3">
      <c r="A172" s="33" t="s">
        <v>626</v>
      </c>
      <c r="B172" s="34">
        <f>IFERROR(INDEX(Contabilidade!$K:$K,MATCH($A172,Contabilidade!$J:$J,0)),"")</f>
        <v>7473735004845</v>
      </c>
      <c r="C172" s="35">
        <f>SUMIFS(Contabilidade!$M:$M,Contabilidade!$J:$J,$A172,Contabilidade!$X:$X,"1. Com nota fiscal recolhida")</f>
        <v>616.35</v>
      </c>
      <c r="D172" s="35">
        <f>SUMIFS(Contabilidade!$M:$M,Contabilidade!$J:$J,$A172,Contabilidade!$X:$X,"4. Crédito de estorno (desconto)")</f>
        <v>0</v>
      </c>
      <c r="E172" s="35">
        <f t="shared" si="8"/>
        <v>616.35</v>
      </c>
      <c r="F172" s="35">
        <f>SUMIFS(Contabilidade!$M:$M,Contabilidade!$J:$J,$A172,Contabilidade!$X:$X,"2. Abastecimento cancelado (sem nota)")</f>
        <v>0</v>
      </c>
      <c r="G172" s="35">
        <f>SUMIFS(Contabilidade!$M:$M,Contabilidade!$J:$J,$A172,Contabilidade!$X:$X,"3. Sem nota fiscal")</f>
        <v>0</v>
      </c>
      <c r="H172" s="35">
        <f t="shared" si="9"/>
        <v>0</v>
      </c>
      <c r="I172" s="35">
        <f t="shared" si="10"/>
        <v>616.35</v>
      </c>
      <c r="J172" s="36">
        <f t="shared" si="11"/>
        <v>1.3907533618560189E-3</v>
      </c>
    </row>
    <row r="173" spans="1:10" x14ac:dyDescent="0.3">
      <c r="A173" s="18" t="s">
        <v>559</v>
      </c>
      <c r="B173" s="32">
        <f>IFERROR(INDEX(Contabilidade!$K:$K,MATCH($A173,Contabilidade!$J:$J,0)),"")</f>
        <v>7473735007356</v>
      </c>
      <c r="C173" s="20">
        <f>SUMIFS(Contabilidade!$M:$M,Contabilidade!$J:$J,$A173,Contabilidade!$X:$X,"1. Com nota fiscal recolhida")</f>
        <v>277.55</v>
      </c>
      <c r="D173" s="20">
        <f>SUMIFS(Contabilidade!$M:$M,Contabilidade!$J:$J,$A173,Contabilidade!$X:$X,"4. Crédito de estorno (desconto)")</f>
        <v>0</v>
      </c>
      <c r="E173" s="20">
        <f t="shared" si="8"/>
        <v>277.55</v>
      </c>
      <c r="F173" s="20">
        <f>SUMIFS(Contabilidade!$M:$M,Contabilidade!$J:$J,$A173,Contabilidade!$X:$X,"2. Abastecimento cancelado (sem nota)")</f>
        <v>0</v>
      </c>
      <c r="G173" s="20">
        <f>SUMIFS(Contabilidade!$M:$M,Contabilidade!$J:$J,$A173,Contabilidade!$X:$X,"3. Sem nota fiscal")</f>
        <v>0</v>
      </c>
      <c r="H173" s="20">
        <f t="shared" si="9"/>
        <v>0</v>
      </c>
      <c r="I173" s="20">
        <f t="shared" si="10"/>
        <v>277.55</v>
      </c>
      <c r="J173" s="21">
        <f t="shared" si="11"/>
        <v>6.2627337646327256E-4</v>
      </c>
    </row>
    <row r="174" spans="1:10" x14ac:dyDescent="0.3">
      <c r="A174" s="33" t="s">
        <v>604</v>
      </c>
      <c r="B174" s="34">
        <f>IFERROR(INDEX(Contabilidade!$K:$K,MATCH($A174,Contabilidade!$J:$J,0)),"")</f>
        <v>7473735013593</v>
      </c>
      <c r="C174" s="35">
        <f>SUMIFS(Contabilidade!$M:$M,Contabilidade!$J:$J,$A174,Contabilidade!$X:$X,"1. Com nota fiscal recolhida")</f>
        <v>194.8</v>
      </c>
      <c r="D174" s="35">
        <f>SUMIFS(Contabilidade!$M:$M,Contabilidade!$J:$J,$A174,Contabilidade!$X:$X,"4. Crédito de estorno (desconto)")</f>
        <v>0</v>
      </c>
      <c r="E174" s="35">
        <f t="shared" si="8"/>
        <v>194.8</v>
      </c>
      <c r="F174" s="35">
        <f>SUMIFS(Contabilidade!$M:$M,Contabilidade!$J:$J,$A174,Contabilidade!$X:$X,"2. Abastecimento cancelado (sem nota)")</f>
        <v>0</v>
      </c>
      <c r="G174" s="35">
        <f>SUMIFS(Contabilidade!$M:$M,Contabilidade!$J:$J,$A174,Contabilidade!$X:$X,"3. Sem nota fiscal")</f>
        <v>0</v>
      </c>
      <c r="H174" s="35">
        <f t="shared" si="9"/>
        <v>0</v>
      </c>
      <c r="I174" s="35">
        <f t="shared" si="10"/>
        <v>194.8</v>
      </c>
      <c r="J174" s="36">
        <f t="shared" si="11"/>
        <v>4.395534272565141E-4</v>
      </c>
    </row>
    <row r="175" spans="1:10" x14ac:dyDescent="0.3">
      <c r="A175" s="18" t="s">
        <v>285</v>
      </c>
      <c r="B175" s="32">
        <f>IFERROR(INDEX(Contabilidade!$K:$K,MATCH($A175,Contabilidade!$J:$J,0)),"")</f>
        <v>7473735012198</v>
      </c>
      <c r="C175" s="20">
        <f>SUMIFS(Contabilidade!$M:$M,Contabilidade!$J:$J,$A175,Contabilidade!$X:$X,"1. Com nota fiscal recolhida")</f>
        <v>0</v>
      </c>
      <c r="D175" s="20">
        <f>SUMIFS(Contabilidade!$M:$M,Contabilidade!$J:$J,$A175,Contabilidade!$X:$X,"4. Crédito de estorno (desconto)")</f>
        <v>0</v>
      </c>
      <c r="E175" s="20">
        <f t="shared" si="8"/>
        <v>0</v>
      </c>
      <c r="F175" s="20">
        <f>SUMIFS(Contabilidade!$M:$M,Contabilidade!$J:$J,$A175,Contabilidade!$X:$X,"2. Abastecimento cancelado (sem nota)")</f>
        <v>0</v>
      </c>
      <c r="G175" s="20">
        <f>SUMIFS(Contabilidade!$M:$M,Contabilidade!$J:$J,$A175,Contabilidade!$X:$X,"3. Sem nota fiscal")</f>
        <v>707.79</v>
      </c>
      <c r="H175" s="20">
        <f t="shared" si="9"/>
        <v>707.79</v>
      </c>
      <c r="I175" s="20">
        <f t="shared" si="10"/>
        <v>707.79</v>
      </c>
      <c r="J175" s="21">
        <f t="shared" si="11"/>
        <v>1.597081726272526E-3</v>
      </c>
    </row>
    <row r="176" spans="1:10" x14ac:dyDescent="0.3">
      <c r="A176" s="33" t="s">
        <v>2639</v>
      </c>
      <c r="B176" s="34">
        <f>IFERROR(INDEX(Contabilidade!$K:$K,MATCH($A176,Contabilidade!$J:$J,0)),"")</f>
        <v>7473735021340</v>
      </c>
      <c r="C176" s="35">
        <f>SUMIFS(Contabilidade!$M:$M,Contabilidade!$J:$J,$A176,Contabilidade!$X:$X,"1. Com nota fiscal recolhida")</f>
        <v>0</v>
      </c>
      <c r="D176" s="35">
        <f>SUMIFS(Contabilidade!$M:$M,Contabilidade!$J:$J,$A176,Contabilidade!$X:$X,"4. Crédito de estorno (desconto)")</f>
        <v>0</v>
      </c>
      <c r="E176" s="35">
        <f t="shared" si="8"/>
        <v>0</v>
      </c>
      <c r="F176" s="35">
        <f>SUMIFS(Contabilidade!$M:$M,Contabilidade!$J:$J,$A176,Contabilidade!$X:$X,"2. Abastecimento cancelado (sem nota)")</f>
        <v>0</v>
      </c>
      <c r="G176" s="35">
        <f>SUMIFS(Contabilidade!$M:$M,Contabilidade!$J:$J,$A176,Contabilidade!$X:$X,"3. Sem nota fiscal")</f>
        <v>295.61</v>
      </c>
      <c r="H176" s="35">
        <f t="shared" si="9"/>
        <v>295.61</v>
      </c>
      <c r="I176" s="35">
        <f t="shared" si="10"/>
        <v>295.61</v>
      </c>
      <c r="J176" s="36">
        <f t="shared" si="11"/>
        <v>6.6702458229619163E-4</v>
      </c>
    </row>
    <row r="177" spans="1:10" x14ac:dyDescent="0.3">
      <c r="A177" s="18" t="s">
        <v>681</v>
      </c>
      <c r="B177" s="32">
        <f>IFERROR(INDEX(Contabilidade!$K:$K,MATCH($A177,Contabilidade!$J:$J,0)),"")</f>
        <v>7473735006465</v>
      </c>
      <c r="C177" s="20">
        <f>SUMIFS(Contabilidade!$M:$M,Contabilidade!$J:$J,$A177,Contabilidade!$X:$X,"1. Com nota fiscal recolhida")</f>
        <v>966.1400000000001</v>
      </c>
      <c r="D177" s="20">
        <f>SUMIFS(Contabilidade!$M:$M,Contabilidade!$J:$J,$A177,Contabilidade!$X:$X,"4. Crédito de estorno (desconto)")</f>
        <v>0</v>
      </c>
      <c r="E177" s="20">
        <f t="shared" si="8"/>
        <v>966.1400000000001</v>
      </c>
      <c r="F177" s="20">
        <f>SUMIFS(Contabilidade!$M:$M,Contabilidade!$J:$J,$A177,Contabilidade!$X:$X,"2. Abastecimento cancelado (sem nota)")</f>
        <v>0</v>
      </c>
      <c r="G177" s="20">
        <f>SUMIFS(Contabilidade!$M:$M,Contabilidade!$J:$J,$A177,Contabilidade!$X:$X,"3. Sem nota fiscal")</f>
        <v>0</v>
      </c>
      <c r="H177" s="20">
        <f t="shared" si="9"/>
        <v>0</v>
      </c>
      <c r="I177" s="20">
        <f t="shared" si="10"/>
        <v>966.1400000000001</v>
      </c>
      <c r="J177" s="21">
        <f t="shared" si="11"/>
        <v>2.1800315616509682E-3</v>
      </c>
    </row>
    <row r="178" spans="1:10" x14ac:dyDescent="0.3">
      <c r="A178" s="33" t="s">
        <v>67</v>
      </c>
      <c r="B178" s="34">
        <f>IFERROR(INDEX(Contabilidade!$K:$K,MATCH($A178,Contabilidade!$J:$J,0)),"")</f>
        <v>7473735006031</v>
      </c>
      <c r="C178" s="35">
        <f>SUMIFS(Contabilidade!$M:$M,Contabilidade!$J:$J,$A178,Contabilidade!$X:$X,"1. Com nota fiscal recolhida")</f>
        <v>3376.99</v>
      </c>
      <c r="D178" s="35">
        <f>SUMIFS(Contabilidade!$M:$M,Contabilidade!$J:$J,$A178,Contabilidade!$X:$X,"4. Crédito de estorno (desconto)")</f>
        <v>0</v>
      </c>
      <c r="E178" s="35">
        <f t="shared" si="8"/>
        <v>3376.99</v>
      </c>
      <c r="F178" s="35">
        <f>SUMIFS(Contabilidade!$M:$M,Contabilidade!$J:$J,$A178,Contabilidade!$X:$X,"2. Abastecimento cancelado (sem nota)")</f>
        <v>0</v>
      </c>
      <c r="G178" s="35">
        <f>SUMIFS(Contabilidade!$M:$M,Contabilidade!$J:$J,$A178,Contabilidade!$X:$X,"3. Sem nota fiscal")</f>
        <v>2463.4499999999998</v>
      </c>
      <c r="H178" s="35">
        <f t="shared" si="9"/>
        <v>2463.4499999999998</v>
      </c>
      <c r="I178" s="35">
        <f t="shared" si="10"/>
        <v>5840.44</v>
      </c>
      <c r="J178" s="36">
        <f t="shared" si="11"/>
        <v>1.3178569911119277E-2</v>
      </c>
    </row>
    <row r="179" spans="1:10" x14ac:dyDescent="0.3">
      <c r="A179" s="18" t="s">
        <v>646</v>
      </c>
      <c r="B179" s="32">
        <f>IFERROR(INDEX(Contabilidade!$K:$K,MATCH($A179,Contabilidade!$J:$J,0)),"")</f>
        <v>7473735009308</v>
      </c>
      <c r="C179" s="20">
        <f>SUMIFS(Contabilidade!$M:$M,Contabilidade!$J:$J,$A179,Contabilidade!$X:$X,"1. Com nota fiscal recolhida")</f>
        <v>503.53</v>
      </c>
      <c r="D179" s="20">
        <f>SUMIFS(Contabilidade!$M:$M,Contabilidade!$J:$J,$A179,Contabilidade!$X:$X,"4. Crédito de estorno (desconto)")</f>
        <v>-141.68</v>
      </c>
      <c r="E179" s="20">
        <f t="shared" si="8"/>
        <v>361.84999999999997</v>
      </c>
      <c r="F179" s="20">
        <f>SUMIFS(Contabilidade!$M:$M,Contabilidade!$J:$J,$A179,Contabilidade!$X:$X,"2. Abastecimento cancelado (sem nota)")</f>
        <v>0</v>
      </c>
      <c r="G179" s="20">
        <f>SUMIFS(Contabilidade!$M:$M,Contabilidade!$J:$J,$A179,Contabilidade!$X:$X,"3. Sem nota fiscal")</f>
        <v>0</v>
      </c>
      <c r="H179" s="20">
        <f t="shared" si="9"/>
        <v>0</v>
      </c>
      <c r="I179" s="20">
        <f t="shared" si="10"/>
        <v>361.84999999999997</v>
      </c>
      <c r="J179" s="21">
        <f t="shared" si="11"/>
        <v>8.1649079903885831E-4</v>
      </c>
    </row>
    <row r="180" spans="1:10" x14ac:dyDescent="0.3">
      <c r="A180" s="33" t="s">
        <v>4103</v>
      </c>
      <c r="B180" s="34">
        <f>IFERROR(INDEX(Contabilidade!$K:$K,MATCH($A180,Contabilidade!$J:$J,0)),"")</f>
        <v>7473735005906</v>
      </c>
      <c r="C180" s="35">
        <f>SUMIFS(Contabilidade!$M:$M,Contabilidade!$J:$J,$A180,Contabilidade!$X:$X,"1. Com nota fiscal recolhida")</f>
        <v>560.35</v>
      </c>
      <c r="D180" s="35">
        <f>SUMIFS(Contabilidade!$M:$M,Contabilidade!$J:$J,$A180,Contabilidade!$X:$X,"4. Crédito de estorno (desconto)")</f>
        <v>0</v>
      </c>
      <c r="E180" s="35">
        <f t="shared" si="8"/>
        <v>560.35</v>
      </c>
      <c r="F180" s="35">
        <f>SUMIFS(Contabilidade!$M:$M,Contabilidade!$J:$J,$A180,Contabilidade!$X:$X,"2. Abastecimento cancelado (sem nota)")</f>
        <v>0</v>
      </c>
      <c r="G180" s="35">
        <f>SUMIFS(Contabilidade!$M:$M,Contabilidade!$J:$J,$A180,Contabilidade!$X:$X,"3. Sem nota fiscal")</f>
        <v>0</v>
      </c>
      <c r="H180" s="35">
        <f t="shared" si="9"/>
        <v>0</v>
      </c>
      <c r="I180" s="35">
        <f t="shared" si="10"/>
        <v>560.35</v>
      </c>
      <c r="J180" s="36">
        <f t="shared" si="11"/>
        <v>1.2643930336919285E-3</v>
      </c>
    </row>
    <row r="181" spans="1:10" x14ac:dyDescent="0.3">
      <c r="A181" s="18" t="s">
        <v>606</v>
      </c>
      <c r="B181" s="32">
        <f>IFERROR(INDEX(Contabilidade!$K:$K,MATCH($A181,Contabilidade!$J:$J,0)),"")</f>
        <v>7473735014999</v>
      </c>
      <c r="C181" s="20">
        <f>SUMIFS(Contabilidade!$M:$M,Contabilidade!$J:$J,$A181,Contabilidade!$X:$X,"1. Com nota fiscal recolhida")</f>
        <v>372.18</v>
      </c>
      <c r="D181" s="20">
        <f>SUMIFS(Contabilidade!$M:$M,Contabilidade!$J:$J,$A181,Contabilidade!$X:$X,"4. Crédito de estorno (desconto)")</f>
        <v>0</v>
      </c>
      <c r="E181" s="20">
        <f t="shared" si="8"/>
        <v>372.18</v>
      </c>
      <c r="F181" s="20">
        <f>SUMIFS(Contabilidade!$M:$M,Contabilidade!$J:$J,$A181,Contabilidade!$X:$X,"2. Abastecimento cancelado (sem nota)")</f>
        <v>0</v>
      </c>
      <c r="G181" s="20">
        <f>SUMIFS(Contabilidade!$M:$M,Contabilidade!$J:$J,$A181,Contabilidade!$X:$X,"3. Sem nota fiscal")</f>
        <v>0</v>
      </c>
      <c r="H181" s="20">
        <f t="shared" si="9"/>
        <v>0</v>
      </c>
      <c r="I181" s="20">
        <f t="shared" si="10"/>
        <v>372.18</v>
      </c>
      <c r="J181" s="21">
        <f t="shared" si="11"/>
        <v>8.3979976671627013E-4</v>
      </c>
    </row>
    <row r="182" spans="1:10" x14ac:dyDescent="0.3">
      <c r="A182" s="33" t="s">
        <v>167</v>
      </c>
      <c r="B182" s="34">
        <f>IFERROR(INDEX(Contabilidade!$K:$K,MATCH($A182,Contabilidade!$J:$J,0)),"")</f>
        <v>7473735016266</v>
      </c>
      <c r="C182" s="35">
        <f>SUMIFS(Contabilidade!$M:$M,Contabilidade!$J:$J,$A182,Contabilidade!$X:$X,"1. Com nota fiscal recolhida")</f>
        <v>0</v>
      </c>
      <c r="D182" s="35">
        <f>SUMIFS(Contabilidade!$M:$M,Contabilidade!$J:$J,$A182,Contabilidade!$X:$X,"4. Crédito de estorno (desconto)")</f>
        <v>0</v>
      </c>
      <c r="E182" s="35">
        <f t="shared" si="8"/>
        <v>0</v>
      </c>
      <c r="F182" s="35">
        <f>SUMIFS(Contabilidade!$M:$M,Contabilidade!$J:$J,$A182,Contabilidade!$X:$X,"2. Abastecimento cancelado (sem nota)")</f>
        <v>0</v>
      </c>
      <c r="G182" s="35">
        <f>SUMIFS(Contabilidade!$M:$M,Contabilidade!$J:$J,$A182,Contabilidade!$X:$X,"3. Sem nota fiscal")</f>
        <v>1880.04</v>
      </c>
      <c r="H182" s="35">
        <f t="shared" si="9"/>
        <v>1880.04</v>
      </c>
      <c r="I182" s="35">
        <f t="shared" si="10"/>
        <v>1880.04</v>
      </c>
      <c r="J182" s="36">
        <f t="shared" si="11"/>
        <v>4.2421869886002913E-3</v>
      </c>
    </row>
    <row r="183" spans="1:10" x14ac:dyDescent="0.3">
      <c r="A183" s="18" t="s">
        <v>69</v>
      </c>
      <c r="B183" s="32">
        <f>IFERROR(INDEX(Contabilidade!$K:$K,MATCH($A183,Contabilidade!$J:$J,0)),"")</f>
        <v>7473735015375</v>
      </c>
      <c r="C183" s="20">
        <f>SUMIFS(Contabilidade!$M:$M,Contabilidade!$J:$J,$A183,Contabilidade!$X:$X,"1. Com nota fiscal recolhida")</f>
        <v>1102.3800000000001</v>
      </c>
      <c r="D183" s="20">
        <f>SUMIFS(Contabilidade!$M:$M,Contabilidade!$J:$J,$A183,Contabilidade!$X:$X,"4. Crédito de estorno (desconto)")</f>
        <v>0</v>
      </c>
      <c r="E183" s="20">
        <f t="shared" si="8"/>
        <v>1102.3800000000001</v>
      </c>
      <c r="F183" s="20">
        <f>SUMIFS(Contabilidade!$M:$M,Contabilidade!$J:$J,$A183,Contabilidade!$X:$X,"2. Abastecimento cancelado (sem nota)")</f>
        <v>0</v>
      </c>
      <c r="G183" s="20">
        <f>SUMIFS(Contabilidade!$M:$M,Contabilidade!$J:$J,$A183,Contabilidade!$X:$X,"3. Sem nota fiscal")</f>
        <v>0</v>
      </c>
      <c r="H183" s="20">
        <f t="shared" si="9"/>
        <v>0</v>
      </c>
      <c r="I183" s="20">
        <f t="shared" si="10"/>
        <v>1102.3800000000001</v>
      </c>
      <c r="J183" s="21">
        <f t="shared" si="11"/>
        <v>2.4874481885987475E-3</v>
      </c>
    </row>
    <row r="184" spans="1:10" x14ac:dyDescent="0.3">
      <c r="A184" s="33" t="s">
        <v>309</v>
      </c>
      <c r="B184" s="34">
        <f>IFERROR(INDEX(Contabilidade!$K:$K,MATCH($A184,Contabilidade!$J:$J,0)),"")</f>
        <v>7473735017661</v>
      </c>
      <c r="C184" s="35">
        <f>SUMIFS(Contabilidade!$M:$M,Contabilidade!$J:$J,$A184,Contabilidade!$X:$X,"1. Com nota fiscal recolhida")</f>
        <v>2923.9199999999996</v>
      </c>
      <c r="D184" s="35">
        <f>SUMIFS(Contabilidade!$M:$M,Contabilidade!$J:$J,$A184,Contabilidade!$X:$X,"4. Crédito de estorno (desconto)")</f>
        <v>0</v>
      </c>
      <c r="E184" s="35">
        <f t="shared" si="8"/>
        <v>2923.9199999999996</v>
      </c>
      <c r="F184" s="35">
        <f>SUMIFS(Contabilidade!$M:$M,Contabilidade!$J:$J,$A184,Contabilidade!$X:$X,"2. Abastecimento cancelado (sem nota)")</f>
        <v>0</v>
      </c>
      <c r="G184" s="35">
        <f>SUMIFS(Contabilidade!$M:$M,Contabilidade!$J:$J,$A184,Contabilidade!$X:$X,"3. Sem nota fiscal")</f>
        <v>485.21</v>
      </c>
      <c r="H184" s="35">
        <f t="shared" si="9"/>
        <v>485.21</v>
      </c>
      <c r="I184" s="35">
        <f t="shared" si="10"/>
        <v>3409.1299999999997</v>
      </c>
      <c r="J184" s="36">
        <f t="shared" si="11"/>
        <v>7.6924783134650907E-3</v>
      </c>
    </row>
    <row r="185" spans="1:10" x14ac:dyDescent="0.3">
      <c r="A185" s="18" t="s">
        <v>656</v>
      </c>
      <c r="B185" s="32">
        <f>IFERROR(INDEX(Contabilidade!$K:$K,MATCH($A185,Contabilidade!$J:$J,0)),"")</f>
        <v>7473735019443</v>
      </c>
      <c r="C185" s="20">
        <f>SUMIFS(Contabilidade!$M:$M,Contabilidade!$J:$J,$A185,Contabilidade!$X:$X,"1. Com nota fiscal recolhida")</f>
        <v>0</v>
      </c>
      <c r="D185" s="20">
        <f>SUMIFS(Contabilidade!$M:$M,Contabilidade!$J:$J,$A185,Contabilidade!$X:$X,"4. Crédito de estorno (desconto)")</f>
        <v>0</v>
      </c>
      <c r="E185" s="20">
        <f t="shared" si="8"/>
        <v>0</v>
      </c>
      <c r="F185" s="20">
        <f>SUMIFS(Contabilidade!$M:$M,Contabilidade!$J:$J,$A185,Contabilidade!$X:$X,"2. Abastecimento cancelado (sem nota)")</f>
        <v>0</v>
      </c>
      <c r="G185" s="20">
        <f>SUMIFS(Contabilidade!$M:$M,Contabilidade!$J:$J,$A185,Contabilidade!$X:$X,"3. Sem nota fiscal")</f>
        <v>423.8</v>
      </c>
      <c r="H185" s="20">
        <f t="shared" si="9"/>
        <v>423.8</v>
      </c>
      <c r="I185" s="20">
        <f t="shared" si="10"/>
        <v>423.8</v>
      </c>
      <c r="J185" s="21">
        <f t="shared" si="11"/>
        <v>9.5627691207038335E-4</v>
      </c>
    </row>
    <row r="186" spans="1:10" x14ac:dyDescent="0.3">
      <c r="A186" s="33" t="s">
        <v>2039</v>
      </c>
      <c r="B186" s="34">
        <f>IFERROR(INDEX(Contabilidade!$K:$K,MATCH($A186,Contabilidade!$J:$J,0)),"")</f>
        <v>7473735010578</v>
      </c>
      <c r="C186" s="35">
        <f>SUMIFS(Contabilidade!$M:$M,Contabilidade!$J:$J,$A186,Contabilidade!$X:$X,"1. Com nota fiscal recolhida")</f>
        <v>293.73</v>
      </c>
      <c r="D186" s="35">
        <f>SUMIFS(Contabilidade!$M:$M,Contabilidade!$J:$J,$A186,Contabilidade!$X:$X,"4. Crédito de estorno (desconto)")</f>
        <v>0</v>
      </c>
      <c r="E186" s="35">
        <f t="shared" si="8"/>
        <v>293.73</v>
      </c>
      <c r="F186" s="35">
        <f>SUMIFS(Contabilidade!$M:$M,Contabilidade!$J:$J,$A186,Contabilidade!$X:$X,"2. Abastecimento cancelado (sem nota)")</f>
        <v>0</v>
      </c>
      <c r="G186" s="35">
        <f>SUMIFS(Contabilidade!$M:$M,Contabilidade!$J:$J,$A186,Contabilidade!$X:$X,"3. Sem nota fiscal")</f>
        <v>0</v>
      </c>
      <c r="H186" s="35">
        <f t="shared" si="9"/>
        <v>0</v>
      </c>
      <c r="I186" s="35">
        <f t="shared" si="10"/>
        <v>293.73</v>
      </c>
      <c r="J186" s="36">
        <f t="shared" si="11"/>
        <v>6.6278248556496866E-4</v>
      </c>
    </row>
    <row r="187" spans="1:10" x14ac:dyDescent="0.3">
      <c r="A187" s="18" t="s">
        <v>4094</v>
      </c>
      <c r="B187" s="32">
        <f>IFERROR(INDEX(Contabilidade!$K:$K,MATCH($A187,Contabilidade!$J:$J,0)),"")</f>
        <v>7473735015022</v>
      </c>
      <c r="C187" s="20">
        <f>SUMIFS(Contabilidade!$M:$M,Contabilidade!$J:$J,$A187,Contabilidade!$X:$X,"1. Com nota fiscal recolhida")</f>
        <v>289.92</v>
      </c>
      <c r="D187" s="20">
        <f>SUMIFS(Contabilidade!$M:$M,Contabilidade!$J:$J,$A187,Contabilidade!$X:$X,"4. Crédito de estorno (desconto)")</f>
        <v>0</v>
      </c>
      <c r="E187" s="20">
        <f t="shared" si="8"/>
        <v>289.92</v>
      </c>
      <c r="F187" s="20">
        <f>SUMIFS(Contabilidade!$M:$M,Contabilidade!$J:$J,$A187,Contabilidade!$X:$X,"2. Abastecimento cancelado (sem nota)")</f>
        <v>0</v>
      </c>
      <c r="G187" s="20">
        <f>SUMIFS(Contabilidade!$M:$M,Contabilidade!$J:$J,$A187,Contabilidade!$X:$X,"3. Sem nota fiscal")</f>
        <v>0</v>
      </c>
      <c r="H187" s="20">
        <f t="shared" si="9"/>
        <v>0</v>
      </c>
      <c r="I187" s="20">
        <f t="shared" si="10"/>
        <v>289.92</v>
      </c>
      <c r="J187" s="21">
        <f t="shared" si="11"/>
        <v>6.5418547038094746E-4</v>
      </c>
    </row>
    <row r="188" spans="1:10" x14ac:dyDescent="0.3">
      <c r="A188" s="33" t="s">
        <v>106</v>
      </c>
      <c r="B188" s="34">
        <f>IFERROR(INDEX(Contabilidade!$K:$K,MATCH($A188,Contabilidade!$J:$J,0)),"")</f>
        <v>7473735015103</v>
      </c>
      <c r="C188" s="35">
        <f>SUMIFS(Contabilidade!$M:$M,Contabilidade!$J:$J,$A188,Contabilidade!$X:$X,"1. Com nota fiscal recolhida")</f>
        <v>8397.42</v>
      </c>
      <c r="D188" s="35">
        <f>SUMIFS(Contabilidade!$M:$M,Contabilidade!$J:$J,$A188,Contabilidade!$X:$X,"4. Crédito de estorno (desconto)")</f>
        <v>0</v>
      </c>
      <c r="E188" s="35">
        <f t="shared" si="8"/>
        <v>8397.42</v>
      </c>
      <c r="F188" s="35">
        <f>SUMIFS(Contabilidade!$M:$M,Contabilidade!$J:$J,$A188,Contabilidade!$X:$X,"2. Abastecimento cancelado (sem nota)")</f>
        <v>0</v>
      </c>
      <c r="G188" s="35">
        <f>SUMIFS(Contabilidade!$M:$M,Contabilidade!$J:$J,$A188,Contabilidade!$X:$X,"3. Sem nota fiscal")</f>
        <v>3285.53</v>
      </c>
      <c r="H188" s="35">
        <f t="shared" si="9"/>
        <v>3285.53</v>
      </c>
      <c r="I188" s="35">
        <f t="shared" si="10"/>
        <v>11682.95</v>
      </c>
      <c r="J188" s="36">
        <f t="shared" si="11"/>
        <v>2.6361810641511763E-2</v>
      </c>
    </row>
    <row r="189" spans="1:10" x14ac:dyDescent="0.3">
      <c r="A189" s="18" t="s">
        <v>532</v>
      </c>
      <c r="B189" s="32">
        <f>IFERROR(INDEX(Contabilidade!$K:$K,MATCH($A189,Contabilidade!$J:$J,0)),"")</f>
        <v>7473735018552</v>
      </c>
      <c r="C189" s="20">
        <f>SUMIFS(Contabilidade!$M:$M,Contabilidade!$J:$J,$A189,Contabilidade!$X:$X,"1. Com nota fiscal recolhida")</f>
        <v>1027.3</v>
      </c>
      <c r="D189" s="20">
        <f>SUMIFS(Contabilidade!$M:$M,Contabilidade!$J:$J,$A189,Contabilidade!$X:$X,"4. Crédito de estorno (desconto)")</f>
        <v>0</v>
      </c>
      <c r="E189" s="20">
        <f t="shared" si="8"/>
        <v>1027.3</v>
      </c>
      <c r="F189" s="20">
        <f>SUMIFS(Contabilidade!$M:$M,Contabilidade!$J:$J,$A189,Contabilidade!$X:$X,"2. Abastecimento cancelado (sem nota)")</f>
        <v>0</v>
      </c>
      <c r="G189" s="20">
        <f>SUMIFS(Contabilidade!$M:$M,Contabilidade!$J:$J,$A189,Contabilidade!$X:$X,"3. Sem nota fiscal")</f>
        <v>294.45999999999998</v>
      </c>
      <c r="H189" s="20">
        <f t="shared" si="9"/>
        <v>294.45999999999998</v>
      </c>
      <c r="I189" s="20">
        <f t="shared" si="10"/>
        <v>1321.76</v>
      </c>
      <c r="J189" s="21">
        <f t="shared" si="11"/>
        <v>2.9824647741815711E-3</v>
      </c>
    </row>
    <row r="190" spans="1:10" x14ac:dyDescent="0.3">
      <c r="A190" s="33" t="s">
        <v>2620</v>
      </c>
      <c r="B190" s="34">
        <f>IFERROR(INDEX(Contabilidade!$K:$K,MATCH($A190,Contabilidade!$J:$J,0)),"")</f>
        <v>7473735013240</v>
      </c>
      <c r="C190" s="35">
        <f>SUMIFS(Contabilidade!$M:$M,Contabilidade!$J:$J,$A190,Contabilidade!$X:$X,"1. Com nota fiscal recolhida")</f>
        <v>577.02</v>
      </c>
      <c r="D190" s="35">
        <f>SUMIFS(Contabilidade!$M:$M,Contabilidade!$J:$J,$A190,Contabilidade!$X:$X,"4. Crédito de estorno (desconto)")</f>
        <v>0</v>
      </c>
      <c r="E190" s="35">
        <f t="shared" si="8"/>
        <v>577.02</v>
      </c>
      <c r="F190" s="35">
        <f>SUMIFS(Contabilidade!$M:$M,Contabilidade!$J:$J,$A190,Contabilidade!$X:$X,"2. Abastecimento cancelado (sem nota)")</f>
        <v>0</v>
      </c>
      <c r="G190" s="35">
        <f>SUMIFS(Contabilidade!$M:$M,Contabilidade!$J:$J,$A190,Contabilidade!$X:$X,"3. Sem nota fiscal")</f>
        <v>0</v>
      </c>
      <c r="H190" s="35">
        <f t="shared" si="9"/>
        <v>0</v>
      </c>
      <c r="I190" s="35">
        <f t="shared" si="10"/>
        <v>577.02</v>
      </c>
      <c r="J190" s="36">
        <f t="shared" si="11"/>
        <v>1.3020077956650603E-3</v>
      </c>
    </row>
    <row r="191" spans="1:10" x14ac:dyDescent="0.3">
      <c r="A191" s="18" t="s">
        <v>508</v>
      </c>
      <c r="B191" s="32">
        <f>IFERROR(INDEX(Contabilidade!$K:$K,MATCH($A191,Contabilidade!$J:$J,0)),"")</f>
        <v>7473735008409</v>
      </c>
      <c r="C191" s="20">
        <f>SUMIFS(Contabilidade!$M:$M,Contabilidade!$J:$J,$A191,Contabilidade!$X:$X,"1. Com nota fiscal recolhida")</f>
        <v>0</v>
      </c>
      <c r="D191" s="20">
        <f>SUMIFS(Contabilidade!$M:$M,Contabilidade!$J:$J,$A191,Contabilidade!$X:$X,"4. Crédito de estorno (desconto)")</f>
        <v>0</v>
      </c>
      <c r="E191" s="20">
        <f t="shared" si="8"/>
        <v>0</v>
      </c>
      <c r="F191" s="20">
        <f>SUMIFS(Contabilidade!$M:$M,Contabilidade!$J:$J,$A191,Contabilidade!$X:$X,"2. Abastecimento cancelado (sem nota)")</f>
        <v>0</v>
      </c>
      <c r="G191" s="20">
        <f>SUMIFS(Contabilidade!$M:$M,Contabilidade!$J:$J,$A191,Contabilidade!$X:$X,"3. Sem nota fiscal")</f>
        <v>485.39</v>
      </c>
      <c r="H191" s="20">
        <f t="shared" si="9"/>
        <v>485.39</v>
      </c>
      <c r="I191" s="20">
        <f t="shared" si="10"/>
        <v>485.39</v>
      </c>
      <c r="J191" s="21">
        <f t="shared" si="11"/>
        <v>1.0952507087065675E-3</v>
      </c>
    </row>
    <row r="192" spans="1:10" x14ac:dyDescent="0.3">
      <c r="A192" s="33" t="s">
        <v>60</v>
      </c>
      <c r="B192" s="34">
        <f>IFERROR(INDEX(Contabilidade!$K:$K,MATCH($A192,Contabilidade!$J:$J,0)),"")</f>
        <v>7473735018200</v>
      </c>
      <c r="C192" s="35">
        <f>SUMIFS(Contabilidade!$M:$M,Contabilidade!$J:$J,$A192,Contabilidade!$X:$X,"1. Com nota fiscal recolhida")</f>
        <v>4560.2</v>
      </c>
      <c r="D192" s="35">
        <f>SUMIFS(Contabilidade!$M:$M,Contabilidade!$J:$J,$A192,Contabilidade!$X:$X,"4. Crédito de estorno (desconto)")</f>
        <v>0</v>
      </c>
      <c r="E192" s="35">
        <f t="shared" si="8"/>
        <v>4560.2</v>
      </c>
      <c r="F192" s="35">
        <f>SUMIFS(Contabilidade!$M:$M,Contabilidade!$J:$J,$A192,Contabilidade!$X:$X,"2. Abastecimento cancelado (sem nota)")</f>
        <v>0</v>
      </c>
      <c r="G192" s="35">
        <f>SUMIFS(Contabilidade!$M:$M,Contabilidade!$J:$J,$A192,Contabilidade!$X:$X,"3. Sem nota fiscal")</f>
        <v>2632.8</v>
      </c>
      <c r="H192" s="35">
        <f t="shared" si="9"/>
        <v>2632.8</v>
      </c>
      <c r="I192" s="35">
        <f t="shared" si="10"/>
        <v>7193</v>
      </c>
      <c r="J192" s="36">
        <f t="shared" si="11"/>
        <v>1.6230532865791097E-2</v>
      </c>
    </row>
    <row r="193" spans="1:10" x14ac:dyDescent="0.3">
      <c r="A193" s="18" t="s">
        <v>492</v>
      </c>
      <c r="B193" s="32">
        <f>IFERROR(INDEX(Contabilidade!$K:$K,MATCH($A193,Contabilidade!$J:$J,0)),"")</f>
        <v>7473735004098</v>
      </c>
      <c r="C193" s="20">
        <f>SUMIFS(Contabilidade!$M:$M,Contabilidade!$J:$J,$A193,Contabilidade!$X:$X,"1. Com nota fiscal recolhida")</f>
        <v>0</v>
      </c>
      <c r="D193" s="20">
        <f>SUMIFS(Contabilidade!$M:$M,Contabilidade!$J:$J,$A193,Contabilidade!$X:$X,"4. Crédito de estorno (desconto)")</f>
        <v>0</v>
      </c>
      <c r="E193" s="20">
        <f t="shared" si="8"/>
        <v>0</v>
      </c>
      <c r="F193" s="20">
        <f>SUMIFS(Contabilidade!$M:$M,Contabilidade!$J:$J,$A193,Contabilidade!$X:$X,"2. Abastecimento cancelado (sem nota)")</f>
        <v>0</v>
      </c>
      <c r="G193" s="20">
        <f>SUMIFS(Contabilidade!$M:$M,Contabilidade!$J:$J,$A193,Contabilidade!$X:$X,"3. Sem nota fiscal")</f>
        <v>185.25</v>
      </c>
      <c r="H193" s="20">
        <f t="shared" si="9"/>
        <v>185.25</v>
      </c>
      <c r="I193" s="20">
        <f t="shared" si="10"/>
        <v>185.25</v>
      </c>
      <c r="J193" s="21">
        <f t="shared" si="11"/>
        <v>4.1800447843567371E-4</v>
      </c>
    </row>
    <row r="194" spans="1:10" x14ac:dyDescent="0.3">
      <c r="A194" s="33" t="s">
        <v>360</v>
      </c>
      <c r="B194" s="34">
        <f>IFERROR(INDEX(Contabilidade!$K:$K,MATCH($A194,Contabilidade!$J:$J,0)),"")</f>
        <v>7473735006201</v>
      </c>
      <c r="C194" s="35">
        <f>SUMIFS(Contabilidade!$M:$M,Contabilidade!$J:$J,$A194,Contabilidade!$X:$X,"1. Com nota fiscal recolhida")</f>
        <v>315.04000000000002</v>
      </c>
      <c r="D194" s="35">
        <f>SUMIFS(Contabilidade!$M:$M,Contabilidade!$J:$J,$A194,Contabilidade!$X:$X,"4. Crédito de estorno (desconto)")</f>
        <v>0</v>
      </c>
      <c r="E194" s="35">
        <f t="shared" si="8"/>
        <v>315.04000000000002</v>
      </c>
      <c r="F194" s="35">
        <f>SUMIFS(Contabilidade!$M:$M,Contabilidade!$J:$J,$A194,Contabilidade!$X:$X,"2. Abastecimento cancelado (sem nota)")</f>
        <v>0</v>
      </c>
      <c r="G194" s="35">
        <f>SUMIFS(Contabilidade!$M:$M,Contabilidade!$J:$J,$A194,Contabilidade!$X:$X,"3. Sem nota fiscal")</f>
        <v>227.45</v>
      </c>
      <c r="H194" s="35">
        <f t="shared" si="9"/>
        <v>227.45</v>
      </c>
      <c r="I194" s="35">
        <f t="shared" si="10"/>
        <v>542.49</v>
      </c>
      <c r="J194" s="36">
        <f t="shared" si="11"/>
        <v>1.2240931147453097E-3</v>
      </c>
    </row>
    <row r="195" spans="1:10" x14ac:dyDescent="0.3">
      <c r="A195" s="18" t="s">
        <v>1161</v>
      </c>
      <c r="B195" s="32">
        <f>IFERROR(INDEX(Contabilidade!$K:$K,MATCH($A195,Contabilidade!$J:$J,0)),"")</f>
        <v>7473735006708</v>
      </c>
      <c r="C195" s="20">
        <f>SUMIFS(Contabilidade!$M:$M,Contabilidade!$J:$J,$A195,Contabilidade!$X:$X,"1. Com nota fiscal recolhida")</f>
        <v>0</v>
      </c>
      <c r="D195" s="20">
        <f>SUMIFS(Contabilidade!$M:$M,Contabilidade!$J:$J,$A195,Contabilidade!$X:$X,"4. Crédito de estorno (desconto)")</f>
        <v>0</v>
      </c>
      <c r="E195" s="20">
        <f t="shared" si="8"/>
        <v>0</v>
      </c>
      <c r="F195" s="20">
        <f>SUMIFS(Contabilidade!$M:$M,Contabilidade!$J:$J,$A195,Contabilidade!$X:$X,"2. Abastecimento cancelado (sem nota)")</f>
        <v>0</v>
      </c>
      <c r="G195" s="20">
        <f>SUMIFS(Contabilidade!$M:$M,Contabilidade!$J:$J,$A195,Contabilidade!$X:$X,"3. Sem nota fiscal")</f>
        <v>247.59</v>
      </c>
      <c r="H195" s="20">
        <f t="shared" si="9"/>
        <v>247.59</v>
      </c>
      <c r="I195" s="20">
        <f t="shared" si="10"/>
        <v>247.59</v>
      </c>
      <c r="J195" s="21">
        <f t="shared" si="11"/>
        <v>5.5867060089548424E-4</v>
      </c>
    </row>
    <row r="196" spans="1:10" x14ac:dyDescent="0.3">
      <c r="A196" s="33" t="s">
        <v>640</v>
      </c>
      <c r="B196" s="34">
        <f>IFERROR(INDEX(Contabilidade!$K:$K,MATCH($A196,Contabilidade!$J:$J,0)),"")</f>
        <v>7473735015294</v>
      </c>
      <c r="C196" s="35">
        <f>SUMIFS(Contabilidade!$M:$M,Contabilidade!$J:$J,$A196,Contabilidade!$X:$X,"1. Com nota fiscal recolhida")</f>
        <v>220.65</v>
      </c>
      <c r="D196" s="35">
        <f>SUMIFS(Contabilidade!$M:$M,Contabilidade!$J:$J,$A196,Contabilidade!$X:$X,"4. Crédito de estorno (desconto)")</f>
        <v>0</v>
      </c>
      <c r="E196" s="35">
        <f t="shared" ref="E196:E207" si="12">C196+D196</f>
        <v>220.65</v>
      </c>
      <c r="F196" s="35">
        <f>SUMIFS(Contabilidade!$M:$M,Contabilidade!$J:$J,$A196,Contabilidade!$X:$X,"2. Abastecimento cancelado (sem nota)")</f>
        <v>0</v>
      </c>
      <c r="G196" s="35">
        <f>SUMIFS(Contabilidade!$M:$M,Contabilidade!$J:$J,$A196,Contabilidade!$X:$X,"3. Sem nota fiscal")</f>
        <v>268.64999999999998</v>
      </c>
      <c r="H196" s="35">
        <f t="shared" ref="H196:H207" si="13">F196+G196</f>
        <v>268.64999999999998</v>
      </c>
      <c r="I196" s="35">
        <f t="shared" ref="I196:I208" si="14">E196+H196</f>
        <v>489.29999999999995</v>
      </c>
      <c r="J196" s="36">
        <f t="shared" ref="J196:J208" si="15">IF(I$208,I196/I$208,0)</f>
        <v>1.1040733673337389E-3</v>
      </c>
    </row>
    <row r="197" spans="1:10" x14ac:dyDescent="0.3">
      <c r="A197" s="18" t="s">
        <v>3995</v>
      </c>
      <c r="B197" s="32">
        <f>IFERROR(INDEX(Contabilidade!$K:$K,MATCH($A197,Contabilidade!$J:$J,0)),"")</f>
        <v>7473735012600</v>
      </c>
      <c r="C197" s="20">
        <f>SUMIFS(Contabilidade!$M:$M,Contabilidade!$J:$J,$A197,Contabilidade!$X:$X,"1. Com nota fiscal recolhida")</f>
        <v>181.92</v>
      </c>
      <c r="D197" s="20">
        <f>SUMIFS(Contabilidade!$M:$M,Contabilidade!$J:$J,$A197,Contabilidade!$X:$X,"4. Crédito de estorno (desconto)")</f>
        <v>0</v>
      </c>
      <c r="E197" s="20">
        <f t="shared" si="12"/>
        <v>181.92</v>
      </c>
      <c r="F197" s="20">
        <f>SUMIFS(Contabilidade!$M:$M,Contabilidade!$J:$J,$A197,Contabilidade!$X:$X,"2. Abastecimento cancelado (sem nota)")</f>
        <v>0</v>
      </c>
      <c r="G197" s="20">
        <f>SUMIFS(Contabilidade!$M:$M,Contabilidade!$J:$J,$A197,Contabilidade!$X:$X,"3. Sem nota fiscal")</f>
        <v>0</v>
      </c>
      <c r="H197" s="20">
        <f t="shared" si="13"/>
        <v>0</v>
      </c>
      <c r="I197" s="20">
        <f t="shared" si="14"/>
        <v>181.92</v>
      </c>
      <c r="J197" s="21">
        <f t="shared" si="15"/>
        <v>4.1049055177877329E-4</v>
      </c>
    </row>
    <row r="198" spans="1:10" x14ac:dyDescent="0.3">
      <c r="A198" s="33" t="s">
        <v>458</v>
      </c>
      <c r="B198" s="34">
        <f>IFERROR(INDEX(Contabilidade!$K:$K,MATCH($A198,Contabilidade!$J:$J,0)),"")</f>
        <v>7473735002800</v>
      </c>
      <c r="C198" s="35">
        <f>SUMIFS(Contabilidade!$M:$M,Contabilidade!$J:$J,$A198,Contabilidade!$X:$X,"1. Com nota fiscal recolhida")</f>
        <v>13.28</v>
      </c>
      <c r="D198" s="35">
        <f>SUMIFS(Contabilidade!$M:$M,Contabilidade!$J:$J,$A198,Contabilidade!$X:$X,"4. Crédito de estorno (desconto)")</f>
        <v>0</v>
      </c>
      <c r="E198" s="35">
        <f t="shared" si="12"/>
        <v>13.28</v>
      </c>
      <c r="F198" s="35">
        <f>SUMIFS(Contabilidade!$M:$M,Contabilidade!$J:$J,$A198,Contabilidade!$X:$X,"2. Abastecimento cancelado (sem nota)")</f>
        <v>0</v>
      </c>
      <c r="G198" s="35">
        <f>SUMIFS(Contabilidade!$M:$M,Contabilidade!$J:$J,$A198,Contabilidade!$X:$X,"3. Sem nota fiscal")</f>
        <v>0</v>
      </c>
      <c r="H198" s="35">
        <f t="shared" si="13"/>
        <v>0</v>
      </c>
      <c r="I198" s="35">
        <f t="shared" si="14"/>
        <v>13.28</v>
      </c>
      <c r="J198" s="36">
        <f t="shared" si="15"/>
        <v>2.9965449250341411E-5</v>
      </c>
    </row>
    <row r="199" spans="1:10" x14ac:dyDescent="0.3">
      <c r="A199" s="18" t="s">
        <v>670</v>
      </c>
      <c r="B199" s="32">
        <f>IFERROR(INDEX(Contabilidade!$K:$K,MATCH($A199,Contabilidade!$J:$J,0)),"")</f>
        <v>7473735016851</v>
      </c>
      <c r="C199" s="20">
        <f>SUMIFS(Contabilidade!$M:$M,Contabilidade!$J:$J,$A199,Contabilidade!$X:$X,"1. Com nota fiscal recolhida")</f>
        <v>0</v>
      </c>
      <c r="D199" s="20">
        <f>SUMIFS(Contabilidade!$M:$M,Contabilidade!$J:$J,$A199,Contabilidade!$X:$X,"4. Crédito de estorno (desconto)")</f>
        <v>0</v>
      </c>
      <c r="E199" s="20">
        <f t="shared" si="12"/>
        <v>0</v>
      </c>
      <c r="F199" s="20">
        <f>SUMIFS(Contabilidade!$M:$M,Contabilidade!$J:$J,$A199,Contabilidade!$X:$X,"2. Abastecimento cancelado (sem nota)")</f>
        <v>0</v>
      </c>
      <c r="G199" s="20">
        <f>SUMIFS(Contabilidade!$M:$M,Contabilidade!$J:$J,$A199,Contabilidade!$X:$X,"3. Sem nota fiscal")</f>
        <v>249.71</v>
      </c>
      <c r="H199" s="20">
        <f t="shared" si="13"/>
        <v>249.71</v>
      </c>
      <c r="I199" s="20">
        <f t="shared" si="14"/>
        <v>249.71</v>
      </c>
      <c r="J199" s="21">
        <f t="shared" si="15"/>
        <v>5.634542418902676E-4</v>
      </c>
    </row>
    <row r="200" spans="1:10" x14ac:dyDescent="0.3">
      <c r="A200" s="33" t="s">
        <v>192</v>
      </c>
      <c r="B200" s="34">
        <f>IFERROR(INDEX(Contabilidade!$K:$K,MATCH($A200,Contabilidade!$J:$J,0)),"")</f>
        <v>7473735022312</v>
      </c>
      <c r="C200" s="35">
        <f>SUMIFS(Contabilidade!$M:$M,Contabilidade!$J:$J,$A200,Contabilidade!$X:$X,"1. Com nota fiscal recolhida")</f>
        <v>1438.25</v>
      </c>
      <c r="D200" s="35">
        <f>SUMIFS(Contabilidade!$M:$M,Contabilidade!$J:$J,$A200,Contabilidade!$X:$X,"4. Crédito de estorno (desconto)")</f>
        <v>0</v>
      </c>
      <c r="E200" s="35">
        <f t="shared" si="12"/>
        <v>1438.25</v>
      </c>
      <c r="F200" s="35">
        <f>SUMIFS(Contabilidade!$M:$M,Contabilidade!$J:$J,$A200,Contabilidade!$X:$X,"2. Abastecimento cancelado (sem nota)")</f>
        <v>0</v>
      </c>
      <c r="G200" s="35">
        <f>SUMIFS(Contabilidade!$M:$M,Contabilidade!$J:$J,$A200,Contabilidade!$X:$X,"3. Sem nota fiscal")</f>
        <v>248.74</v>
      </c>
      <c r="H200" s="35">
        <f t="shared" si="13"/>
        <v>248.74</v>
      </c>
      <c r="I200" s="35">
        <f t="shared" si="14"/>
        <v>1686.99</v>
      </c>
      <c r="J200" s="36">
        <f t="shared" si="15"/>
        <v>3.8065823215989048E-3</v>
      </c>
    </row>
    <row r="201" spans="1:10" x14ac:dyDescent="0.3">
      <c r="A201" s="18" t="s">
        <v>694</v>
      </c>
      <c r="B201" s="32">
        <f>IFERROR(INDEX(Contabilidade!$K:$K,MATCH($A201,Contabilidade!$J:$J,0)),"")</f>
        <v>7473735020026</v>
      </c>
      <c r="C201" s="20">
        <f>SUMIFS(Contabilidade!$M:$M,Contabilidade!$J:$J,$A201,Contabilidade!$X:$X,"1. Com nota fiscal recolhida")</f>
        <v>0</v>
      </c>
      <c r="D201" s="20">
        <f>SUMIFS(Contabilidade!$M:$M,Contabilidade!$J:$J,$A201,Contabilidade!$X:$X,"4. Crédito de estorno (desconto)")</f>
        <v>0</v>
      </c>
      <c r="E201" s="20">
        <f t="shared" si="12"/>
        <v>0</v>
      </c>
      <c r="F201" s="20">
        <f>SUMIFS(Contabilidade!$M:$M,Contabilidade!$J:$J,$A201,Contabilidade!$X:$X,"2. Abastecimento cancelado (sem nota)")</f>
        <v>0</v>
      </c>
      <c r="G201" s="20">
        <f>SUMIFS(Contabilidade!$M:$M,Contabilidade!$J:$J,$A201,Contabilidade!$X:$X,"3. Sem nota fiscal")</f>
        <v>858.63</v>
      </c>
      <c r="H201" s="20">
        <f t="shared" si="13"/>
        <v>858.63</v>
      </c>
      <c r="I201" s="20">
        <f t="shared" si="14"/>
        <v>858.63</v>
      </c>
      <c r="J201" s="21">
        <f t="shared" si="15"/>
        <v>1.9374422959202295E-3</v>
      </c>
    </row>
    <row r="202" spans="1:10" x14ac:dyDescent="0.3">
      <c r="A202" s="33" t="s">
        <v>629</v>
      </c>
      <c r="B202" s="34">
        <f>IFERROR(INDEX(Contabilidade!$K:$K,MATCH($A202,Contabilidade!$J:$J,0)),"")</f>
        <v>7473735021260</v>
      </c>
      <c r="C202" s="35">
        <f>SUMIFS(Contabilidade!$M:$M,Contabilidade!$J:$J,$A202,Contabilidade!$X:$X,"1. Com nota fiscal recolhida")</f>
        <v>0</v>
      </c>
      <c r="D202" s="35">
        <f>SUMIFS(Contabilidade!$M:$M,Contabilidade!$J:$J,$A202,Contabilidade!$X:$X,"4. Crédito de estorno (desconto)")</f>
        <v>0</v>
      </c>
      <c r="E202" s="35">
        <f t="shared" si="12"/>
        <v>0</v>
      </c>
      <c r="F202" s="35">
        <f>SUMIFS(Contabilidade!$M:$M,Contabilidade!$J:$J,$A202,Contabilidade!$X:$X,"2. Abastecimento cancelado (sem nota)")</f>
        <v>0</v>
      </c>
      <c r="G202" s="35">
        <f>SUMIFS(Contabilidade!$M:$M,Contabilidade!$J:$J,$A202,Contabilidade!$X:$X,"3. Sem nota fiscal")</f>
        <v>725.85</v>
      </c>
      <c r="H202" s="35">
        <f t="shared" si="13"/>
        <v>725.85</v>
      </c>
      <c r="I202" s="35">
        <f t="shared" si="14"/>
        <v>725.85</v>
      </c>
      <c r="J202" s="36">
        <f t="shared" si="15"/>
        <v>1.6378329321054454E-3</v>
      </c>
    </row>
    <row r="203" spans="1:10" x14ac:dyDescent="0.3">
      <c r="A203" s="18" t="s">
        <v>103</v>
      </c>
      <c r="B203" s="32">
        <f>IFERROR(INDEX(Contabilidade!$K:$K,MATCH($A203,Contabilidade!$J:$J,0)),"")</f>
        <v>7473735021421</v>
      </c>
      <c r="C203" s="20">
        <f>SUMIFS(Contabilidade!$M:$M,Contabilidade!$J:$J,$A203,Contabilidade!$X:$X,"1. Com nota fiscal recolhida")</f>
        <v>348.19000000000005</v>
      </c>
      <c r="D203" s="20">
        <f>SUMIFS(Contabilidade!$M:$M,Contabilidade!$J:$J,$A203,Contabilidade!$X:$X,"4. Crédito de estorno (desconto)")</f>
        <v>0</v>
      </c>
      <c r="E203" s="20">
        <f t="shared" si="12"/>
        <v>348.19000000000005</v>
      </c>
      <c r="F203" s="20">
        <f>SUMIFS(Contabilidade!$M:$M,Contabilidade!$J:$J,$A203,Contabilidade!$X:$X,"2. Abastecimento cancelado (sem nota)")</f>
        <v>0</v>
      </c>
      <c r="G203" s="20">
        <f>SUMIFS(Contabilidade!$M:$M,Contabilidade!$J:$J,$A203,Contabilidade!$X:$X,"3. Sem nota fiscal")</f>
        <v>0</v>
      </c>
      <c r="H203" s="20">
        <f t="shared" si="13"/>
        <v>0</v>
      </c>
      <c r="I203" s="20">
        <f t="shared" si="14"/>
        <v>348.19000000000005</v>
      </c>
      <c r="J203" s="21">
        <f t="shared" si="15"/>
        <v>7.8566790470454651E-4</v>
      </c>
    </row>
    <row r="204" spans="1:10" x14ac:dyDescent="0.3">
      <c r="A204" s="33" t="s">
        <v>3285</v>
      </c>
      <c r="B204" s="34">
        <f>IFERROR(INDEX(Contabilidade!$K:$K,MATCH($A204,Contabilidade!$J:$J,0)),"")</f>
        <v>7473735020883</v>
      </c>
      <c r="C204" s="35">
        <f>SUMIFS(Contabilidade!$M:$M,Contabilidade!$J:$J,$A204,Contabilidade!$X:$X,"1. Com nota fiscal recolhida")</f>
        <v>0</v>
      </c>
      <c r="D204" s="35">
        <f>SUMIFS(Contabilidade!$M:$M,Contabilidade!$J:$J,$A204,Contabilidade!$X:$X,"4. Crédito de estorno (desconto)")</f>
        <v>0</v>
      </c>
      <c r="E204" s="35">
        <f t="shared" si="12"/>
        <v>0</v>
      </c>
      <c r="F204" s="35">
        <f>SUMIFS(Contabilidade!$M:$M,Contabilidade!$J:$J,$A204,Contabilidade!$X:$X,"2. Abastecimento cancelado (sem nota)")</f>
        <v>0</v>
      </c>
      <c r="G204" s="35">
        <f>SUMIFS(Contabilidade!$M:$M,Contabilidade!$J:$J,$A204,Contabilidade!$X:$X,"3. Sem nota fiscal")</f>
        <v>353.84</v>
      </c>
      <c r="H204" s="35">
        <f t="shared" si="13"/>
        <v>353.84</v>
      </c>
      <c r="I204" s="35">
        <f t="shared" si="14"/>
        <v>353.84</v>
      </c>
      <c r="J204" s="36">
        <f t="shared" si="15"/>
        <v>7.9841675924253043E-4</v>
      </c>
    </row>
    <row r="205" spans="1:10" x14ac:dyDescent="0.3">
      <c r="A205" s="18" t="s">
        <v>3720</v>
      </c>
      <c r="B205" s="32">
        <f>IFERROR(INDEX(Contabilidade!$K:$K,MATCH($A205,Contabilidade!$J:$J,0)),"")</f>
        <v>7473735022070</v>
      </c>
      <c r="C205" s="20">
        <f>SUMIFS(Contabilidade!$M:$M,Contabilidade!$J:$J,$A205,Contabilidade!$X:$X,"1. Com nota fiscal recolhida")</f>
        <v>545.08000000000004</v>
      </c>
      <c r="D205" s="20">
        <f>SUMIFS(Contabilidade!$M:$M,Contabilidade!$J:$J,$A205,Contabilidade!$X:$X,"4. Crédito de estorno (desconto)")</f>
        <v>0</v>
      </c>
      <c r="E205" s="20">
        <f t="shared" si="12"/>
        <v>545.08000000000004</v>
      </c>
      <c r="F205" s="20">
        <f>SUMIFS(Contabilidade!$M:$M,Contabilidade!$J:$J,$A205,Contabilidade!$X:$X,"2. Abastecimento cancelado (sem nota)")</f>
        <v>0</v>
      </c>
      <c r="G205" s="20">
        <f>SUMIFS(Contabilidade!$M:$M,Contabilidade!$J:$J,$A205,Contabilidade!$X:$X,"3. Sem nota fiscal")</f>
        <v>0</v>
      </c>
      <c r="H205" s="20">
        <f t="shared" si="13"/>
        <v>0</v>
      </c>
      <c r="I205" s="20">
        <f t="shared" si="14"/>
        <v>545.08000000000004</v>
      </c>
      <c r="J205" s="21">
        <f t="shared" si="15"/>
        <v>1.2299372799228988E-3</v>
      </c>
    </row>
    <row r="206" spans="1:10" x14ac:dyDescent="0.3">
      <c r="A206" s="33" t="s">
        <v>609</v>
      </c>
      <c r="B206" s="34">
        <f>IFERROR(INDEX(Contabilidade!$K:$K,MATCH($A206,Contabilidade!$J:$J,0)),"")</f>
        <v>7473735024102</v>
      </c>
      <c r="C206" s="35">
        <f>SUMIFS(Contabilidade!$M:$M,Contabilidade!$J:$J,$A206,Contabilidade!$X:$X,"1. Com nota fiscal recolhida")</f>
        <v>0</v>
      </c>
      <c r="D206" s="35">
        <f>SUMIFS(Contabilidade!$M:$M,Contabilidade!$J:$J,$A206,Contabilidade!$X:$X,"4. Crédito de estorno (desconto)")</f>
        <v>0</v>
      </c>
      <c r="E206" s="35">
        <f t="shared" si="12"/>
        <v>0</v>
      </c>
      <c r="F206" s="35">
        <f>SUMIFS(Contabilidade!$M:$M,Contabilidade!$J:$J,$A206,Contabilidade!$X:$X,"2. Abastecimento cancelado (sem nota)")</f>
        <v>0</v>
      </c>
      <c r="G206" s="35">
        <f>SUMIFS(Contabilidade!$M:$M,Contabilidade!$J:$J,$A206,Contabilidade!$X:$X,"3. Sem nota fiscal")</f>
        <v>233.19</v>
      </c>
      <c r="H206" s="35">
        <f t="shared" si="13"/>
        <v>233.19</v>
      </c>
      <c r="I206" s="35">
        <f t="shared" si="14"/>
        <v>233.19</v>
      </c>
      <c r="J206" s="36">
        <f t="shared" si="15"/>
        <v>5.2617794508186093E-4</v>
      </c>
    </row>
    <row r="207" spans="1:10" x14ac:dyDescent="0.3">
      <c r="A207" s="18" t="s">
        <v>2517</v>
      </c>
      <c r="B207" s="32">
        <f>IFERROR(INDEX(Contabilidade!$K:$K,MATCH($A207,Contabilidade!$J:$J,0)),"")</f>
        <v>37435735001391</v>
      </c>
      <c r="C207" s="20">
        <f>SUMIFS(Contabilidade!$M:$M,Contabilidade!$J:$J,$A207,Contabilidade!$X:$X,"1. Com nota fiscal recolhida")</f>
        <v>277.77</v>
      </c>
      <c r="D207" s="20">
        <f>SUMIFS(Contabilidade!$M:$M,Contabilidade!$J:$J,$A207,Contabilidade!$X:$X,"4. Crédito de estorno (desconto)")</f>
        <v>0</v>
      </c>
      <c r="E207" s="20">
        <f t="shared" si="12"/>
        <v>277.77</v>
      </c>
      <c r="F207" s="20">
        <f>SUMIFS(Contabilidade!$M:$M,Contabilidade!$J:$J,$A207,Contabilidade!$X:$X,"2. Abastecimento cancelado (sem nota)")</f>
        <v>0</v>
      </c>
      <c r="G207" s="20">
        <f>SUMIFS(Contabilidade!$M:$M,Contabilidade!$J:$J,$A207,Contabilidade!$X:$X,"3. Sem nota fiscal")</f>
        <v>0</v>
      </c>
      <c r="H207" s="20">
        <f t="shared" si="13"/>
        <v>0</v>
      </c>
      <c r="I207" s="20">
        <f t="shared" si="14"/>
        <v>277.77</v>
      </c>
      <c r="J207" s="21">
        <f t="shared" si="15"/>
        <v>6.2676979203820282E-4</v>
      </c>
    </row>
    <row r="208" spans="1:10" x14ac:dyDescent="0.3">
      <c r="A208" s="31" t="s">
        <v>441</v>
      </c>
      <c r="C208" s="13">
        <f>SUM(C3:C207)</f>
        <v>414653.6999999999</v>
      </c>
      <c r="D208" s="13">
        <f>SUM(D3:D207)</f>
        <v>-1468.57</v>
      </c>
      <c r="E208" s="13">
        <f>SUM(E3:E207)</f>
        <v>413185.12999999989</v>
      </c>
      <c r="F208" s="13">
        <f>SUM(F3:F207)</f>
        <v>331.89</v>
      </c>
      <c r="G208" s="13">
        <f>SUM(G3:G207)</f>
        <v>29660.05</v>
      </c>
      <c r="H208" s="13">
        <f>SUM(H3:H207)</f>
        <v>29991.94</v>
      </c>
      <c r="I208" s="13">
        <f>SUM(I3:I207)</f>
        <v>443177.06999999989</v>
      </c>
      <c r="J208" s="23">
        <f>SUM(J3:J207)</f>
        <v>1.0000000000000002</v>
      </c>
    </row>
  </sheetData>
  <mergeCells count="2">
    <mergeCell ref="C1:E1"/>
    <mergeCell ref="F1:H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</vt:lpstr>
      <vt:lpstr>Contabilidade</vt:lpstr>
      <vt:lpstr>Relatorio</vt:lpstr>
      <vt:lpstr>Rateio por Garagem</vt:lpstr>
      <vt:lpstr>Rateio por Posto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Fernando Brittes</dc:creator>
  <cp:lastModifiedBy>Gabriel Fernando Brittes</cp:lastModifiedBy>
  <dcterms:created xsi:type="dcterms:W3CDTF">2026-06-30T15:01:18Z</dcterms:created>
  <dcterms:modified xsi:type="dcterms:W3CDTF">2026-08-19T19:57:58Z</dcterms:modified>
</cp:coreProperties>
</file>